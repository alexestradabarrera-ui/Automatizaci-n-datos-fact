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name="Instrucciones" sheetId="1" state="visible" r:id="rId1"/>
    <sheet name="Config" sheetId="2" state="hidden" r:id="rId2"/>
    <sheet name="Clientes" sheetId="3" state="visible" r:id="rId3"/>
    <sheet name="Plan de Seguimiento" sheetId="4" state="visible" r:id="rId4"/>
    <sheet name="Calendario" sheetId="5" state="visible" r:id="rId5"/>
    <sheet name="Catálogo Mensajes" sheetId="6" state="visible" r:id="rId6"/>
    <sheet name="Requisitos" sheetId="7" state="visible" r:id="rId7"/>
    <sheet name="Fichas y Beneficios" sheetId="8" state="visible" r:id="rId8"/>
    <sheet name="Facturación" sheetId="9" state="visible" r:id="rId9"/>
  </sheets>
  <definedNames>
    <definedName name="_xlnm._FilterDatabase" localSheetId="3" hidden="1">'Plan de Seguimiento'!$A$1:$P$151</definedName>
    <definedName name="_xlnm._FilterDatabase" localSheetId="5" hidden="1">'Catálogo Mensajes'!$A$4:$J$29</definedName>
    <definedName name="_xlnm._FilterDatabase" localSheetId="6" hidden="1">'Requisitos'!$A$3:$C$33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hh:mm"/>
    <numFmt numFmtId="166" formatCode="yyyy-mm-dd"/>
  </numFmts>
  <fonts count="15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sz val="10"/>
    </font>
    <font>
      <name val="Arial"/>
      <charset val="1"/>
      <b val="1"/>
      <sz val="12"/>
    </font>
    <font>
      <name val="Arial"/>
      <charset val="1"/>
      <sz val="9"/>
    </font>
    <font>
      <name val="Arial"/>
      <charset val="1"/>
      <b val="1"/>
      <color rgb="FFFFFFFF"/>
      <sz val="10"/>
    </font>
    <font>
      <name val="Arial"/>
      <charset val="1"/>
      <i val="1"/>
      <color rgb="FF808080"/>
      <sz val="10"/>
    </font>
    <font>
      <name val="Arial"/>
      <charset val="1"/>
      <color rgb="FF000000"/>
      <sz val="10"/>
    </font>
    <font>
      <name val="Arial"/>
      <charset val="1"/>
      <b val="1"/>
      <color rgb="FFCC0000"/>
      <sz val="14"/>
    </font>
    <font>
      <name val="Arial"/>
      <charset val="1"/>
      <b val="1"/>
      <color rgb="FF1A1A1A"/>
      <sz val="10"/>
    </font>
    <font>
      <name val="Arial"/>
      <charset val="1"/>
      <b val="1"/>
      <color rgb="FFCC0000"/>
      <sz val="11"/>
    </font>
    <font>
      <name val="Arial"/>
      <charset val="1"/>
      <i val="1"/>
      <color rgb="FF666666"/>
      <sz val="9"/>
    </font>
    <font>
      <name val="Arial"/>
      <charset val="1"/>
      <color rgb="FF000000"/>
      <sz val="9"/>
    </font>
    <font>
      <name val="Arial"/>
      <charset val="1"/>
      <i val="1"/>
      <color rgb="FFCC0000"/>
      <sz val="10"/>
    </font>
    <font>
      <name val="Arial"/>
      <charset val="1"/>
      <b val="1"/>
      <sz val="13"/>
    </font>
  </fonts>
  <fills count="4">
    <fill>
      <patternFill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2E8"/>
        <bgColor rgb="FFF3F4F6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6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164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10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center"/>
    </xf>
    <xf numFmtId="0" fontId="5" fillId="2" borderId="0" pivotButton="0" quotePrefix="0" xfId="0"/>
    <xf numFmtId="0" fontId="0" fillId="0" borderId="1" pivotButton="0" quotePrefix="0" xfId="0"/>
    <xf numFmtId="0" fontId="5" fillId="2" borderId="0" applyAlignment="1" pivotButton="0" quotePrefix="0" xfId="0">
      <alignment vertical="center" wrapText="1"/>
    </xf>
    <xf numFmtId="14" fontId="6" fillId="0" borderId="1" pivotButton="0" quotePrefix="0" xfId="0"/>
    <xf numFmtId="14" fontId="2" fillId="0" borderId="1" pivotButton="0" quotePrefix="0" xfId="0"/>
    <xf numFmtId="16" fontId="2" fillId="0" borderId="1" pivotButton="0" quotePrefix="0" xfId="0"/>
    <xf numFmtId="0" fontId="8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9" fillId="0" borderId="1" applyAlignment="1" pivotButton="0" quotePrefix="0" xfId="0">
      <alignment vertical="center" wrapText="1"/>
    </xf>
    <xf numFmtId="0" fontId="1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wrapText="1"/>
    </xf>
    <xf numFmtId="0" fontId="14" fillId="0" borderId="0" pivotButton="0" quotePrefix="0" xfId="0"/>
    <xf numFmtId="0" fontId="3" fillId="0" borderId="0" pivotButton="0" quotePrefix="0" xfId="0"/>
    <xf numFmtId="166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4">
    <dxf>
      <fill>
        <patternFill>
          <bgColor rgb="FFFDE68A"/>
        </patternFill>
      </fill>
    </dxf>
    <dxf>
      <fill>
        <patternFill>
          <bgColor rgb="FFF3F4F6"/>
        </patternFill>
      </fill>
    </dxf>
    <dxf>
      <fill>
        <patternFill>
          <bgColor rgb="FFE5E7EB"/>
        </patternFill>
      </fill>
    </dxf>
    <dxf>
      <fill>
        <patternFill>
          <bgColor rgb="FFBBF7D0"/>
        </patternFill>
      </fill>
    </dxf>
    <dxf>
      <fill>
        <patternFill>
          <bgColor rgb="FFFDE68A"/>
        </patternFill>
      </fill>
    </dxf>
    <dxf>
      <fill>
        <patternFill>
          <bgColor rgb="FFFCA5A5"/>
        </patternFill>
      </fill>
    </dxf>
    <dxf>
      <fill>
        <patternFill>
          <bgColor rgb="FFBBF7D0"/>
        </patternFill>
      </fill>
    </dxf>
    <dxf>
      <fill>
        <patternFill>
          <bgColor rgb="FFC7D2FE"/>
        </patternFill>
      </fill>
    </dxf>
    <dxf>
      <fill>
        <patternFill>
          <bgColor rgb="FF99F0E4"/>
        </patternFill>
      </fill>
    </dxf>
    <dxf>
      <fill>
        <patternFill>
          <bgColor rgb="FFFED7AA"/>
        </patternFill>
      </fill>
    </dxf>
    <dxf>
      <fill>
        <patternFill>
          <bgColor rgb="FFFDE8B4"/>
        </patternFill>
      </fill>
    </dxf>
    <dxf>
      <fill>
        <patternFill>
          <bgColor rgb="FFDDD6FE"/>
        </patternFill>
      </fill>
    </dxf>
    <dxf>
      <fill>
        <patternFill>
          <bgColor rgb="FFBFDBFE"/>
        </patternFill>
      </fill>
    </dxf>
    <dxf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DE68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E8"/>
      <rgbColor rgb="FFF3F4F6"/>
      <rgbColor rgb="FF660066"/>
      <rgbColor rgb="FFFF8080"/>
      <rgbColor rgb="FF0066CC"/>
      <rgbColor rgb="FFC7D2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BBF7D0"/>
      <rgbColor rgb="FFFDE8B4"/>
      <rgbColor rgb="FFBFDBFE"/>
      <rgbColor rgb="FFFCA5A5"/>
      <rgbColor rgb="FFDDD6FE"/>
      <rgbColor rgb="FFFED7AA"/>
      <rgbColor rgb="FF2563EB"/>
      <rgbColor rgb="FF99F0E4"/>
      <rgbColor rgb="FF99CC00"/>
      <rgbColor rgb="FFFFCC00"/>
      <rgbColor rgb="FFFF9900"/>
      <rgbColor rgb="FFFF6600"/>
      <rgbColor rgb="FF666666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zoomScaleNormal="100" workbookViewId="0">
      <selection activeCell="A1" sqref="A1"/>
    </sheetView>
  </sheetViews>
  <sheetFormatPr baseColWidth="8" defaultColWidth="8.7421875" defaultRowHeight="15"/>
  <cols>
    <col width="99.94921875" customWidth="1" style="1" min="1" max="1"/>
  </cols>
  <sheetData>
    <row r="1" ht="19.5" customHeight="1" s="1">
      <c r="A1" s="2" t="inlineStr">
        <is>
          <t>Plataforma de Seguimiento Toyota Corregidora — versión Excel</t>
        </is>
      </c>
    </row>
    <row r="2" ht="30" customHeight="1" s="1">
      <c r="A2" s="3" t="n"/>
    </row>
    <row r="3" ht="19.5" customHeight="1" s="1">
      <c r="A3" s="4" t="inlineStr">
        <is>
          <t>Cómo usar este archivo:</t>
        </is>
      </c>
    </row>
    <row r="4" ht="30" customHeight="1" s="1">
      <c r="A4" s="3" t="inlineStr">
        <is>
          <t>1. Ve a la pestaña 'Clientes' y da de alta cada cliente en una fila nueva (usa los menús desplegables en Vehículo, Método de Compra, Tipo de Persona, Avalúo, Primera Visita y Etapa).</t>
        </is>
      </c>
    </row>
    <row r="5" ht="30" customHeight="1" s="1">
      <c r="A5" s="3" t="inlineStr">
        <is>
          <t>2. La fila cambia de color automáticamente según la Etapa que selecciones (Prospecto, Apartado, Toma de vehículo, Pago, Contrato, Facturación, Programación, Entregado).</t>
        </is>
      </c>
    </row>
    <row r="6" ht="30" customHeight="1" s="1">
      <c r="A6" s="3" t="inlineStr">
        <is>
          <t>3. Las columnas Q a Z generan el texto del mensaje y un enlace 'Enviar' que abre WhatsApp Web con el mensaje ya redactado — solo da clic y presiona enviar.</t>
        </is>
      </c>
    </row>
    <row r="7" ht="30" customHeight="1" s="1">
      <c r="A7" s="3" t="inlineStr">
        <is>
          <t>4. En 'Requisitos' filtra por Método de Compra y Tipo de Persona con el autofiltro para ver la checklist correspondiente; ahí también están los beneficios de crédito.</t>
        </is>
      </c>
    </row>
    <row r="8" ht="30" customHeight="1" s="1">
      <c r="A8" s="3" t="inlineStr">
        <is>
          <t>5. En 'Fichas y Beneficios' tienes el nombre del PDF de cada vehículo (guárdalos en una carpeta llamada 'fichas' junto a este archivo).</t>
        </is>
      </c>
    </row>
    <row r="9" ht="30" customHeight="1" s="1">
      <c r="A9" s="3" t="inlineStr">
        <is>
          <t>6. En 'Facturación' selecciona el nombre del cliente (ya dado de alta en Clientes) y llena sus datos; el mensaje de confirmación y el enlace de WhatsApp se generan solos.</t>
        </is>
      </c>
    </row>
    <row r="10" ht="30" customHeight="1" s="1">
      <c r="A10" s="3" t="n"/>
    </row>
    <row r="11" ht="30" customHeight="1" s="1">
      <c r="A11" s="5" t="inlineStr">
        <is>
          <t>Nota: los enlaces de WhatsApp requieren que el número de teléfono tenga 10 dígitos (se le agrega automáticamente el 52 de México).</t>
        </is>
      </c>
    </row>
    <row r="12" ht="30" customHeight="1" s="1">
      <c r="A12" s="5" t="inlineStr">
        <is>
          <t>Nota: al abrir el archivo, Excel puede preguntar si deseas habilitar el cálculo de fórmulas o el contenido externo — acepta para que los mensajes se generen correctamente.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zoomScaleNormal="100" workbookViewId="0">
      <selection activeCell="A1" sqref="A1"/>
    </sheetView>
  </sheetViews>
  <sheetFormatPr baseColWidth="8" defaultColWidth="8.7421875" defaultRowHeight="15"/>
  <sheetData>
    <row r="1" ht="95.25" customHeight="1" s="1">
      <c r="A1" t="inlineStr">
        <is>
          <t>Firma (footer de mensajes)</t>
        </is>
      </c>
      <c r="B1" s="6">
        <f>"Atentamente."&amp;CHAR(10)&amp;CHAR(10)&amp;"*Alejandro Estrada*"&amp;CHAR(10)&amp;"Asesor de ventas"&amp;CHAR(10)&amp;"Toyota Corregidora"&amp;CHAR(10)&amp;"4427485194"&amp;CHAR(10)&amp;"jestrada@toyotacorregidora.mx"</f>
        <v/>
      </c>
      <c r="D1" t="inlineStr">
        <is>
          <t>Vehículos</t>
        </is>
      </c>
      <c r="E1" t="inlineStr">
        <is>
          <t>Método de Compra</t>
        </is>
      </c>
      <c r="F1" t="inlineStr">
        <is>
          <t>Tipo de Persona</t>
        </is>
      </c>
      <c r="G1" t="inlineStr">
        <is>
          <t>Sí/No</t>
        </is>
      </c>
      <c r="H1" t="inlineStr">
        <is>
          <t>Etapa</t>
        </is>
      </c>
      <c r="I1" t="inlineStr">
        <is>
          <t>Tipo de Mensaje</t>
        </is>
      </c>
    </row>
    <row r="2" ht="15" customHeight="1" s="1">
      <c r="D2" t="inlineStr">
        <is>
          <t>Yaris Sedan</t>
        </is>
      </c>
      <c r="E2" t="inlineStr">
        <is>
          <t>Crédito</t>
        </is>
      </c>
      <c r="F2" t="inlineStr">
        <is>
          <t>Persona física</t>
        </is>
      </c>
      <c r="G2" t="inlineStr">
        <is>
          <t>Sí</t>
        </is>
      </c>
      <c r="H2" t="inlineStr">
        <is>
          <t>Prospecto / Visita</t>
        </is>
      </c>
      <c r="I2" t="inlineStr">
        <is>
          <t>Bienvenida (primera visita)</t>
        </is>
      </c>
    </row>
    <row r="3" ht="15" customHeight="1" s="1">
      <c r="D3" t="inlineStr">
        <is>
          <t>Yaris Sedan HEV</t>
        </is>
      </c>
      <c r="E3" t="inlineStr">
        <is>
          <t>Contado</t>
        </is>
      </c>
      <c r="F3" t="inlineStr">
        <is>
          <t>Persona física con actividad empresarial</t>
        </is>
      </c>
      <c r="G3" t="inlineStr">
        <is>
          <t>No</t>
        </is>
      </c>
      <c r="H3" t="inlineStr">
        <is>
          <t>Apartado</t>
        </is>
      </c>
      <c r="I3" t="inlineStr">
        <is>
          <t>Seguimiento</t>
        </is>
      </c>
    </row>
    <row r="4" ht="15" customHeight="1" s="1">
      <c r="D4" t="inlineStr">
        <is>
          <t>Yaris HB</t>
        </is>
      </c>
      <c r="F4" t="inlineStr">
        <is>
          <t>Persona moral</t>
        </is>
      </c>
      <c r="H4" t="inlineStr">
        <is>
          <t>Toma de vehículo</t>
        </is>
      </c>
      <c r="I4" t="inlineStr">
        <is>
          <t>Aviso de Etapa</t>
        </is>
      </c>
    </row>
    <row r="5" ht="15" customHeight="1" s="1">
      <c r="D5" t="inlineStr">
        <is>
          <t>GR Yaris</t>
        </is>
      </c>
      <c r="H5" t="inlineStr">
        <is>
          <t>Pago vehículo a cuenta</t>
        </is>
      </c>
      <c r="I5" t="inlineStr">
        <is>
          <t>Requisitos</t>
        </is>
      </c>
    </row>
    <row r="6" ht="15" customHeight="1" s="1">
      <c r="D6" t="inlineStr">
        <is>
          <t>Corolla</t>
        </is>
      </c>
      <c r="H6" t="inlineStr">
        <is>
          <t>Firma de contrato</t>
        </is>
      </c>
      <c r="I6" t="inlineStr">
        <is>
          <t>Datos de Facturación</t>
        </is>
      </c>
    </row>
    <row r="7" ht="15" customHeight="1" s="1">
      <c r="D7" t="inlineStr">
        <is>
          <t>GR Corolla</t>
        </is>
      </c>
      <c r="H7" t="inlineStr">
        <is>
          <t>Facturación</t>
        </is>
      </c>
      <c r="I7" t="inlineStr">
        <is>
          <t>Cumpleaños</t>
        </is>
      </c>
    </row>
    <row r="8" ht="15" customHeight="1" s="1">
      <c r="D8" t="inlineStr">
        <is>
          <t>Camry</t>
        </is>
      </c>
      <c r="H8" t="inlineStr">
        <is>
          <t>Programación de entrega</t>
        </is>
      </c>
      <c r="I8" t="inlineStr">
        <is>
          <t>Aniversario</t>
        </is>
      </c>
    </row>
    <row r="9" ht="15" customHeight="1" s="1">
      <c r="D9" t="inlineStr">
        <is>
          <t>Prius</t>
        </is>
      </c>
      <c r="H9" t="inlineStr">
        <is>
          <t>Entregado</t>
        </is>
      </c>
    </row>
    <row r="10" ht="15" customHeight="1" s="1">
      <c r="D10" t="inlineStr">
        <is>
          <t>Supra</t>
        </is>
      </c>
    </row>
    <row r="11" ht="15" customHeight="1" s="1">
      <c r="D11" t="inlineStr">
        <is>
          <t>Raize</t>
        </is>
      </c>
    </row>
    <row r="12" ht="15" customHeight="1" s="1">
      <c r="D12" t="inlineStr">
        <is>
          <t>Avanza</t>
        </is>
      </c>
    </row>
    <row r="13" ht="15" customHeight="1" s="1">
      <c r="D13" t="inlineStr">
        <is>
          <t>Corolla Cross</t>
        </is>
      </c>
    </row>
    <row r="14" ht="15" customHeight="1" s="1">
      <c r="D14" t="inlineStr">
        <is>
          <t>Rav-4</t>
        </is>
      </c>
    </row>
    <row r="15" ht="15" customHeight="1" s="1">
      <c r="D15" t="inlineStr">
        <is>
          <t>Highlander</t>
        </is>
      </c>
    </row>
    <row r="16" ht="15" customHeight="1" s="1">
      <c r="D16" t="inlineStr">
        <is>
          <t>Sienna</t>
        </is>
      </c>
    </row>
    <row r="17" ht="15" customHeight="1" s="1">
      <c r="D17" t="inlineStr">
        <is>
          <t>4Runner</t>
        </is>
      </c>
    </row>
    <row r="18" ht="15" customHeight="1" s="1">
      <c r="D18" t="inlineStr">
        <is>
          <t>Sequoia</t>
        </is>
      </c>
    </row>
    <row r="19" ht="15" customHeight="1" s="1">
      <c r="D19" t="inlineStr">
        <is>
          <t>Hilux</t>
        </is>
      </c>
    </row>
    <row r="20" ht="15" customHeight="1" s="1">
      <c r="D20" t="inlineStr">
        <is>
          <t>Tacoma</t>
        </is>
      </c>
    </row>
    <row r="21" ht="15" customHeight="1" s="1">
      <c r="D21" t="inlineStr">
        <is>
          <t>Tundra</t>
        </is>
      </c>
    </row>
    <row r="22" ht="15" customHeight="1" s="1">
      <c r="D22" t="inlineStr">
        <is>
          <t>Hiace</t>
        </is>
      </c>
    </row>
    <row r="23" ht="15" customHeight="1" s="1">
      <c r="D23" t="inlineStr">
        <is>
          <t>Otro (especificar)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01"/>
  <sheetViews>
    <sheetView showGridLines="0" zoomScaleNormal="100" workbookViewId="0">
      <pane xSplit="2" ySplit="1" topLeftCell="E2" activePane="bottomRight" state="frozen"/>
      <selection pane="bottomLeft" activeCell="A2" sqref="A2"/>
      <selection pane="topRight" activeCell="C1" sqref="C1"/>
      <selection pane="bottomRight" activeCell="U2" sqref="U2"/>
    </sheetView>
  </sheetViews>
  <sheetFormatPr baseColWidth="8" defaultColWidth="8.7421875" defaultRowHeight="15"/>
  <cols>
    <col width="4.9765625" customWidth="1" style="1" min="1" max="1"/>
    <col width="20.04296875" customWidth="1" style="1" min="2" max="2"/>
    <col width="13.046875" customWidth="1" style="1" min="3" max="3"/>
    <col width="16.0078125" customWidth="1" style="1" min="4" max="4"/>
    <col width="13.98828125" customWidth="1" style="1" min="5" max="5"/>
    <col width="14.9296875" customWidth="1" style="1" min="6" max="6"/>
    <col width="25.9609375" customWidth="1" style="1" min="7" max="7"/>
    <col width="9.953125" customWidth="1" style="1" min="8" max="8"/>
    <col width="16.0078125" customWidth="1" style="1" min="9" max="9"/>
    <col width="11.97265625" customWidth="1" style="1" min="10" max="10"/>
    <col width="25.9609375" customWidth="1" style="1" min="11" max="11"/>
    <col width="11.97265625" customWidth="1" style="1" min="12" max="12"/>
    <col width="20.04296875" customWidth="1" style="1" min="13" max="13"/>
    <col width="13.046875" customWidth="1" style="1" min="14" max="14"/>
    <col width="11.97265625" customWidth="1" style="1" min="15" max="15"/>
    <col width="13.98828125" customWidth="1" style="1" min="16" max="16"/>
    <col width="41.96875" customWidth="1" style="1" min="17" max="17"/>
    <col width="16.0078125" customWidth="1" style="1" min="18" max="18"/>
    <col width="41.96875" customWidth="1" style="1" min="19" max="19"/>
    <col width="16.0078125" customWidth="1" style="1" min="20" max="20"/>
    <col width="41.96875" customWidth="1" style="1" min="21" max="21"/>
    <col width="16.0078125" customWidth="1" style="1" min="22" max="22"/>
    <col width="34.03125" customWidth="1" style="1" min="23" max="23"/>
    <col width="16.0078125" customWidth="1" style="1" min="24" max="24"/>
    <col width="34.03125" customWidth="1" style="1" min="25" max="25"/>
    <col width="16.0078125" customWidth="1" style="1" min="26" max="26"/>
    <col width="23.9453125" customWidth="1" style="1" min="27" max="27"/>
    <col width="20.04296875" customWidth="1" style="1" min="28" max="28"/>
    <col width="41.96875" customWidth="1" style="1" min="29" max="30"/>
  </cols>
  <sheetData>
    <row r="1" ht="31.5" customHeight="1" s="1">
      <c r="A1" s="7" t="inlineStr">
        <is>
          <t>No.</t>
        </is>
      </c>
      <c r="B1" s="7" t="inlineStr">
        <is>
          <t>Nombre</t>
        </is>
      </c>
      <c r="C1" s="7" t="inlineStr">
        <is>
          <t>Teléfono</t>
        </is>
      </c>
      <c r="D1" s="7" t="inlineStr">
        <is>
          <t>Vehículo</t>
        </is>
      </c>
      <c r="E1" s="7" t="inlineStr">
        <is>
          <t>Versión</t>
        </is>
      </c>
      <c r="F1" s="7" t="inlineStr">
        <is>
          <t>Método de Compra</t>
        </is>
      </c>
      <c r="G1" s="7" t="inlineStr">
        <is>
          <t>Tipo de Persona</t>
        </is>
      </c>
      <c r="H1" s="7" t="inlineStr">
        <is>
          <t>Avalúo (Sí/No)</t>
        </is>
      </c>
      <c r="I1" s="7" t="inlineStr">
        <is>
          <t>Vehículo Avalúo</t>
        </is>
      </c>
      <c r="J1" s="7" t="inlineStr">
        <is>
          <t>Oferta Avalúo</t>
        </is>
      </c>
      <c r="K1" s="7" t="inlineStr">
        <is>
          <t>Comentarios</t>
        </is>
      </c>
      <c r="L1" s="7" t="inlineStr">
        <is>
          <t>Primera Visita (Sí/No)</t>
        </is>
      </c>
      <c r="M1" s="7" t="inlineStr">
        <is>
          <t>Etapa</t>
        </is>
      </c>
      <c r="N1" s="7" t="inlineStr">
        <is>
          <t>Fecha Registro</t>
        </is>
      </c>
      <c r="O1" s="7" t="inlineStr">
        <is>
          <t>Cumpleaños</t>
        </is>
      </c>
      <c r="P1" s="7" t="inlineStr">
        <is>
          <t>Fecha Entrega (Aniversario)</t>
        </is>
      </c>
      <c r="Q1" s="7" t="inlineStr">
        <is>
          <t>Mensaje Bienvenida</t>
        </is>
      </c>
      <c r="R1" s="7" t="inlineStr">
        <is>
          <t>WhatsApp Bienvenida</t>
        </is>
      </c>
      <c r="S1" s="7" t="inlineStr">
        <is>
          <t>Mensaje Seguimiento</t>
        </is>
      </c>
      <c r="T1" s="7" t="inlineStr">
        <is>
          <t>WhatsApp Seguimiento</t>
        </is>
      </c>
      <c r="U1" s="7" t="inlineStr">
        <is>
          <t>Mensaje por Etapa</t>
        </is>
      </c>
      <c r="V1" s="7" t="inlineStr">
        <is>
          <t>WhatsApp Etapa</t>
        </is>
      </c>
      <c r="W1" s="7" t="inlineStr">
        <is>
          <t>Mensaje Cumpleaños</t>
        </is>
      </c>
      <c r="X1" s="7" t="inlineStr">
        <is>
          <t>WhatsApp Cumpleaños</t>
        </is>
      </c>
      <c r="Y1" s="7" t="inlineStr">
        <is>
          <t>Mensaje Aniversario</t>
        </is>
      </c>
      <c r="Z1" s="7" t="inlineStr">
        <is>
          <t>WhatsApp Aniversario</t>
        </is>
      </c>
      <c r="AA1" s="7" t="inlineStr">
        <is>
          <t>Tipo de Mensaje a Enviar</t>
        </is>
      </c>
      <c r="AB1" s="7" t="inlineStr">
        <is>
          <t>Enviar Mensaje Seleccionado</t>
        </is>
      </c>
      <c r="AC1" s="7" t="inlineStr">
        <is>
          <t>Mensaje Requisitos (auto)</t>
        </is>
      </c>
      <c r="AD1" s="7" t="inlineStr">
        <is>
          <t>Mensaje Facturación (auto, si ya está en la pestaña Facturación)</t>
        </is>
      </c>
    </row>
    <row r="2" ht="15" customHeight="1" s="1">
      <c r="A2" s="11">
        <f>IF(B2="","",ROW()-1)</f>
        <v/>
      </c>
      <c r="B2" s="9" t="inlineStr">
        <is>
          <t>Fernando Velasco</t>
        </is>
      </c>
      <c r="C2" s="9" t="n">
        <v>4424479460</v>
      </c>
      <c r="D2" s="9" t="inlineStr">
        <is>
          <t>Corolla Cross</t>
        </is>
      </c>
      <c r="E2" s="9" t="inlineStr">
        <is>
          <t>XLE</t>
        </is>
      </c>
      <c r="F2" s="9" t="inlineStr">
        <is>
          <t>Contado</t>
        </is>
      </c>
      <c r="G2" s="9" t="inlineStr">
        <is>
          <t>Persona física</t>
        </is>
      </c>
      <c r="H2" s="9" t="inlineStr">
        <is>
          <t>No</t>
        </is>
      </c>
      <c r="I2" s="9" t="n"/>
      <c r="J2" s="9" t="n"/>
      <c r="K2" s="9" t="inlineStr">
        <is>
          <t xml:space="preserve">Sale de viaje a Europa y regresa en noviembre o diciembre </t>
        </is>
      </c>
      <c r="L2" s="9" t="inlineStr">
        <is>
          <t>Sí</t>
        </is>
      </c>
      <c r="M2" s="9" t="inlineStr">
        <is>
          <t>Prospecto / Visita</t>
        </is>
      </c>
      <c r="N2" s="26" t="n">
        <v>46253</v>
      </c>
      <c r="O2" s="9" t="n"/>
      <c r="P2" s="9" t="n"/>
      <c r="Q2" s="10">
        <f>IF(OR(B2="",L2&lt;&gt;"Sí"),"","Hola, "&amp;B2&amp;", excelente día. Le saluda *Alejandro Estrada* de Toyota Corregidora."&amp;CHAR(10)&amp;"Muchas gracias por visitarnos y conocer la *"&amp;D2&amp;"*.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2" s="11">
        <f>IF(Q2="","",HYPERLINK("https://wa.me/52"&amp;C2&amp;"?text="&amp;_xlfn.ENCODEURL(Q2),"Enviar Bienvenida"))</f>
        <v/>
      </c>
      <c r="S2" s="10">
        <f>IF(B2="","","Hola, "&amp;B2&amp;", muy buen día."&amp;CHAR(10)&amp;"Espero que esté teniendo una excelente semana. Le escribo para saber si tiene alguna duda sobre la oferta del *"&amp;D2&amp;"*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2" s="11">
        <f>IF(S2="","",HYPERLINK("https://wa.me/52"&amp;C2&amp;"?text="&amp;_xlfn.ENCODEURL(S2),"Enviar Seguimiento"))</f>
        <v/>
      </c>
      <c r="U2" s="10">
        <f>IF(B2="","",_xlfn.SWITCH(M2,"Apartado","Hola, "&amp;B2&amp;", buen día. Le confirmo que su apartado por el *"&amp;D2&amp;"* quedó registrado correctamente. Seguimos con el proceso y le mantendré informado(a) de cada paso.","Toma de vehículo","Hola, "&amp;B2&amp;", le comparto que estamos en el proceso de toma de su vehículo actual. En cuanto tengamos el resultado le aviso para continuar con el siguiente paso.","Pago vehículo a cuenta","Hola, "&amp;B2&amp;", quedamos en proceso de pago del vehículo que se toma a cuenta. Cualquier documento o aclaración que se requiera se lo haré saber por este medio.","Firma de contrato","Hola, "&amp;B2&amp;", ya estamos listos para agendar la firma de su contrato. ¿Qué día y hora se le facilita para realizarla?","Facturación","Hola, "&amp;B2&amp;", su unidad ya está en proceso de facturación. En breve le comparto los datos para su confirmación.","Programación de entrega","Hola, "&amp;B2&amp;", con gusto le comparto que ya podemos programar la entrega de su *"&amp;D2&amp;"*. ¿Qué día y hora le acomodan mejor?","Entregado","Hola, "&amp;B2&amp;", ¡muchas felicidades por estrenar su *"&amp;D2&amp;"*! Fue un gusto acompañarle en este proceso. Quedo pendiente de cualquier duda y con gusto le agendo su próxima cita de servicio cuando lo necesite.","Hola, "&amp;B2&amp;", seguimos en contacto para avanzar con el proceso de su próximo Toyota.")&amp;CHAR(10)&amp;CHAR(10)&amp;Config!$B$1)</f>
        <v/>
      </c>
      <c r="V2" s="11">
        <f>IF(U2="","",HYPERLINK("https://wa.me/52"&amp;C2&amp;"?text="&amp;_xlfn.ENCODEURL(U2),"Enviar aviso de etapa"))</f>
        <v/>
      </c>
      <c r="W2" s="10">
        <f>IF(OR(B2="",O2=""),"","Hola, "&amp;B2&amp;", ¡feliz cumpleaños! Le deseo un excelente día rodeado de quienes más quiere. Ha sido un placer acompañarle desde que estrenó su Toyota. ¡Un abrazo!"&amp;CHAR(10)&amp;CHAR(10)&amp;Config!$B$1)</f>
        <v/>
      </c>
      <c r="X2" s="11">
        <f>IF(W2="","",HYPERLINK("https://wa.me/52"&amp;C2&amp;"?text="&amp;_xlfn.ENCODEURL(W2),"Enviar felicitación"))</f>
        <v/>
      </c>
      <c r="Y2" s="10">
        <f>IF(OR(B2="",P2=""),"","Hola, "&amp;B2&amp;", hoy se cumple un año más desde que estrenó su *"&amp;D2&amp;"*. Espero que haya sido un gran compañero de camino. Cualquier cosa que necesite, aquí estoy para apoyarle."&amp;CHAR(10)&amp;CHAR(10)&amp;Config!$B$1)</f>
        <v/>
      </c>
      <c r="Z2" s="11">
        <f>IF(Y2="","",HYPERLINK("https://wa.me/52"&amp;C2&amp;"?text="&amp;_xlfn.ENCODEURL(Y2),"Enviar aniversario"))</f>
        <v/>
      </c>
      <c r="AA2" s="11" t="n"/>
      <c r="AB2" s="11">
        <f>IF(OR(B2="",AA2=""),"",HYPERLINK("https://wa.me/52"&amp;C2&amp;"?text="&amp;_xlfn.ENCODEURL(_xlfn.SWITCH(AA2,"Bienvenida (primera visita)",Q2,"Seguimiento",S2,"Aviso de Etapa",U2,"Requisitos",AC2,"Datos de Facturación",AD2,"Cumpleaños",W2,"Aniversario",Y2,"")),"Enviar mensaje seleccionado"))</f>
        <v/>
      </c>
      <c r="AC2" s="10">
        <f>IF(B2="","",_xlfn.SWITCH(F2&amp;"|"&amp;G2,"Crédito|Persona física","Hola, "&amp;B2&amp;", para continuar con el proceso de tu *"&amp;D2&amp;"* por "&amp;F2&amp;",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"&amp;B2&amp;", para continuar con el proceso de tu *"&amp;D2&amp;"* por "&amp;F2&amp;",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"&amp;B2&amp;", para continuar con el proceso de tu *"&amp;D2&amp;"* por "&amp;F2&amp;",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"&amp;B2&amp;", para continuar con el proceso de tu *"&amp;D2&amp;"* por "&amp;F2&amp;", estos son los documentos que necesitamos:"&amp;CHAR(10)&amp;CHAR(10)&amp;"- INE"&amp;CHAR(10)&amp;"- Comprobante de domicilio"&amp;CHAR(10)&amp;"- Constancia de situación fiscal (no mayor a 3 meses)","Contado|Persona física con actividad empresarial","Hola, "&amp;B2&amp;", para continuar con el proceso de tu *"&amp;D2&amp;"* por "&amp;F2&amp;", estos son los documentos que necesitamos:"&amp;CHAR(10)&amp;CHAR(10)&amp;"- INE"&amp;CHAR(10)&amp;"- Comprobante de domicilio"&amp;CHAR(10)&amp;"- Constancia de situación fiscal (no mayor a 3 meses)","Contado|Persona moral","Hola, "&amp;B2&amp;", para continuar con el proceso de tu *"&amp;D2&amp;"* por "&amp;F2&amp;",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2" s="10">
        <f>IFERROR(INDEX(Facturación!$Q:$Q,MATCH(B2,Facturación!$A:$A,0)),"")</f>
        <v/>
      </c>
    </row>
    <row r="3" ht="15" customHeight="1" s="1">
      <c r="A3" s="11">
        <f>IF(B3="","",ROW()-1)</f>
        <v/>
      </c>
      <c r="B3" s="11" t="inlineStr">
        <is>
          <t>Adalberto Rusiles</t>
        </is>
      </c>
      <c r="C3" s="11" t="n">
        <v>4422055531</v>
      </c>
      <c r="D3" s="11" t="inlineStr">
        <is>
          <t>Hilux</t>
        </is>
      </c>
      <c r="E3" s="11" t="inlineStr">
        <is>
          <t>Base</t>
        </is>
      </c>
      <c r="F3" s="11" t="inlineStr">
        <is>
          <t>Crédito</t>
        </is>
      </c>
      <c r="G3" s="11" t="inlineStr">
        <is>
          <t>Persona física</t>
        </is>
      </c>
      <c r="H3" s="11" t="inlineStr">
        <is>
          <t>No</t>
        </is>
      </c>
      <c r="I3" s="11" t="n"/>
      <c r="J3" s="11" t="n"/>
      <c r="K3" s="11" t="inlineStr">
        <is>
          <t>En busca de la pickup mas pequeña</t>
        </is>
      </c>
      <c r="L3" s="11" t="inlineStr">
        <is>
          <t>Sí</t>
        </is>
      </c>
      <c r="M3" s="11" t="inlineStr">
        <is>
          <t>Prospecto / Visita</t>
        </is>
      </c>
      <c r="N3" s="27" t="n">
        <v>46251</v>
      </c>
      <c r="O3" s="11" t="n"/>
      <c r="P3" s="11" t="n"/>
      <c r="Q3" s="10">
        <f>IF(OR(B3="",L3&lt;&gt;"Sí"),"","Hola, "&amp;B3&amp;", excelente día. Le saluda *Alejandro Estrada* de Toyota Corregidora."&amp;CHAR(10)&amp;"Muchas gracias por visitarnos y conocer la *"&amp;D3&amp;"*.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3" s="11">
        <f>IF(Q3="","",HYPERLINK("https://wa.me/52"&amp;C3&amp;"?text="&amp;_xlfn.ENCODEURL(Q3),"Enviar Bienvenida"))</f>
        <v/>
      </c>
      <c r="S3" s="10">
        <f>IF(B3="","","Hola, "&amp;B3&amp;", muy buen día."&amp;CHAR(10)&amp;"Espero que esté teniendo una excelente semana. Le escribo para saber si tiene alguna duda sobre la oferta del *"&amp;D3&amp;"*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3" s="11">
        <f>IF(S3="","",HYPERLINK("https://wa.me/52"&amp;C3&amp;"?text="&amp;_xlfn.ENCODEURL(S3),"Enviar Seguimiento"))</f>
        <v/>
      </c>
      <c r="U3" s="10">
        <f>IF(B3="","",_xlfn.SWITCH(M3,"Apartado","Hola, "&amp;B3&amp;", buen día. Le confirmo que su apartado por el *"&amp;D3&amp;"* quedó registrado correctamente. Seguimos con el proceso y le mantendré informado(a) de cada paso.","Toma de vehículo","Hola, "&amp;B3&amp;", le comparto que estamos en el proceso de toma de su vehículo actual. En cuanto tengamos el resultado le aviso para continuar con el siguiente paso.","Pago vehículo a cuenta","Hola, "&amp;B3&amp;", quedamos en proceso de pago del vehículo que se toma a cuenta. Cualquier documento o aclaración que se requiera se lo haré saber por este medio.","Firma de contrato","Hola, "&amp;B3&amp;", ya estamos listos para agendar la firma de su contrato. ¿Qué día y hora se le facilita para realizarla?","Facturación","Hola, "&amp;B3&amp;", su unidad ya está en proceso de facturación. En breve le comparto los datos para su confirmación.","Programación de entrega","Hola, "&amp;B3&amp;", con gusto le comparto que ya podemos programar la entrega de su *"&amp;D3&amp;"*. ¿Qué día y hora le acomodan mejor?","Entregado","Hola, "&amp;B3&amp;", ¡muchas felicidades por estrenar su *"&amp;D3&amp;"*! Fue un gusto acompañarle en este proceso. Quedo pendiente de cualquier duda y con gusto le agendo su próxima cita de servicio cuando lo necesite.","Hola, "&amp;B3&amp;", seguimos en contacto para avanzar con el proceso de su próximo Toyota.")&amp;CHAR(10)&amp;CHAR(10)&amp;Config!$B$1)</f>
        <v/>
      </c>
      <c r="V3" s="11">
        <f>IF(U3="","",HYPERLINK("https://wa.me/52"&amp;C3&amp;"?text="&amp;_xlfn.ENCODEURL(U3),"Enviar aviso de etapa"))</f>
        <v/>
      </c>
      <c r="W3" s="10">
        <f>IF(OR(B3="",O3=""),"","Hola, "&amp;B3&amp;", ¡feliz cumpleaños! Le deseo un excelente día rodeado de quienes más quiere. Ha sido un placer acompañarle desde que estrenó su Toyota. ¡Un abrazo!"&amp;CHAR(10)&amp;CHAR(10)&amp;Config!$B$1)</f>
        <v/>
      </c>
      <c r="X3" s="11">
        <f>IF(W3="","",HYPERLINK("https://wa.me/52"&amp;C3&amp;"?text="&amp;_xlfn.ENCODEURL(W3),"Enviar felicitación"))</f>
        <v/>
      </c>
      <c r="Y3" s="10">
        <f>IF(OR(B3="",P3=""),"","Hola, "&amp;B3&amp;", hoy se cumple un año más desde que estrenó su *"&amp;D3&amp;"*. Espero que haya sido un gran compañero de camino. Cualquier cosa que necesite, aquí estoy para apoyarle."&amp;CHAR(10)&amp;CHAR(10)&amp;Config!$B$1)</f>
        <v/>
      </c>
      <c r="Z3" s="11">
        <f>IF(Y3="","",HYPERLINK("https://wa.me/52"&amp;C3&amp;"?text="&amp;_xlfn.ENCODEURL(Y3),"Enviar aniversario"))</f>
        <v/>
      </c>
      <c r="AA3" s="11" t="n"/>
      <c r="AB3" s="11">
        <f>IF(OR(B3="",AA3=""),"",HYPERLINK("https://wa.me/52"&amp;C3&amp;"?text="&amp;_xlfn.ENCODEURL(_xlfn.SWITCH(AA3,"Bienvenida (primera visita)",Q3,"Seguimiento",S3,"Aviso de Etapa",U3,"Requisitos",AC3,"Datos de Facturación",AD3,"Cumpleaños",W3,"Aniversario",Y3,"")),"Enviar mensaje seleccionado"))</f>
        <v/>
      </c>
      <c r="AC3" s="10">
        <f>IF(B3="","",_xlfn.SWITCH(F3&amp;"|"&amp;G3,"Crédito|Persona física","Hola, "&amp;B3&amp;", para continuar con el proceso de tu *"&amp;D3&amp;"* por "&amp;F3&amp;",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"&amp;B3&amp;", para continuar con el proceso de tu *"&amp;D3&amp;"* por "&amp;F3&amp;",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"&amp;B3&amp;", para continuar con el proceso de tu *"&amp;D3&amp;"* por "&amp;F3&amp;",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"&amp;B3&amp;", para continuar con el proceso de tu *"&amp;D3&amp;"* por "&amp;F3&amp;", estos son los documentos que necesitamos:"&amp;CHAR(10)&amp;CHAR(10)&amp;"- INE"&amp;CHAR(10)&amp;"- Comprobante de domicilio"&amp;CHAR(10)&amp;"- Constancia de situación fiscal (no mayor a 3 meses)","Contado|Persona física con actividad empresarial","Hola, "&amp;B3&amp;", para continuar con el proceso de tu *"&amp;D3&amp;"* por "&amp;F3&amp;", estos son los documentos que necesitamos:"&amp;CHAR(10)&amp;CHAR(10)&amp;"- INE"&amp;CHAR(10)&amp;"- Comprobante de domicilio"&amp;CHAR(10)&amp;"- Constancia de situación fiscal (no mayor a 3 meses)","Contado|Persona moral","Hola, "&amp;B3&amp;", para continuar con el proceso de tu *"&amp;D3&amp;"* por "&amp;F3&amp;",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3" s="10">
        <f>IFERROR(INDEX(Facturación!$Q:$Q,MATCH(B3,Facturación!$A:$A,0)),"")</f>
        <v/>
      </c>
    </row>
    <row r="4" ht="15" customHeight="1" s="1">
      <c r="A4" s="11">
        <f>IF(B4="","",ROW()-1)</f>
        <v/>
      </c>
      <c r="B4" s="11" t="inlineStr">
        <is>
          <t>Miguel Corona</t>
        </is>
      </c>
      <c r="C4" s="11" t="n">
        <v>4424479460</v>
      </c>
      <c r="D4" s="11" t="inlineStr">
        <is>
          <t>Rav-4</t>
        </is>
      </c>
      <c r="E4" s="11" t="inlineStr">
        <is>
          <t>XLE</t>
        </is>
      </c>
      <c r="F4" s="11" t="inlineStr">
        <is>
          <t>Contado</t>
        </is>
      </c>
      <c r="G4" s="11" t="inlineStr">
        <is>
          <t>Persona física</t>
        </is>
      </c>
      <c r="H4" s="11" t="inlineStr">
        <is>
          <t>No</t>
        </is>
      </c>
      <c r="I4" s="11" t="n"/>
      <c r="J4" s="11" t="n"/>
      <c r="K4" s="11" t="inlineStr">
        <is>
          <t>Cambiar a credito 100k</t>
        </is>
      </c>
      <c r="L4" s="11" t="inlineStr">
        <is>
          <t>Sí</t>
        </is>
      </c>
      <c r="M4" s="11" t="inlineStr">
        <is>
          <t>Apartado</t>
        </is>
      </c>
      <c r="N4" s="27" t="n">
        <v>46251</v>
      </c>
      <c r="O4" s="28" t="n">
        <v>46363</v>
      </c>
      <c r="P4" s="11" t="n"/>
      <c r="Q4" s="10">
        <f>IF(OR(B4="",L4&lt;&gt;"Sí"),"","Hola, "&amp;B4&amp;", excelente día. Le saluda *Alejandro Estrada* de Toyota Corregidora."&amp;CHAR(10)&amp;"Muchas gracias por visitarnos y conocer la *"&amp;D4&amp;"*.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4" s="11">
        <f>IF(Q4="","",HYPERLINK("https://wa.me/52"&amp;C4&amp;"?text="&amp;_xlfn.ENCODEURL(Q4),"Enviar Bienvenida"))</f>
        <v/>
      </c>
      <c r="S4" s="10">
        <f>IF(B4="","","Hola, "&amp;B4&amp;", muy buen día."&amp;CHAR(10)&amp;"Espero que esté teniendo una excelente semana. Le escribo para saber si tiene alguna duda sobre la oferta del *"&amp;D4&amp;"*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4" s="11">
        <f>IF(S4="","",HYPERLINK("https://wa.me/52"&amp;C4&amp;"?text="&amp;_xlfn.ENCODEURL(S4),"Enviar Seguimiento"))</f>
        <v/>
      </c>
      <c r="U4" s="10">
        <f>IF(B4="","",_xlfn.SWITCH(M4,"Apartado","Hola, "&amp;B4&amp;", buen día. Le confirmo que su apartado por el *"&amp;D4&amp;"* quedó registrado correctamente. Seguimos con el proceso y le mantendré informado(a) de cada paso.","Toma de vehículo","Hola, "&amp;B4&amp;", le comparto que estamos en el proceso de toma de su vehículo actual. En cuanto tengamos el resultado le aviso para continuar con el siguiente paso.","Pago vehículo a cuenta","Hola, "&amp;B4&amp;", quedamos en proceso de pago del vehículo que se toma a cuenta. Cualquier documento o aclaración que se requiera se lo haré saber por este medio.","Firma de contrato","Hola, "&amp;B4&amp;", ya estamos listos para agendar la firma de su contrato. ¿Qué día y hora se le facilita para realizarla?","Facturación","Hola, "&amp;B4&amp;", su unidad ya está en proceso de facturación. En breve le comparto los datos para su confirmación.","Programación de entrega","Hola, "&amp;B4&amp;", con gusto le comparto que ya podemos programar la entrega de su *"&amp;D4&amp;"*. ¿Qué día y hora le acomodan mejor?","Entregado","Hola, "&amp;B4&amp;", ¡muchas felicidades por estrenar su *"&amp;D4&amp;"*! Fue un gusto acompañarle en este proceso. Quedo pendiente de cualquier duda y con gusto le agendo su próxima cita de servicio cuando lo necesite.","Hola, "&amp;B4&amp;", seguimos en contacto para avanzar con el proceso de su próximo Toyota.")&amp;CHAR(10)&amp;CHAR(10)&amp;Config!$B$1)</f>
        <v/>
      </c>
      <c r="V4" s="11">
        <f>IF(U4="","",HYPERLINK("https://wa.me/52"&amp;C4&amp;"?text="&amp;_xlfn.ENCODEURL(U4),"Enviar aviso de etapa"))</f>
        <v/>
      </c>
      <c r="W4" s="10">
        <f>IF(OR(B4="",O4=""),"","Hola, "&amp;B4&amp;", ¡feliz cumpleaños! Le deseo un excelente día rodeado de quienes más quiere. Ha sido un placer acompañarle desde que estrenó su Toyota. ¡Un abrazo!"&amp;CHAR(10)&amp;CHAR(10)&amp;Config!$B$1)</f>
        <v/>
      </c>
      <c r="X4" s="11">
        <f>IF(W4="","",HYPERLINK("https://wa.me/52"&amp;C4&amp;"?text="&amp;_xlfn.ENCODEURL(W4),"Enviar felicitación"))</f>
        <v/>
      </c>
      <c r="Y4" s="10">
        <f>IF(OR(B4="",P4=""),"","Hola, "&amp;B4&amp;", hoy se cumple un año más desde que estrenó su *"&amp;D4&amp;"*. Espero que haya sido un gran compañero de camino. Cualquier cosa que necesite, aquí estoy para apoyarle."&amp;CHAR(10)&amp;CHAR(10)&amp;Config!$B$1)</f>
        <v/>
      </c>
      <c r="Z4" s="11">
        <f>IF(Y4="","",HYPERLINK("https://wa.me/52"&amp;C4&amp;"?text="&amp;_xlfn.ENCODEURL(Y4),"Enviar aniversario"))</f>
        <v/>
      </c>
      <c r="AA4" s="11" t="n"/>
      <c r="AB4" s="11">
        <f>IF(OR(B4="",AA4=""),"",HYPERLINK("https://wa.me/52"&amp;C4&amp;"?text="&amp;_xlfn.ENCODEURL(_xlfn.SWITCH(AA4,"Bienvenida (primera visita)",Q4,"Seguimiento",S4,"Aviso de Etapa",U4,"Requisitos",AC4,"Datos de Facturación",AD4,"Cumpleaños",W4,"Aniversario",Y4,"")),"Enviar mensaje seleccionado"))</f>
        <v/>
      </c>
      <c r="AC4" s="10">
        <f>IF(B4="","",_xlfn.SWITCH(F4&amp;"|"&amp;G4,"Crédito|Persona física","Hola, "&amp;B4&amp;", para continuar con el proceso de tu *"&amp;D4&amp;"* por "&amp;F4&amp;",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"&amp;B4&amp;", para continuar con el proceso de tu *"&amp;D4&amp;"* por "&amp;F4&amp;",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"&amp;B4&amp;", para continuar con el proceso de tu *"&amp;D4&amp;"* por "&amp;F4&amp;",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"&amp;B4&amp;", para continuar con el proceso de tu *"&amp;D4&amp;"* por "&amp;F4&amp;", estos son los documentos que necesitamos:"&amp;CHAR(10)&amp;CHAR(10)&amp;"- INE"&amp;CHAR(10)&amp;"- Comprobante de domicilio"&amp;CHAR(10)&amp;"- Constancia de situación fiscal (no mayor a 3 meses)","Contado|Persona física con actividad empresarial","Hola, "&amp;B4&amp;", para continuar con el proceso de tu *"&amp;D4&amp;"* por "&amp;F4&amp;", estos son los documentos que necesitamos:"&amp;CHAR(10)&amp;CHAR(10)&amp;"- INE"&amp;CHAR(10)&amp;"- Comprobante de domicilio"&amp;CHAR(10)&amp;"- Constancia de situación fiscal (no mayor a 3 meses)","Contado|Persona moral","Hola, "&amp;B4&amp;", para continuar con el proceso de tu *"&amp;D4&amp;"* por "&amp;F4&amp;",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4" s="10">
        <f>IFERROR(INDEX(Facturación!$Q:$Q,MATCH(B4,Facturación!$A:$A,0)),"")</f>
        <v/>
      </c>
    </row>
    <row r="5" ht="15" customHeight="1" s="1">
      <c r="A5" s="11">
        <f>IF(B5="","",ROW()-1)</f>
        <v/>
      </c>
      <c r="B5" s="11" t="inlineStr">
        <is>
          <t>Alejandra Arzate</t>
        </is>
      </c>
      <c r="C5" s="11" t="n">
        <v>4423050736</v>
      </c>
      <c r="D5" s="11" t="inlineStr">
        <is>
          <t>Hilux</t>
        </is>
      </c>
      <c r="E5" s="11" t="inlineStr">
        <is>
          <t>Base</t>
        </is>
      </c>
      <c r="F5" s="11" t="inlineStr">
        <is>
          <t>Crédito</t>
        </is>
      </c>
      <c r="G5" s="11" t="inlineStr">
        <is>
          <t>Persona física</t>
        </is>
      </c>
      <c r="H5" s="11" t="inlineStr">
        <is>
          <t>No</t>
        </is>
      </c>
      <c r="I5" s="11" t="n"/>
      <c r="J5" s="11" t="n"/>
      <c r="K5" s="11" t="inlineStr">
        <is>
          <t>Son de Jalpan, no tenian tiempo y se les envio cotizacion</t>
        </is>
      </c>
      <c r="L5" s="11" t="inlineStr">
        <is>
          <t>Sí</t>
        </is>
      </c>
      <c r="M5" s="11" t="inlineStr">
        <is>
          <t>Prospecto / Visita</t>
        </is>
      </c>
      <c r="N5" s="27" t="n">
        <v>46250</v>
      </c>
      <c r="O5" s="11" t="n"/>
      <c r="P5" s="11" t="n"/>
      <c r="Q5" s="10">
        <f>IF(OR(B5="",L5&lt;&gt;"Sí"),"","Hola, "&amp;B5&amp;", excelente día. Le saluda *Alejandro Estrada* de Toyota Corregidora."&amp;CHAR(10)&amp;"Muchas gracias por visitarnos y conocer la *"&amp;D5&amp;"*.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5" s="11">
        <f>IF(Q5="","",HYPERLINK("https://wa.me/52"&amp;C5&amp;"?text="&amp;_xlfn.ENCODEURL(Q5),"Enviar Bienvenida"))</f>
        <v/>
      </c>
      <c r="S5" s="10">
        <f>IF(B5="","","Hola, "&amp;B5&amp;", muy buen día."&amp;CHAR(10)&amp;"Espero que esté teniendo una excelente semana. Le escribo para saber si tiene alguna duda sobre la oferta del *"&amp;D5&amp;"*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5" s="11">
        <f>IF(S5="","",HYPERLINK("https://wa.me/52"&amp;C5&amp;"?text="&amp;_xlfn.ENCODEURL(S5),"Enviar Seguimiento"))</f>
        <v/>
      </c>
      <c r="U5" s="10">
        <f>IF(B5="","",_xlfn.SWITCH(M5,"Apartado","Hola, "&amp;B5&amp;", buen día. Le confirmo que su apartado por el *"&amp;D5&amp;"* quedó registrado correctamente. Seguimos con el proceso y le mantendré informado(a) de cada paso.","Toma de vehículo","Hola, "&amp;B5&amp;", le comparto que estamos en el proceso de toma de su vehículo actual. En cuanto tengamos el resultado le aviso para continuar con el siguiente paso.","Pago vehículo a cuenta","Hola, "&amp;B5&amp;", quedamos en proceso de pago del vehículo que se toma a cuenta. Cualquier documento o aclaración que se requiera se lo haré saber por este medio.","Firma de contrato","Hola, "&amp;B5&amp;", ya estamos listos para agendar la firma de su contrato. ¿Qué día y hora se le facilita para realizarla?","Facturación","Hola, "&amp;B5&amp;", su unidad ya está en proceso de facturación. En breve le comparto los datos para su confirmación.","Programación de entrega","Hola, "&amp;B5&amp;", con gusto le comparto que ya podemos programar la entrega de su *"&amp;D5&amp;"*. ¿Qué día y hora le acomodan mejor?","Entregado","Hola, "&amp;B5&amp;", ¡muchas felicidades por estrenar su *"&amp;D5&amp;"*! Fue un gusto acompañarle en este proceso. Quedo pendiente de cualquier duda y con gusto le agendo su próxima cita de servicio cuando lo necesite.","Hola, "&amp;B5&amp;", seguimos en contacto para avanzar con el proceso de su próximo Toyota.")&amp;CHAR(10)&amp;CHAR(10)&amp;Config!$B$1)</f>
        <v/>
      </c>
      <c r="V5" s="11">
        <f>IF(U5="","",HYPERLINK("https://wa.me/52"&amp;C5&amp;"?text="&amp;_xlfn.ENCODEURL(U5),"Enviar aviso de etapa"))</f>
        <v/>
      </c>
      <c r="W5" s="10">
        <f>IF(OR(B5="",O5=""),"","Hola, "&amp;B5&amp;", ¡feliz cumpleaños! Le deseo un excelente día rodeado de quienes más quiere. Ha sido un placer acompañarle desde que estrenó su Toyota. ¡Un abrazo!"&amp;CHAR(10)&amp;CHAR(10)&amp;Config!$B$1)</f>
        <v/>
      </c>
      <c r="X5" s="11">
        <f>IF(W5="","",HYPERLINK("https://wa.me/52"&amp;C5&amp;"?text="&amp;_xlfn.ENCODEURL(W5),"Enviar felicitación"))</f>
        <v/>
      </c>
      <c r="Y5" s="10">
        <f>IF(OR(B5="",P5=""),"","Hola, "&amp;B5&amp;", hoy se cumple un año más desde que estrenó su *"&amp;D5&amp;"*. Espero que haya sido un gran compañero de camino. Cualquier cosa que necesite, aquí estoy para apoyarle."&amp;CHAR(10)&amp;CHAR(10)&amp;Config!$B$1)</f>
        <v/>
      </c>
      <c r="Z5" s="11">
        <f>IF(Y5="","",HYPERLINK("https://wa.me/52"&amp;C5&amp;"?text="&amp;_xlfn.ENCODEURL(Y5),"Enviar aniversario"))</f>
        <v/>
      </c>
      <c r="AA5" s="11" t="n"/>
      <c r="AB5" s="11">
        <f>IF(OR(B5="",AA5=""),"",HYPERLINK("https://wa.me/52"&amp;C5&amp;"?text="&amp;_xlfn.ENCODEURL(_xlfn.SWITCH(AA5,"Bienvenida (primera visita)",Q5,"Seguimiento",S5,"Aviso de Etapa",U5,"Requisitos",AC5,"Datos de Facturación",AD5,"Cumpleaños",W5,"Aniversario",Y5,"")),"Enviar mensaje seleccionado"))</f>
        <v/>
      </c>
      <c r="AC5" s="10">
        <f>IF(B5="","",_xlfn.SWITCH(F5&amp;"|"&amp;G5,"Crédito|Persona física","Hola, "&amp;B5&amp;", para continuar con el proceso de tu *"&amp;D5&amp;"* por "&amp;F5&amp;",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"&amp;B5&amp;", para continuar con el proceso de tu *"&amp;D5&amp;"* por "&amp;F5&amp;",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"&amp;B5&amp;", para continuar con el proceso de tu *"&amp;D5&amp;"* por "&amp;F5&amp;",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"&amp;B5&amp;", para continuar con el proceso de tu *"&amp;D5&amp;"* por "&amp;F5&amp;", estos son los documentos que necesitamos:"&amp;CHAR(10)&amp;CHAR(10)&amp;"- INE"&amp;CHAR(10)&amp;"- Comprobante de domicilio"&amp;CHAR(10)&amp;"- Constancia de situación fiscal (no mayor a 3 meses)","Contado|Persona física con actividad empresarial","Hola, "&amp;B5&amp;", para continuar con el proceso de tu *"&amp;D5&amp;"* por "&amp;F5&amp;", estos son los documentos que necesitamos:"&amp;CHAR(10)&amp;CHAR(10)&amp;"- INE"&amp;CHAR(10)&amp;"- Comprobante de domicilio"&amp;CHAR(10)&amp;"- Constancia de situación fiscal (no mayor a 3 meses)","Contado|Persona moral","Hola, "&amp;B5&amp;", para continuar con el proceso de tu *"&amp;D5&amp;"* por "&amp;F5&amp;",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5" s="10">
        <f>IFERROR(INDEX(Facturación!$Q:$Q,MATCH(B5,Facturación!$A:$A,0)),"")</f>
        <v/>
      </c>
    </row>
    <row r="6" ht="15" customHeight="1" s="1">
      <c r="A6" s="11">
        <f>IF(B6="","",ROW()-1)</f>
        <v/>
      </c>
      <c r="B6" s="11" t="inlineStr">
        <is>
          <t>Arelis Aguilar</t>
        </is>
      </c>
      <c r="C6" s="11" t="n">
        <v>4425994079</v>
      </c>
      <c r="D6" s="11" t="inlineStr">
        <is>
          <t>Sienna</t>
        </is>
      </c>
      <c r="E6" s="11" t="inlineStr">
        <is>
          <t>XSE</t>
        </is>
      </c>
      <c r="F6" s="11" t="inlineStr">
        <is>
          <t>Crédito</t>
        </is>
      </c>
      <c r="G6" s="11" t="inlineStr">
        <is>
          <t>Persona física</t>
        </is>
      </c>
      <c r="H6" s="11" t="inlineStr">
        <is>
          <t>No</t>
        </is>
      </c>
      <c r="I6" s="11" t="n"/>
      <c r="J6" s="11" t="n"/>
      <c r="K6" s="11" t="inlineStr">
        <is>
          <t>Está validando si sienna o corolla cross</t>
        </is>
      </c>
      <c r="L6" s="11" t="inlineStr">
        <is>
          <t>Sí</t>
        </is>
      </c>
      <c r="M6" s="11" t="inlineStr">
        <is>
          <t>Prospecto / Visita</t>
        </is>
      </c>
      <c r="N6" s="28" t="n">
        <v>46250</v>
      </c>
      <c r="O6" s="11" t="n"/>
      <c r="P6" s="11" t="n"/>
      <c r="Q6" s="10">
        <f>IF(OR(B6="",L6&lt;&gt;"Sí"),"","Hola, "&amp;B6&amp;", excelente día. Le saluda *Alejandro Estrada* de Toyota Corregidora."&amp;CHAR(10)&amp;"Muchas gracias por visitarnos y conocer la *"&amp;D6&amp;"*.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6" s="11">
        <f>IF(Q6="","",HYPERLINK("https://wa.me/52"&amp;C6&amp;"?text="&amp;_xlfn.ENCODEURL(Q6),"Enviar Bienvenida"))</f>
        <v/>
      </c>
      <c r="S6" s="10">
        <f>IF(B6="","","Hola, "&amp;B6&amp;", muy buen día."&amp;CHAR(10)&amp;"Espero que esté teniendo una excelente semana. Le escribo para saber si tiene alguna duda sobre la oferta del *"&amp;D6&amp;"*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6" s="11">
        <f>IF(S6="","",HYPERLINK("https://wa.me/52"&amp;C6&amp;"?text="&amp;_xlfn.ENCODEURL(S6),"Enviar Seguimiento"))</f>
        <v/>
      </c>
      <c r="U6" s="10">
        <f>IF(B6="","",_xlfn.SWITCH(M6,"Apartado","Hola, "&amp;B6&amp;", buen día. Le confirmo que su apartado por el *"&amp;D6&amp;"* quedó registrado correctamente. Seguimos con el proceso y le mantendré informado(a) de cada paso.","Toma de vehículo","Hola, "&amp;B6&amp;", le comparto que estamos en el proceso de toma de su vehículo actual. En cuanto tengamos el resultado le aviso para continuar con el siguiente paso.","Pago vehículo a cuenta","Hola, "&amp;B6&amp;", quedamos en proceso de pago del vehículo que se toma a cuenta. Cualquier documento o aclaración que se requiera se lo haré saber por este medio.","Firma de contrato","Hola, "&amp;B6&amp;", ya estamos listos para agendar la firma de su contrato. ¿Qué día y hora se le facilita para realizarla?","Facturación","Hola, "&amp;B6&amp;", su unidad ya está en proceso de facturación. En breve le comparto los datos para su confirmación.","Programación de entrega","Hola, "&amp;B6&amp;", con gusto le comparto que ya podemos programar la entrega de su *"&amp;D6&amp;"*. ¿Qué día y hora le acomodan mejor?","Entregado","Hola, "&amp;B6&amp;", ¡muchas felicidades por estrenar su *"&amp;D6&amp;"*! Fue un gusto acompañarle en este proceso. Quedo pendiente de cualquier duda y con gusto le agendo su próxima cita de servicio cuando lo necesite.","Hola, "&amp;B6&amp;", seguimos en contacto para avanzar con el proceso de su próximo Toyota.")&amp;CHAR(10)&amp;CHAR(10)&amp;Config!$B$1)</f>
        <v/>
      </c>
      <c r="V6" s="11">
        <f>IF(U6="","",HYPERLINK("https://wa.me/52"&amp;C6&amp;"?text="&amp;_xlfn.ENCODEURL(U6),"Enviar aviso de etapa"))</f>
        <v/>
      </c>
      <c r="W6" s="10">
        <f>IF(OR(B6="",O6=""),"","Hola, "&amp;B6&amp;", ¡feliz cumpleaños! Le deseo un excelente día rodeado de quienes más quiere. Ha sido un placer acompañarle desde que estrenó su Toyota. ¡Un abrazo!"&amp;CHAR(10)&amp;CHAR(10)&amp;Config!$B$1)</f>
        <v/>
      </c>
      <c r="X6" s="11">
        <f>IF(W6="","",HYPERLINK("https://wa.me/52"&amp;C6&amp;"?text="&amp;_xlfn.ENCODEURL(W6),"Enviar felicitación"))</f>
        <v/>
      </c>
      <c r="Y6" s="10">
        <f>IF(OR(B6="",P6=""),"","Hola, "&amp;B6&amp;", hoy se cumple un año más desde que estrenó su *"&amp;D6&amp;"*. Espero que haya sido un gran compañero de camino. Cualquier cosa que necesite, aquí estoy para apoyarle."&amp;CHAR(10)&amp;CHAR(10)&amp;Config!$B$1)</f>
        <v/>
      </c>
      <c r="Z6" s="11">
        <f>IF(Y6="","",HYPERLINK("https://wa.me/52"&amp;C6&amp;"?text="&amp;_xlfn.ENCODEURL(Y6),"Enviar aniversario"))</f>
        <v/>
      </c>
      <c r="AA6" s="11" t="n"/>
      <c r="AB6" s="11">
        <f>IF(OR(B6="",AA6=""),"",HYPERLINK("https://wa.me/52"&amp;C6&amp;"?text="&amp;_xlfn.ENCODEURL(_xlfn.SWITCH(AA6,"Bienvenida (primera visita)",Q6,"Seguimiento",S6,"Aviso de Etapa",U6,"Requisitos",AC6,"Datos de Facturación",AD6,"Cumpleaños",W6,"Aniversario",Y6,"")),"Enviar mensaje seleccionado"))</f>
        <v/>
      </c>
      <c r="AC6" s="10">
        <f>IF(B6="","",_xlfn.SWITCH(F6&amp;"|"&amp;G6,"Crédito|Persona física","Hola, "&amp;B6&amp;", para continuar con el proceso de tu *"&amp;D6&amp;"* por "&amp;F6&amp;",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"&amp;B6&amp;", para continuar con el proceso de tu *"&amp;D6&amp;"* por "&amp;F6&amp;",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"&amp;B6&amp;", para continuar con el proceso de tu *"&amp;D6&amp;"* por "&amp;F6&amp;",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"&amp;B6&amp;", para continuar con el proceso de tu *"&amp;D6&amp;"* por "&amp;F6&amp;", estos son los documentos que necesitamos:"&amp;CHAR(10)&amp;CHAR(10)&amp;"- INE"&amp;CHAR(10)&amp;"- Comprobante de domicilio"&amp;CHAR(10)&amp;"- Constancia de situación fiscal (no mayor a 3 meses)","Contado|Persona física con actividad empresarial","Hola, "&amp;B6&amp;", para continuar con el proceso de tu *"&amp;D6&amp;"* por "&amp;F6&amp;", estos son los documentos que necesitamos:"&amp;CHAR(10)&amp;CHAR(10)&amp;"- INE"&amp;CHAR(10)&amp;"- Comprobante de domicilio"&amp;CHAR(10)&amp;"- Constancia de situación fiscal (no mayor a 3 meses)","Contado|Persona moral","Hola, "&amp;B6&amp;", para continuar con el proceso de tu *"&amp;D6&amp;"* por "&amp;F6&amp;",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6" s="10">
        <f>IFERROR(INDEX(Facturación!$Q:$Q,MATCH(B6,Facturación!$A:$A,0)),"")</f>
        <v/>
      </c>
    </row>
    <row r="7" ht="15" customHeight="1" s="1">
      <c r="A7" s="11">
        <f>IF(B7="","",ROW()-1)</f>
        <v/>
      </c>
      <c r="B7" s="11" t="inlineStr">
        <is>
          <t>Jesus Gonzalez</t>
        </is>
      </c>
      <c r="C7" s="11" t="n">
        <v>4421834457</v>
      </c>
      <c r="D7" s="11" t="inlineStr">
        <is>
          <t>Hilux</t>
        </is>
      </c>
      <c r="E7" s="11" t="inlineStr">
        <is>
          <t>Base</t>
        </is>
      </c>
      <c r="F7" s="11" t="inlineStr">
        <is>
          <t>Crédito</t>
        </is>
      </c>
      <c r="G7" s="11" t="inlineStr">
        <is>
          <t>Persona física</t>
        </is>
      </c>
      <c r="H7" s="11" t="inlineStr">
        <is>
          <t>No</t>
        </is>
      </c>
      <c r="I7" s="11" t="n"/>
      <c r="J7" s="11" t="n"/>
      <c r="K7" s="11" t="inlineStr">
        <is>
          <t>Seguimiento para validar si la compra</t>
        </is>
      </c>
      <c r="L7" s="11" t="inlineStr">
        <is>
          <t>Sí</t>
        </is>
      </c>
      <c r="M7" s="11" t="inlineStr">
        <is>
          <t>Prospecto / Visita</t>
        </is>
      </c>
      <c r="N7" s="28" t="n">
        <v>46250</v>
      </c>
      <c r="O7" s="11" t="n"/>
      <c r="P7" s="11" t="n"/>
      <c r="Q7" s="10">
        <f>IF(OR(B7="",L7&lt;&gt;"Sí"),"","Hola, "&amp;B7&amp;", excelente día. Le saluda *Alejandro Estrada* de Toyota Corregidora."&amp;CHAR(10)&amp;"Muchas gracias por visitarnos y conocer la *"&amp;D7&amp;"*.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7" s="11">
        <f>IF(Q7="","",HYPERLINK("https://wa.me/52"&amp;C7&amp;"?text="&amp;_xlfn.ENCODEURL(Q7),"Enviar Bienvenida"))</f>
        <v/>
      </c>
      <c r="S7" s="10">
        <f>IF(B7="","","Hola, "&amp;B7&amp;", muy buen día."&amp;CHAR(10)&amp;"Espero que esté teniendo una excelente semana. Le escribo para saber si tiene alguna duda sobre la oferta del *"&amp;D7&amp;"*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7" s="11">
        <f>IF(S7="","",HYPERLINK("https://wa.me/52"&amp;C7&amp;"?text="&amp;_xlfn.ENCODEURL(S7),"Enviar Seguimiento"))</f>
        <v/>
      </c>
      <c r="U7" s="10">
        <f>IF(B7="","",_xlfn.SWITCH(M7,"Apartado","Hola, "&amp;B7&amp;", buen día. Le confirmo que su apartado por el *"&amp;D7&amp;"* quedó registrado correctamente. Seguimos con el proceso y le mantendré informado(a) de cada paso.","Toma de vehículo","Hola, "&amp;B7&amp;", le comparto que estamos en el proceso de toma de su vehículo actual. En cuanto tengamos el resultado le aviso para continuar con el siguiente paso.","Pago vehículo a cuenta","Hola, "&amp;B7&amp;", quedamos en proceso de pago del vehículo que se toma a cuenta. Cualquier documento o aclaración que se requiera se lo haré saber por este medio.","Firma de contrato","Hola, "&amp;B7&amp;", ya estamos listos para agendar la firma de su contrato. ¿Qué día y hora se le facilita para realizarla?","Facturación","Hola, "&amp;B7&amp;", su unidad ya está en proceso de facturación. En breve le comparto los datos para su confirmación.","Programación de entrega","Hola, "&amp;B7&amp;", con gusto le comparto que ya podemos programar la entrega de su *"&amp;D7&amp;"*. ¿Qué día y hora le acomodan mejor?","Entregado","Hola, "&amp;B7&amp;", ¡muchas felicidades por estrenar su *"&amp;D7&amp;"*! Fue un gusto acompañarle en este proceso. Quedo pendiente de cualquier duda y con gusto le agendo su próxima cita de servicio cuando lo necesite.","Hola, "&amp;B7&amp;", seguimos en contacto para avanzar con el proceso de su próximo Toyota.")&amp;CHAR(10)&amp;CHAR(10)&amp;Config!$B$1)</f>
        <v/>
      </c>
      <c r="V7" s="11">
        <f>IF(U7="","",HYPERLINK("https://wa.me/52"&amp;C7&amp;"?text="&amp;_xlfn.ENCODEURL(U7),"Enviar aviso de etapa"))</f>
        <v/>
      </c>
      <c r="W7" s="10">
        <f>IF(OR(B7="",O7=""),"","Hola, "&amp;B7&amp;", ¡feliz cumpleaños! Le deseo un excelente día rodeado de quienes más quiere. Ha sido un placer acompañarle desde que estrenó su Toyota. ¡Un abrazo!"&amp;CHAR(10)&amp;CHAR(10)&amp;Config!$B$1)</f>
        <v/>
      </c>
      <c r="X7" s="11">
        <f>IF(W7="","",HYPERLINK("https://wa.me/52"&amp;C7&amp;"?text="&amp;_xlfn.ENCODEURL(W7),"Enviar felicitación"))</f>
        <v/>
      </c>
      <c r="Y7" s="10">
        <f>IF(OR(B7="",P7=""),"","Hola, "&amp;B7&amp;", hoy se cumple un año más desde que estrenó su *"&amp;D7&amp;"*. Espero que haya sido un gran compañero de camino. Cualquier cosa que necesite, aquí estoy para apoyarle."&amp;CHAR(10)&amp;CHAR(10)&amp;Config!$B$1)</f>
        <v/>
      </c>
      <c r="Z7" s="11">
        <f>IF(Y7="","",HYPERLINK("https://wa.me/52"&amp;C7&amp;"?text="&amp;_xlfn.ENCODEURL(Y7),"Enviar aniversario"))</f>
        <v/>
      </c>
      <c r="AA7" s="11" t="n"/>
      <c r="AB7" s="11">
        <f>IF(OR(B7="",AA7=""),"",HYPERLINK("https://wa.me/52"&amp;C7&amp;"?text="&amp;_xlfn.ENCODEURL(_xlfn.SWITCH(AA7,"Bienvenida (primera visita)",Q7,"Seguimiento",S7,"Aviso de Etapa",U7,"Requisitos",AC7,"Datos de Facturación",AD7,"Cumpleaños",W7,"Aniversario",Y7,"")),"Enviar mensaje seleccionado"))</f>
        <v/>
      </c>
      <c r="AC7" s="10">
        <f>IF(B7="","",_xlfn.SWITCH(F7&amp;"|"&amp;G7,"Crédito|Persona física","Hola, "&amp;B7&amp;", para continuar con el proceso de tu *"&amp;D7&amp;"* por "&amp;F7&amp;",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"&amp;B7&amp;", para continuar con el proceso de tu *"&amp;D7&amp;"* por "&amp;F7&amp;",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"&amp;B7&amp;", para continuar con el proceso de tu *"&amp;D7&amp;"* por "&amp;F7&amp;",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"&amp;B7&amp;", para continuar con el proceso de tu *"&amp;D7&amp;"* por "&amp;F7&amp;", estos son los documentos que necesitamos:"&amp;CHAR(10)&amp;CHAR(10)&amp;"- INE"&amp;CHAR(10)&amp;"- Comprobante de domicilio"&amp;CHAR(10)&amp;"- Constancia de situación fiscal (no mayor a 3 meses)","Contado|Persona física con actividad empresarial","Hola, "&amp;B7&amp;", para continuar con el proceso de tu *"&amp;D7&amp;"* por "&amp;F7&amp;", estos son los documentos que necesitamos:"&amp;CHAR(10)&amp;CHAR(10)&amp;"- INE"&amp;CHAR(10)&amp;"- Comprobante de domicilio"&amp;CHAR(10)&amp;"- Constancia de situación fiscal (no mayor a 3 meses)","Contado|Persona moral","Hola, "&amp;B7&amp;", para continuar con el proceso de tu *"&amp;D7&amp;"* por "&amp;F7&amp;",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7" s="10">
        <f>IFERROR(INDEX(Facturación!$Q:$Q,MATCH(B7,Facturación!$A:$A,0)),"")</f>
        <v/>
      </c>
    </row>
    <row r="8" ht="15" customHeight="1" s="1">
      <c r="A8" s="11">
        <f>IF(B8="","",ROW()-1)</f>
        <v/>
      </c>
      <c r="B8" s="11" t="inlineStr">
        <is>
          <t>José Juan Gonzalez</t>
        </is>
      </c>
      <c r="C8" s="11" t="n">
        <v>4422192465</v>
      </c>
      <c r="D8" s="11" t="inlineStr">
        <is>
          <t>Corolla</t>
        </is>
      </c>
      <c r="E8" s="11" t="inlineStr">
        <is>
          <t>Base</t>
        </is>
      </c>
      <c r="F8" s="11" t="inlineStr">
        <is>
          <t>Crédito</t>
        </is>
      </c>
      <c r="G8" s="11" t="inlineStr">
        <is>
          <t>Persona física</t>
        </is>
      </c>
      <c r="H8" s="11" t="inlineStr">
        <is>
          <t>No</t>
        </is>
      </c>
      <c r="I8" s="11" t="n"/>
      <c r="J8" s="11" t="n"/>
      <c r="K8" s="11" t="inlineStr">
        <is>
          <t xml:space="preserve">En seguimiento </t>
        </is>
      </c>
      <c r="L8" s="11" t="inlineStr">
        <is>
          <t>Sí</t>
        </is>
      </c>
      <c r="M8" s="11" t="inlineStr">
        <is>
          <t>Prospecto / Visita</t>
        </is>
      </c>
      <c r="N8" s="28" t="n">
        <v>46248</v>
      </c>
      <c r="O8" s="11" t="n"/>
      <c r="P8" s="11" t="n"/>
      <c r="Q8" s="10">
        <f>IF(OR(B8="",L8&lt;&gt;"Sí"),"","Hola, "&amp;B8&amp;", excelente día. Le saluda *Alejandro Estrada* de Toyota Corregidora."&amp;CHAR(10)&amp;"Muchas gracias por visitarnos y conocer la *"&amp;D8&amp;"*.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8" s="11">
        <f>IF(Q8="","",HYPERLINK("https://wa.me/52"&amp;C8&amp;"?text="&amp;_xlfn.ENCODEURL(Q8),"Enviar Bienvenida"))</f>
        <v/>
      </c>
      <c r="S8" s="10">
        <f>IF(B8="","","Hola, "&amp;B8&amp;", muy buen día."&amp;CHAR(10)&amp;"Espero que esté teniendo una excelente semana. Le escribo para saber si tiene alguna duda sobre la oferta del *"&amp;D8&amp;"*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8" s="11">
        <f>IF(S8="","",HYPERLINK("https://wa.me/52"&amp;C8&amp;"?text="&amp;_xlfn.ENCODEURL(S8),"Enviar Seguimiento"))</f>
        <v/>
      </c>
      <c r="U8" s="10">
        <f>IF(B8="","",_xlfn.SWITCH(M8,"Apartado","Hola, "&amp;B8&amp;", buen día. Le confirmo que su apartado por el *"&amp;D8&amp;"* quedó registrado correctamente. Seguimos con el proceso y le mantendré informado(a) de cada paso.","Toma de vehículo","Hola, "&amp;B8&amp;", le comparto que estamos en el proceso de toma de su vehículo actual. En cuanto tengamos el resultado le aviso para continuar con el siguiente paso.","Pago vehículo a cuenta","Hola, "&amp;B8&amp;", quedamos en proceso de pago del vehículo que se toma a cuenta. Cualquier documento o aclaración que se requiera se lo haré saber por este medio.","Firma de contrato","Hola, "&amp;B8&amp;", ya estamos listos para agendar la firma de su contrato. ¿Qué día y hora se le facilita para realizarla?","Facturación","Hola, "&amp;B8&amp;", su unidad ya está en proceso de facturación. En breve le comparto los datos para su confirmación.","Programación de entrega","Hola, "&amp;B8&amp;", con gusto le comparto que ya podemos programar la entrega de su *"&amp;D8&amp;"*. ¿Qué día y hora le acomodan mejor?","Entregado","Hola, "&amp;B8&amp;", ¡muchas felicidades por estrenar su *"&amp;D8&amp;"*! Fue un gusto acompañarle en este proceso. Quedo pendiente de cualquier duda y con gusto le agendo su próxima cita de servicio cuando lo necesite.","Hola, "&amp;B8&amp;", seguimos en contacto para avanzar con el proceso de su próximo Toyota.")&amp;CHAR(10)&amp;CHAR(10)&amp;Config!$B$1)</f>
        <v/>
      </c>
      <c r="V8" s="11">
        <f>IF(U8="","",HYPERLINK("https://wa.me/52"&amp;C8&amp;"?text="&amp;_xlfn.ENCODEURL(U8),"Enviar aviso de etapa"))</f>
        <v/>
      </c>
      <c r="W8" s="10">
        <f>IF(OR(B8="",O8=""),"","Hola, "&amp;B8&amp;", ¡feliz cumpleaños! Le deseo un excelente día rodeado de quienes más quiere. Ha sido un placer acompañarle desde que estrenó su Toyota. ¡Un abrazo!"&amp;CHAR(10)&amp;CHAR(10)&amp;Config!$B$1)</f>
        <v/>
      </c>
      <c r="X8" s="11">
        <f>IF(W8="","",HYPERLINK("https://wa.me/52"&amp;C8&amp;"?text="&amp;_xlfn.ENCODEURL(W8),"Enviar felicitación"))</f>
        <v/>
      </c>
      <c r="Y8" s="10">
        <f>IF(OR(B8="",P8=""),"","Hola, "&amp;B8&amp;", hoy se cumple un año más desde que estrenó su *"&amp;D8&amp;"*. Espero que haya sido un gran compañero de camino. Cualquier cosa que necesite, aquí estoy para apoyarle."&amp;CHAR(10)&amp;CHAR(10)&amp;Config!$B$1)</f>
        <v/>
      </c>
      <c r="Z8" s="11">
        <f>IF(Y8="","",HYPERLINK("https://wa.me/52"&amp;C8&amp;"?text="&amp;_xlfn.ENCODEURL(Y8),"Enviar aniversario"))</f>
        <v/>
      </c>
      <c r="AA8" s="11" t="n"/>
      <c r="AB8" s="11">
        <f>IF(OR(B8="",AA8=""),"",HYPERLINK("https://wa.me/52"&amp;C8&amp;"?text="&amp;_xlfn.ENCODEURL(_xlfn.SWITCH(AA8,"Bienvenida (primera visita)",Q8,"Seguimiento",S8,"Aviso de Etapa",U8,"Requisitos",AC8,"Datos de Facturación",AD8,"Cumpleaños",W8,"Aniversario",Y8,"")),"Enviar mensaje seleccionado"))</f>
        <v/>
      </c>
      <c r="AC8" s="10">
        <f>IF(B8="","",_xlfn.SWITCH(F8&amp;"|"&amp;G8,"Crédito|Persona física","Hola, "&amp;B8&amp;", para continuar con el proceso de tu *"&amp;D8&amp;"* por "&amp;F8&amp;",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"&amp;B8&amp;", para continuar con el proceso de tu *"&amp;D8&amp;"* por "&amp;F8&amp;",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"&amp;B8&amp;", para continuar con el proceso de tu *"&amp;D8&amp;"* por "&amp;F8&amp;",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"&amp;B8&amp;", para continuar con el proceso de tu *"&amp;D8&amp;"* por "&amp;F8&amp;", estos son los documentos que necesitamos:"&amp;CHAR(10)&amp;CHAR(10)&amp;"- INE"&amp;CHAR(10)&amp;"- Comprobante de domicilio"&amp;CHAR(10)&amp;"- Constancia de situación fiscal (no mayor a 3 meses)","Contado|Persona física con actividad empresarial","Hola, "&amp;B8&amp;", para continuar con el proceso de tu *"&amp;D8&amp;"* por "&amp;F8&amp;", estos son los documentos que necesitamos:"&amp;CHAR(10)&amp;CHAR(10)&amp;"- INE"&amp;CHAR(10)&amp;"- Comprobante de domicilio"&amp;CHAR(10)&amp;"- Constancia de situación fiscal (no mayor a 3 meses)","Contado|Persona moral","Hola, "&amp;B8&amp;", para continuar con el proceso de tu *"&amp;D8&amp;"* por "&amp;F8&amp;",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8" s="10">
        <f>IFERROR(INDEX(Facturación!$Q:$Q,MATCH(B8,Facturación!$A:$A,0)),"")</f>
        <v/>
      </c>
    </row>
    <row r="9" ht="15" customHeight="1" s="1">
      <c r="A9" s="11">
        <f>IF(B9="","",ROW()-1)</f>
        <v/>
      </c>
      <c r="B9" s="11" t="inlineStr">
        <is>
          <t>Rodrigo Aguilera</t>
        </is>
      </c>
      <c r="C9" s="11" t="n">
        <v>4421916064</v>
      </c>
      <c r="D9" s="11" t="inlineStr">
        <is>
          <t>Rav-4</t>
        </is>
      </c>
      <c r="E9" s="11" t="inlineStr">
        <is>
          <t>XLE</t>
        </is>
      </c>
      <c r="F9" s="11" t="inlineStr">
        <is>
          <t>Crédito</t>
        </is>
      </c>
      <c r="G9" s="11" t="inlineStr">
        <is>
          <t>Persona física</t>
        </is>
      </c>
      <c r="H9" s="11" t="inlineStr">
        <is>
          <t>No</t>
        </is>
      </c>
      <c r="I9" s="11" t="n"/>
      <c r="J9" s="11" t="n"/>
      <c r="K9" s="11" t="inlineStr">
        <is>
          <t>No le gusto el tiempo de espera</t>
        </is>
      </c>
      <c r="L9" s="11" t="inlineStr">
        <is>
          <t>Sí</t>
        </is>
      </c>
      <c r="M9" s="11" t="inlineStr">
        <is>
          <t>Prospecto / Visita</t>
        </is>
      </c>
      <c r="N9" s="28" t="n">
        <v>46248</v>
      </c>
      <c r="O9" s="11" t="n"/>
      <c r="P9" s="11" t="n"/>
      <c r="Q9" s="10">
        <f>IF(OR(B9="",L9&lt;&gt;"Sí"),"","Hola, "&amp;B9&amp;", excelente día. Le saluda *Alejandro Estrada* de Toyota Corregidora."&amp;CHAR(10)&amp;"Muchas gracias por visitarnos y conocer la *"&amp;D9&amp;"*.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9" s="11">
        <f>IF(Q9="","",HYPERLINK("https://wa.me/52"&amp;C9&amp;"?text="&amp;_xlfn.ENCODEURL(Q9),"Enviar Bienvenida"))</f>
        <v/>
      </c>
      <c r="S9" s="10">
        <f>IF(B9="","","Hola, "&amp;B9&amp;", muy buen día."&amp;CHAR(10)&amp;"Espero que esté teniendo una excelente semana. Le escribo para saber si tiene alguna duda sobre la oferta del *"&amp;D9&amp;"*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9" s="11">
        <f>IF(S9="","",HYPERLINK("https://wa.me/52"&amp;C9&amp;"?text="&amp;_xlfn.ENCODEURL(S9),"Enviar Seguimiento"))</f>
        <v/>
      </c>
      <c r="U9" s="10">
        <f>IF(B9="","",_xlfn.SWITCH(M9,"Apartado","Hola, "&amp;B9&amp;", buen día. Le confirmo que su apartado por el *"&amp;D9&amp;"* quedó registrado correctamente. Seguimos con el proceso y le mantendré informado(a) de cada paso.","Toma de vehículo","Hola, "&amp;B9&amp;", le comparto que estamos en el proceso de toma de su vehículo actual. En cuanto tengamos el resultado le aviso para continuar con el siguiente paso.","Pago vehículo a cuenta","Hola, "&amp;B9&amp;", quedamos en proceso de pago del vehículo que se toma a cuenta. Cualquier documento o aclaración que se requiera se lo haré saber por este medio.","Firma de contrato","Hola, "&amp;B9&amp;", ya estamos listos para agendar la firma de su contrato. ¿Qué día y hora se le facilita para realizarla?","Facturación","Hola, "&amp;B9&amp;", su unidad ya está en proceso de facturación. En breve le comparto los datos para su confirmación.","Programación de entrega","Hola, "&amp;B9&amp;", con gusto le comparto que ya podemos programar la entrega de su *"&amp;D9&amp;"*. ¿Qué día y hora le acomodan mejor?","Entregado","Hola, "&amp;B9&amp;", ¡muchas felicidades por estrenar su *"&amp;D9&amp;"*! Fue un gusto acompañarle en este proceso. Quedo pendiente de cualquier duda y con gusto le agendo su próxima cita de servicio cuando lo necesite.","Hola, "&amp;B9&amp;", seguimos en contacto para avanzar con el proceso de su próximo Toyota.")&amp;CHAR(10)&amp;CHAR(10)&amp;Config!$B$1)</f>
        <v/>
      </c>
      <c r="V9" s="11">
        <f>IF(U9="","",HYPERLINK("https://wa.me/52"&amp;C9&amp;"?text="&amp;_xlfn.ENCODEURL(U9),"Enviar aviso de etapa"))</f>
        <v/>
      </c>
      <c r="W9" s="10">
        <f>IF(OR(B9="",O9=""),"","Hola, "&amp;B9&amp;", ¡feliz cumpleaños! Le deseo un excelente día rodeado de quienes más quiere. Ha sido un placer acompañarle desde que estrenó su Toyota. ¡Un abrazo!"&amp;CHAR(10)&amp;CHAR(10)&amp;Config!$B$1)</f>
        <v/>
      </c>
      <c r="X9" s="11">
        <f>IF(W9="","",HYPERLINK("https://wa.me/52"&amp;C9&amp;"?text="&amp;_xlfn.ENCODEURL(W9),"Enviar felicitación"))</f>
        <v/>
      </c>
      <c r="Y9" s="10">
        <f>IF(OR(B9="",P9=""),"","Hola, "&amp;B9&amp;", hoy se cumple un año más desde que estrenó su *"&amp;D9&amp;"*. Espero que haya sido un gran compañero de camino. Cualquier cosa que necesite, aquí estoy para apoyarle."&amp;CHAR(10)&amp;CHAR(10)&amp;Config!$B$1)</f>
        <v/>
      </c>
      <c r="Z9" s="11">
        <f>IF(Y9="","",HYPERLINK("https://wa.me/52"&amp;C9&amp;"?text="&amp;_xlfn.ENCODEURL(Y9),"Enviar aniversario"))</f>
        <v/>
      </c>
      <c r="AA9" s="11" t="n"/>
      <c r="AB9" s="11">
        <f>IF(OR(B9="",AA9=""),"",HYPERLINK("https://wa.me/52"&amp;C9&amp;"?text="&amp;_xlfn.ENCODEURL(_xlfn.SWITCH(AA9,"Bienvenida (primera visita)",Q9,"Seguimiento",S9,"Aviso de Etapa",U9,"Requisitos",AC9,"Datos de Facturación",AD9,"Cumpleaños",W9,"Aniversario",Y9,"")),"Enviar mensaje seleccionado"))</f>
        <v/>
      </c>
      <c r="AC9" s="10">
        <f>IF(B9="","",_xlfn.SWITCH(F9&amp;"|"&amp;G9,"Crédito|Persona física","Hola, "&amp;B9&amp;", para continuar con el proceso de tu *"&amp;D9&amp;"* por "&amp;F9&amp;",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"&amp;B9&amp;", para continuar con el proceso de tu *"&amp;D9&amp;"* por "&amp;F9&amp;",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"&amp;B9&amp;", para continuar con el proceso de tu *"&amp;D9&amp;"* por "&amp;F9&amp;",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"&amp;B9&amp;", para continuar con el proceso de tu *"&amp;D9&amp;"* por "&amp;F9&amp;", estos son los documentos que necesitamos:"&amp;CHAR(10)&amp;CHAR(10)&amp;"- INE"&amp;CHAR(10)&amp;"- Comprobante de domicilio"&amp;CHAR(10)&amp;"- Constancia de situación fiscal (no mayor a 3 meses)","Contado|Persona física con actividad empresarial","Hola, "&amp;B9&amp;", para continuar con el proceso de tu *"&amp;D9&amp;"* por "&amp;F9&amp;", estos son los documentos que necesitamos:"&amp;CHAR(10)&amp;CHAR(10)&amp;"- INE"&amp;CHAR(10)&amp;"- Comprobante de domicilio"&amp;CHAR(10)&amp;"- Constancia de situación fiscal (no mayor a 3 meses)","Contado|Persona moral","Hola, "&amp;B9&amp;", para continuar con el proceso de tu *"&amp;D9&amp;"* por "&amp;F9&amp;",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9" s="10">
        <f>IFERROR(INDEX(Facturación!$Q:$Q,MATCH(B9,Facturación!$A:$A,0)),"")</f>
        <v/>
      </c>
    </row>
    <row r="10" ht="15" customHeight="1" s="1">
      <c r="A10" s="11">
        <f>IF(B10="","",ROW()-1)</f>
        <v/>
      </c>
      <c r="B10" s="11" t="inlineStr">
        <is>
          <t>Elias Hernandez</t>
        </is>
      </c>
      <c r="C10" s="11" t="n">
        <v>7711120165</v>
      </c>
      <c r="D10" s="11" t="inlineStr">
        <is>
          <t>Hilux</t>
        </is>
      </c>
      <c r="E10" s="11" t="inlineStr">
        <is>
          <t>Base</t>
        </is>
      </c>
      <c r="F10" s="11" t="inlineStr">
        <is>
          <t>Creidito</t>
        </is>
      </c>
      <c r="G10" s="11" t="inlineStr">
        <is>
          <t>Persona moral</t>
        </is>
      </c>
      <c r="H10" s="11" t="inlineStr">
        <is>
          <t>No</t>
        </is>
      </c>
      <c r="I10" s="11" t="n"/>
      <c r="J10" s="11" t="n"/>
      <c r="K10" s="11" t="inlineStr">
        <is>
          <t>En espera de documentos para tfs</t>
        </is>
      </c>
      <c r="L10" s="11" t="inlineStr">
        <is>
          <t>Sí</t>
        </is>
      </c>
      <c r="M10" s="11" t="inlineStr">
        <is>
          <t>Prospecto / Visita</t>
        </is>
      </c>
      <c r="N10" s="28" t="n">
        <v>46248</v>
      </c>
      <c r="O10" s="11" t="n"/>
      <c r="P10" s="11" t="n"/>
      <c r="Q10" s="10">
        <f>IF(OR(B10="",L10&lt;&gt;"Sí"),"","Hola, "&amp;B10&amp;", excelente día. Le saluda *Alejandro Estrada* de Toyota Corregidora."&amp;CHAR(10)&amp;"Muchas gracias por visitarnos y conocer la *"&amp;D10&amp;"*.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0" s="11">
        <f>IF(Q10="","",HYPERLINK("https://wa.me/52"&amp;C10&amp;"?text="&amp;_xlfn.ENCODEURL(Q10),"Enviar Bienvenida"))</f>
        <v/>
      </c>
      <c r="S10" s="10">
        <f>IF(B10="","","Hola, "&amp;B10&amp;", muy buen día."&amp;CHAR(10)&amp;"Espero que esté teniendo una excelente semana. Le escribo para saber si tiene alguna duda sobre la oferta del *"&amp;D10&amp;"*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0" s="11">
        <f>IF(S10="","",HYPERLINK("https://wa.me/52"&amp;C10&amp;"?text="&amp;_xlfn.ENCODEURL(S10),"Enviar Seguimiento"))</f>
        <v/>
      </c>
      <c r="U10" s="10">
        <f>IF(B10="","",_xlfn.SWITCH(M10,"Apartado","Hola, "&amp;B10&amp;", buen día. Le confirmo que su apartado por el *"&amp;D10&amp;"* quedó registrado correctamente. Seguimos con el proceso y le mantendré informado(a) de cada paso.","Toma de vehículo","Hola, "&amp;B10&amp;", le comparto que estamos en el proceso de toma de su vehículo actual. En cuanto tengamos el resultado le aviso para continuar con el siguiente paso.","Pago vehículo a cuenta","Hola, "&amp;B10&amp;", quedamos en proceso de pago del vehículo que se toma a cuenta. Cualquier documento o aclaración que se requiera se lo haré saber por este medio.","Firma de contrato","Hola, "&amp;B10&amp;", ya estamos listos para agendar la firma de su contrato. ¿Qué día y hora se le facilita para realizarla?","Facturación","Hola, "&amp;B10&amp;", su unidad ya está en proceso de facturación. En breve le comparto los datos para su confirmación.","Programación de entrega","Hola, "&amp;B10&amp;", con gusto le comparto que ya podemos programar la entrega de su *"&amp;D10&amp;"*. ¿Qué día y hora le acomodan mejor?","Entregado","Hola, "&amp;B10&amp;", ¡muchas felicidades por estrenar su *"&amp;D10&amp;"*! Fue un gusto acompañarle en este proceso. Quedo pendiente de cualquier duda y con gusto le agendo su próxima cita de servicio cuando lo necesite.","Hola, "&amp;B10&amp;", seguimos en contacto para avanzar con el proceso de su próximo Toyota.")&amp;CHAR(10)&amp;CHAR(10)&amp;Config!$B$1)</f>
        <v/>
      </c>
      <c r="V10" s="11">
        <f>IF(U10="","",HYPERLINK("https://wa.me/52"&amp;C10&amp;"?text="&amp;_xlfn.ENCODEURL(U10),"Enviar aviso de etapa"))</f>
        <v/>
      </c>
      <c r="W10" s="10">
        <f>IF(OR(B10="",O10=""),"","Hola, "&amp;B10&amp;", ¡feliz cumpleaños! Le deseo un excelente día rodeado de quienes más quiere. Ha sido un placer acompañarle desde que estrenó su Toyota. ¡Un abrazo!"&amp;CHAR(10)&amp;CHAR(10)&amp;Config!$B$1)</f>
        <v/>
      </c>
      <c r="X10" s="11">
        <f>IF(W10="","",HYPERLINK("https://wa.me/52"&amp;C10&amp;"?text="&amp;_xlfn.ENCODEURL(W10),"Enviar felicitación"))</f>
        <v/>
      </c>
      <c r="Y10" s="10">
        <f>IF(OR(B10="",P10=""),"","Hola, "&amp;B10&amp;", hoy se cumple un año más desde que estrenó su *"&amp;D10&amp;"*. Espero que haya sido un gran compañero de camino. Cualquier cosa que necesite, aquí estoy para apoyarle."&amp;CHAR(10)&amp;CHAR(10)&amp;Config!$B$1)</f>
        <v/>
      </c>
      <c r="Z10" s="11">
        <f>IF(Y10="","",HYPERLINK("https://wa.me/52"&amp;C10&amp;"?text="&amp;_xlfn.ENCODEURL(Y10),"Enviar aniversario"))</f>
        <v/>
      </c>
      <c r="AA10" s="11" t="n"/>
      <c r="AB10" s="11">
        <f>IF(OR(B10="",AA10=""),"",HYPERLINK("https://wa.me/52"&amp;C10&amp;"?text="&amp;_xlfn.ENCODEURL(_xlfn.SWITCH(AA10,"Bienvenida (primera visita)",Q10,"Seguimiento",S10,"Aviso de Etapa",U10,"Requisitos",AC10,"Datos de Facturación",AD10,"Cumpleaños",W10,"Aniversario",Y10,"")),"Enviar mensaje seleccionado"))</f>
        <v/>
      </c>
      <c r="AC10" s="10">
        <f>IF(B10="","",_xlfn.SWITCH(F10&amp;"|"&amp;G10,"Crédito|Persona física","Hola, "&amp;B10&amp;", para continuar con el proceso de tu *"&amp;D10&amp;"* por "&amp;F10&amp;",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"&amp;B10&amp;", para continuar con el proceso de tu *"&amp;D10&amp;"* por "&amp;F10&amp;",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"&amp;B10&amp;", para continuar con el proceso de tu *"&amp;D10&amp;"* por "&amp;F10&amp;",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"&amp;B10&amp;", para continuar con el proceso de tu *"&amp;D10&amp;"* por "&amp;F10&amp;", estos son los documentos que necesitamos:"&amp;CHAR(10)&amp;CHAR(10)&amp;"- INE"&amp;CHAR(10)&amp;"- Comprobante de domicilio"&amp;CHAR(10)&amp;"- Constancia de situación fiscal (no mayor a 3 meses)","Contado|Persona física con actividad empresarial","Hola, "&amp;B10&amp;", para continuar con el proceso de tu *"&amp;D10&amp;"* por "&amp;F10&amp;", estos son los documentos que necesitamos:"&amp;CHAR(10)&amp;CHAR(10)&amp;"- INE"&amp;CHAR(10)&amp;"- Comprobante de domicilio"&amp;CHAR(10)&amp;"- Constancia de situación fiscal (no mayor a 3 meses)","Contado|Persona moral","Hola, "&amp;B10&amp;", para continuar con el proceso de tu *"&amp;D10&amp;"* por "&amp;F10&amp;",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0" s="10">
        <f>IFERROR(INDEX(Facturación!$Q:$Q,MATCH(B10,Facturación!$A:$A,0)),"")</f>
        <v/>
      </c>
    </row>
    <row r="11" ht="15" customHeight="1" s="1">
      <c r="A11" s="11">
        <f>IF(B11="","",ROW()-1)</f>
        <v/>
      </c>
      <c r="B11" s="11" t="inlineStr">
        <is>
          <t>YESICA NAYELLI REYES MARTINEZ</t>
        </is>
      </c>
      <c r="C11" s="11" t="inlineStr">
        <is>
          <t>5516524745</t>
        </is>
      </c>
      <c r="D11" s="11" t="inlineStr">
        <is>
          <t>COROLLA CROSS, LE, COLOR NEGRO, AUTOMATICA</t>
        </is>
      </c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37" t="n">
        <v>46300</v>
      </c>
      <c r="O11" s="11" t="n"/>
      <c r="P11" s="11" t="n"/>
      <c r="Q11" s="10">
        <f>IF(OR(B11="",L11&lt;&gt;"Sí"),"","Hola, "&amp;B11&amp;", excelente día. Le saluda *Alejandro Estrada* de Toyota Corregidora."&amp;CHAR(10)&amp;"Muchas gracias por visitarnos y conocer la *"&amp;D11&amp;"*.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1" s="11">
        <f>IF(Q11="","",HYPERLINK("https://wa.me/52"&amp;C11&amp;"?text="&amp;_xlfn.ENCODEURL(Q11),"Enviar Bienvenida"))</f>
        <v/>
      </c>
      <c r="S11" s="10">
        <f>IF(B11="","","Hola, "&amp;B11&amp;", muy buen día."&amp;CHAR(10)&amp;"Espero que esté teniendo una excelente semana. Le escribo para saber si tiene alguna duda sobre la oferta del *"&amp;D11&amp;"*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1" s="11">
        <f>IF(S11="","",HYPERLINK("https://wa.me/52"&amp;C11&amp;"?text="&amp;_xlfn.ENCODEURL(S11),"Enviar Seguimiento"))</f>
        <v/>
      </c>
      <c r="U11" s="10">
        <f>IF(B11="","",_xlfn.SWITCH(M11,"Apartado","Hola, "&amp;B11&amp;", buen día. Le confirmo que su apartado por el *"&amp;D11&amp;"* quedó registrado correctamente. Seguimos con el proceso y le mantendré informado(a) de cada paso.","Toma de vehículo","Hola, "&amp;B11&amp;", le comparto que estamos en el proceso de toma de su vehículo actual. En cuanto tengamos el resultado le aviso para continuar con el siguiente paso.","Pago vehículo a cuenta","Hola, "&amp;B11&amp;", quedamos en proceso de pago del vehículo que se toma a cuenta. Cualquier documento o aclaración que se requiera se lo haré saber por este medio.","Firma de contrato","Hola, "&amp;B11&amp;", ya estamos listos para agendar la firma de su contrato. ¿Qué día y hora se le facilita para realizarla?","Facturación","Hola, "&amp;B11&amp;", su unidad ya está en proceso de facturación. En breve le comparto los datos para su confirmación.","Programación de entrega","Hola, "&amp;B11&amp;", con gusto le comparto que ya podemos programar la entrega de su *"&amp;D11&amp;"*. ¿Qué día y hora le acomodan mejor?","Entregado","Hola, "&amp;B11&amp;", ¡muchas felicidades por estrenar su *"&amp;D11&amp;"*! Fue un gusto acompañarle en este proceso. Quedo pendiente de cualquier duda y con gusto le agendo su próxima cita de servicio cuando lo necesite.","Hola, "&amp;B11&amp;", seguimos en contacto para avanzar con el proceso de su próximo Toyota.")&amp;CHAR(10)&amp;CHAR(10)&amp;Config!$B$1)</f>
        <v/>
      </c>
      <c r="V11" s="11">
        <f>IF(U11="","",HYPERLINK("https://wa.me/52"&amp;C11&amp;"?text="&amp;_xlfn.ENCODEURL(U11),"Enviar aviso de etapa"))</f>
        <v/>
      </c>
      <c r="W11" s="10">
        <f>IF(OR(B11="",O11=""),"","Hola, "&amp;B11&amp;", ¡feliz cumpleaños! Le deseo un excelente día rodeado de quienes más quiere. Ha sido un placer acompañarle desde que estrenó su Toyota. ¡Un abrazo!"&amp;CHAR(10)&amp;CHAR(10)&amp;Config!$B$1)</f>
        <v/>
      </c>
      <c r="X11" s="11">
        <f>IF(W11="","",HYPERLINK("https://wa.me/52"&amp;C11&amp;"?text="&amp;_xlfn.ENCODEURL(W11),"Enviar felicitación"))</f>
        <v/>
      </c>
      <c r="Y11" s="10">
        <f>IF(OR(B11="",P11=""),"","Hola, "&amp;B11&amp;", hoy se cumple un año más desde que estrenó su *"&amp;D11&amp;"*. Espero que haya sido un gran compañero de camino. Cualquier cosa que necesite, aquí estoy para apoyarle."&amp;CHAR(10)&amp;CHAR(10)&amp;Config!$B$1)</f>
        <v/>
      </c>
      <c r="Z11" s="11">
        <f>IF(Y11="","",HYPERLINK("https://wa.me/52"&amp;C11&amp;"?text="&amp;_xlfn.ENCODEURL(Y11),"Enviar aniversario"))</f>
        <v/>
      </c>
      <c r="AA11" s="11" t="n"/>
      <c r="AB11" s="11">
        <f>IF(OR(B11="",AA11=""),"",HYPERLINK("https://wa.me/52"&amp;C11&amp;"?text="&amp;_xlfn.ENCODEURL(_xlfn.SWITCH(AA11,"Bienvenida (primera visita)",Q11,"Seguimiento",S11,"Aviso de Etapa",U11,"Requisitos",AC11,"Datos de Facturación",AD11,"Cumpleaños",W11,"Aniversario",Y11,"")),"Enviar mensaje seleccionado"))</f>
        <v/>
      </c>
      <c r="AC11" s="10">
        <f>IF(B11="","",_xlfn.SWITCH(F11&amp;"|"&amp;G11,"Crédito|Persona física","Hola, "&amp;B11&amp;", para continuar con el proceso de tu *"&amp;D11&amp;"* por "&amp;F11&amp;",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"&amp;B11&amp;", para continuar con el proceso de tu *"&amp;D11&amp;"* por "&amp;F11&amp;",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"&amp;B11&amp;", para continuar con el proceso de tu *"&amp;D11&amp;"* por "&amp;F11&amp;",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"&amp;B11&amp;", para continuar con el proceso de tu *"&amp;D11&amp;"* por "&amp;F11&amp;", estos son los documentos que necesitamos:"&amp;CHAR(10)&amp;CHAR(10)&amp;"- INE"&amp;CHAR(10)&amp;"- Comprobante de domicilio"&amp;CHAR(10)&amp;"- Constancia de situación fiscal (no mayor a 3 meses)","Contado|Persona física con actividad empresarial","Hola, "&amp;B11&amp;", para continuar con el proceso de tu *"&amp;D11&amp;"* por "&amp;F11&amp;", estos son los documentos que necesitamos:"&amp;CHAR(10)&amp;CHAR(10)&amp;"- INE"&amp;CHAR(10)&amp;"- Comprobante de domicilio"&amp;CHAR(10)&amp;"- Constancia de situación fiscal (no mayor a 3 meses)","Contado|Persona moral","Hola, "&amp;B11&amp;", para continuar con el proceso de tu *"&amp;D11&amp;"* por "&amp;F11&amp;",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1" s="10">
        <f>IFERROR(INDEX(Facturación!$Q:$Q,MATCH(B11,Facturación!$A:$A,0)),"")</f>
        <v/>
      </c>
    </row>
    <row r="12" ht="15" customHeight="1" s="1">
      <c r="A12" s="11">
        <f>IF(B12="","",ROW()-1)</f>
        <v/>
      </c>
      <c r="B12" s="11" t="inlineStr">
        <is>
          <t>SAINTS ENTERPRISES SC</t>
        </is>
      </c>
      <c r="C12" s="11" t="inlineStr">
        <is>
          <t>4423628789</t>
        </is>
      </c>
      <c r="D12" s="11" t="inlineStr">
        <is>
          <t>CAMRY LE, 2026, COLOR PLATA, AUTOMATICO</t>
        </is>
      </c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37" t="n">
        <v>46302</v>
      </c>
      <c r="O12" s="11" t="n"/>
      <c r="P12" s="11" t="n"/>
      <c r="Q12" s="10">
        <f>IF(OR(B12="",L12&lt;&gt;"Sí"),"","Hola, "&amp;B12&amp;", excelente día. Le saluda *Alejandro Estrada* de Toyota Corregidora."&amp;CHAR(10)&amp;"Muchas gracias por visitarnos y conocer la *"&amp;D12&amp;"*.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2" s="11">
        <f>IF(Q12="","",HYPERLINK("https://wa.me/52"&amp;C12&amp;"?text="&amp;_xlfn.ENCODEURL(Q12),"Enviar Bienvenida"))</f>
        <v/>
      </c>
      <c r="S12" s="10">
        <f>IF(B12="","","Hola, "&amp;B12&amp;", muy buen día."&amp;CHAR(10)&amp;"Espero que esté teniendo una excelente semana. Le escribo para saber si tiene alguna duda sobre la oferta del *"&amp;D12&amp;"*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2" s="11">
        <f>IF(S12="","",HYPERLINK("https://wa.me/52"&amp;C12&amp;"?text="&amp;_xlfn.ENCODEURL(S12),"Enviar Seguimiento"))</f>
        <v/>
      </c>
      <c r="U12" s="10">
        <f>IF(B12="","",_xlfn.SWITCH(M12,"Apartado","Hola, "&amp;B12&amp;", buen día. Le confirmo que su apartado por el *"&amp;D12&amp;"* quedó registrado correctamente. Seguimos con el proceso y le mantendré informado(a) de cada paso.","Toma de vehículo","Hola, "&amp;B12&amp;", le comparto que estamos en el proceso de toma de su vehículo actual. En cuanto tengamos el resultado le aviso para continuar con el siguiente paso.","Pago vehículo a cuenta","Hola, "&amp;B12&amp;", quedamos en proceso de pago del vehículo que se toma a cuenta. Cualquier documento o aclaración que se requiera se lo haré saber por este medio.","Firma de contrato","Hola, "&amp;B12&amp;", ya estamos listos para agendar la firma de su contrato. ¿Qué día y hora se le facilita para realizarla?","Facturación","Hola, "&amp;B12&amp;", su unidad ya está en proceso de facturación. En breve le comparto los datos para su confirmación.","Programación de entrega","Hola, "&amp;B12&amp;", con gusto le comparto que ya podemos programar la entrega de su *"&amp;D12&amp;"*. ¿Qué día y hora le acomodan mejor?","Entregado","Hola, "&amp;B12&amp;", ¡muchas felicidades por estrenar su *"&amp;D12&amp;"*! Fue un gusto acompañarle en este proceso. Quedo pendiente de cualquier duda y con gusto le agendo su próxima cita de servicio cuando lo necesite.","Hola, "&amp;B12&amp;", seguimos en contacto para avanzar con el proceso de su próximo Toyota.")&amp;CHAR(10)&amp;CHAR(10)&amp;Config!$B$1)</f>
        <v/>
      </c>
      <c r="V12" s="11">
        <f>IF(U12="","",HYPERLINK("https://wa.me/52"&amp;C12&amp;"?text="&amp;_xlfn.ENCODEURL(U12),"Enviar aviso de etapa"))</f>
        <v/>
      </c>
      <c r="W12" s="10">
        <f>IF(OR(B12="",O12=""),"","Hola, "&amp;B12&amp;", ¡feliz cumpleaños! Le deseo un excelente día rodeado de quienes más quiere. Ha sido un placer acompañarle desde que estrenó su Toyota. ¡Un abrazo!"&amp;CHAR(10)&amp;CHAR(10)&amp;Config!$B$1)</f>
        <v/>
      </c>
      <c r="X12" s="11">
        <f>IF(W12="","",HYPERLINK("https://wa.me/52"&amp;C12&amp;"?text="&amp;_xlfn.ENCODEURL(W12),"Enviar felicitación"))</f>
        <v/>
      </c>
      <c r="Y12" s="10">
        <f>IF(OR(B12="",P12=""),"","Hola, "&amp;B12&amp;", hoy se cumple un año más desde que estrenó su *"&amp;D12&amp;"*. Espero que haya sido un gran compañero de camino. Cualquier cosa que necesite, aquí estoy para apoyarle."&amp;CHAR(10)&amp;CHAR(10)&amp;Config!$B$1)</f>
        <v/>
      </c>
      <c r="Z12" s="11">
        <f>IF(Y12="","",HYPERLINK("https://wa.me/52"&amp;C12&amp;"?text="&amp;_xlfn.ENCODEURL(Y12),"Enviar aniversario"))</f>
        <v/>
      </c>
      <c r="AA12" s="11" t="n"/>
      <c r="AB12" s="11">
        <f>IF(OR(B12="",AA12=""),"",HYPERLINK("https://wa.me/52"&amp;C12&amp;"?text="&amp;_xlfn.ENCODEURL(_xlfn.SWITCH(AA12,"Bienvenida (primera visita)",Q12,"Seguimiento",S12,"Aviso de Etapa",U12,"Requisitos",AC12,"Datos de Facturación",AD12,"Cumpleaños",W12,"Aniversario",Y12,"")),"Enviar mensaje seleccionado"))</f>
        <v/>
      </c>
      <c r="AC12" s="10">
        <f>IF(B12="","",_xlfn.SWITCH(F12&amp;"|"&amp;G12,"Crédito|Persona física","Hola, "&amp;B12&amp;", para continuar con el proceso de tu *"&amp;D12&amp;"* por "&amp;F12&amp;",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"&amp;B12&amp;", para continuar con el proceso de tu *"&amp;D12&amp;"* por "&amp;F12&amp;",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"&amp;B12&amp;", para continuar con el proceso de tu *"&amp;D12&amp;"* por "&amp;F12&amp;",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"&amp;B12&amp;", para continuar con el proceso de tu *"&amp;D12&amp;"* por "&amp;F12&amp;", estos son los documentos que necesitamos:"&amp;CHAR(10)&amp;CHAR(10)&amp;"- INE"&amp;CHAR(10)&amp;"- Comprobante de domicilio"&amp;CHAR(10)&amp;"- Constancia de situación fiscal (no mayor a 3 meses)","Contado|Persona física con actividad empresarial","Hola, "&amp;B12&amp;", para continuar con el proceso de tu *"&amp;D12&amp;"* por "&amp;F12&amp;", estos son los documentos que necesitamos:"&amp;CHAR(10)&amp;CHAR(10)&amp;"- INE"&amp;CHAR(10)&amp;"- Comprobante de domicilio"&amp;CHAR(10)&amp;"- Constancia de situación fiscal (no mayor a 3 meses)","Contado|Persona moral","Hola, "&amp;B12&amp;", para continuar con el proceso de tu *"&amp;D12&amp;"* por "&amp;F12&amp;",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2" s="10">
        <f>IFERROR(INDEX(Facturación!$Q:$Q,MATCH(B12,Facturación!$A:$A,0)),"")</f>
        <v/>
      </c>
    </row>
    <row r="13" ht="15" customHeight="1" s="1">
      <c r="A13" s="11">
        <f>IF(B13="","",ROW()-1)</f>
        <v/>
      </c>
      <c r="B13" s="11" t="inlineStr">
        <is>
          <t>JAVIER AVICK GONZALEZ MUÑOZ</t>
        </is>
      </c>
      <c r="C13" s="11" t="inlineStr">
        <is>
          <t>4424839331</t>
        </is>
      </c>
      <c r="D13" s="11" t="inlineStr">
        <is>
          <t>TACOMA TRD 4X2, 2026, COLOR ROJO, AUTOMATICA</t>
        </is>
      </c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37" t="n">
        <v>46303</v>
      </c>
      <c r="O13" s="11" t="n"/>
      <c r="P13" s="11" t="n"/>
      <c r="Q13" s="10">
        <f>IF(OR(B13="",L13&lt;&gt;"Sí"),"","Hola, "&amp;B13&amp;", excelente día. Le saluda *Alejandro Estrada* de Toyota Corregidora."&amp;CHAR(10)&amp;"Muchas gracias por visitarnos y conocer la *"&amp;D13&amp;"*.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3" s="11">
        <f>IF(Q13="","",HYPERLINK("https://wa.me/52"&amp;C13&amp;"?text="&amp;_xlfn.ENCODEURL(Q13),"Enviar Bienvenida"))</f>
        <v/>
      </c>
      <c r="S13" s="10">
        <f>IF(B13="","","Hola, "&amp;B13&amp;", muy buen día."&amp;CHAR(10)&amp;"Espero que esté teniendo una excelente semana. Le escribo para saber si tiene alguna duda sobre la oferta del *"&amp;D13&amp;"*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3" s="11">
        <f>IF(S13="","",HYPERLINK("https://wa.me/52"&amp;C13&amp;"?text="&amp;_xlfn.ENCODEURL(S13),"Enviar Seguimiento"))</f>
        <v/>
      </c>
      <c r="U13" s="10">
        <f>IF(B13="","",_xlfn.SWITCH(M13,"Apartado","Hola, "&amp;B13&amp;", buen día. Le confirmo que su apartado por el *"&amp;D13&amp;"* quedó registrado correctamente. Seguimos con el proceso y le mantendré informado(a) de cada paso.","Toma de vehículo","Hola, "&amp;B13&amp;", le comparto que estamos en el proceso de toma de su vehículo actual. En cuanto tengamos el resultado le aviso para continuar con el siguiente paso.","Pago vehículo a cuenta","Hola, "&amp;B13&amp;", quedamos en proceso de pago del vehículo que se toma a cuenta. Cualquier documento o aclaración que se requiera se lo haré saber por este medio.","Firma de contrato","Hola, "&amp;B13&amp;", ya estamos listos para agendar la firma de su contrato. ¿Qué día y hora se le facilita para realizarla?","Facturación","Hola, "&amp;B13&amp;", su unidad ya está en proceso de facturación. En breve le comparto los datos para su confirmación.","Programación de entrega","Hola, "&amp;B13&amp;", con gusto le comparto que ya podemos programar la entrega de su *"&amp;D13&amp;"*. ¿Qué día y hora le acomodan mejor?","Entregado","Hola, "&amp;B13&amp;", ¡muchas felicidades por estrenar su *"&amp;D13&amp;"*! Fue un gusto acompañarle en este proceso. Quedo pendiente de cualquier duda y con gusto le agendo su próxima cita de servicio cuando lo necesite.","Hola, "&amp;B13&amp;", seguimos en contacto para avanzar con el proceso de su próximo Toyota.")&amp;CHAR(10)&amp;CHAR(10)&amp;Config!$B$1)</f>
        <v/>
      </c>
      <c r="V13" s="11">
        <f>IF(U13="","",HYPERLINK("https://wa.me/52"&amp;C13&amp;"?text="&amp;_xlfn.ENCODEURL(U13),"Enviar aviso de etapa"))</f>
        <v/>
      </c>
      <c r="W13" s="10">
        <f>IF(OR(B13="",O13=""),"","Hola, "&amp;B13&amp;", ¡feliz cumpleaños! Le deseo un excelente día rodeado de quienes más quiere. Ha sido un placer acompañarle desde que estrenó su Toyota. ¡Un abrazo!"&amp;CHAR(10)&amp;CHAR(10)&amp;Config!$B$1)</f>
        <v/>
      </c>
      <c r="X13" s="11">
        <f>IF(W13="","",HYPERLINK("https://wa.me/52"&amp;C13&amp;"?text="&amp;_xlfn.ENCODEURL(W13),"Enviar felicitación"))</f>
        <v/>
      </c>
      <c r="Y13" s="10">
        <f>IF(OR(B13="",P13=""),"","Hola, "&amp;B13&amp;", hoy se cumple un año más desde que estrenó su *"&amp;D13&amp;"*. Espero que haya sido un gran compañero de camino. Cualquier cosa que necesite, aquí estoy para apoyarle."&amp;CHAR(10)&amp;CHAR(10)&amp;Config!$B$1)</f>
        <v/>
      </c>
      <c r="Z13" s="11">
        <f>IF(Y13="","",HYPERLINK("https://wa.me/52"&amp;C13&amp;"?text="&amp;_xlfn.ENCODEURL(Y13),"Enviar aniversario"))</f>
        <v/>
      </c>
      <c r="AA13" s="11" t="n"/>
      <c r="AB13" s="11">
        <f>IF(OR(B13="",AA13=""),"",HYPERLINK("https://wa.me/52"&amp;C13&amp;"?text="&amp;_xlfn.ENCODEURL(_xlfn.SWITCH(AA13,"Bienvenida (primera visita)",Q13,"Seguimiento",S13,"Aviso de Etapa",U13,"Requisitos",AC13,"Datos de Facturación",AD13,"Cumpleaños",W13,"Aniversario",Y13,"")),"Enviar mensaje seleccionado"))</f>
        <v/>
      </c>
      <c r="AC13" s="10">
        <f>IF(B13="","",_xlfn.SWITCH(F13&amp;"|"&amp;G13,"Crédito|Persona física","Hola, "&amp;B13&amp;", para continuar con el proceso de tu *"&amp;D13&amp;"* por "&amp;F13&amp;",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"&amp;B13&amp;", para continuar con el proceso de tu *"&amp;D13&amp;"* por "&amp;F13&amp;",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"&amp;B13&amp;", para continuar con el proceso de tu *"&amp;D13&amp;"* por "&amp;F13&amp;",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"&amp;B13&amp;", para continuar con el proceso de tu *"&amp;D13&amp;"* por "&amp;F13&amp;", estos son los documentos que necesitamos:"&amp;CHAR(10)&amp;CHAR(10)&amp;"- INE"&amp;CHAR(10)&amp;"- Comprobante de domicilio"&amp;CHAR(10)&amp;"- Constancia de situación fiscal (no mayor a 3 meses)","Contado|Persona física con actividad empresarial","Hola, "&amp;B13&amp;", para continuar con el proceso de tu *"&amp;D13&amp;"* por "&amp;F13&amp;", estos son los documentos que necesitamos:"&amp;CHAR(10)&amp;CHAR(10)&amp;"- INE"&amp;CHAR(10)&amp;"- Comprobante de domicilio"&amp;CHAR(10)&amp;"- Constancia de situación fiscal (no mayor a 3 meses)","Contado|Persona moral","Hola, "&amp;B13&amp;", para continuar con el proceso de tu *"&amp;D13&amp;"* por "&amp;F13&amp;",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3" s="10">
        <f>IFERROR(INDEX(Facturación!$Q:$Q,MATCH(B13,Facturación!$A:$A,0)),"")</f>
        <v/>
      </c>
    </row>
    <row r="14" ht="15" customHeight="1" s="1">
      <c r="A14" s="11">
        <f>IF(B14="","",ROW()-1)</f>
        <v/>
      </c>
      <c r="B14" s="11" t="inlineStr">
        <is>
          <t>ESTEFANA GARCIA SUAREZ</t>
        </is>
      </c>
      <c r="C14" s="11" t="inlineStr">
        <is>
          <t>4421430912</t>
        </is>
      </c>
      <c r="D14" s="11" t="inlineStr">
        <is>
          <t>HILUX DIESEL, 2027, COLOR BLANCO, AUTOMATICA</t>
        </is>
      </c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37" t="n">
        <v>46304</v>
      </c>
      <c r="O14" s="11" t="n"/>
      <c r="P14" s="11" t="n"/>
      <c r="Q14" s="10">
        <f>IF(OR(B14="",L14&lt;&gt;"Sí"),"","Hola, "&amp;B14&amp;", excelente día. Le saluda *Alejandro Estrada* de Toyota Corregidora."&amp;CHAR(10)&amp;"Muchas gracias por visitarnos y conocer la *"&amp;D14&amp;"*.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4" s="11">
        <f>IF(Q14="","",HYPERLINK("https://wa.me/52"&amp;C14&amp;"?text="&amp;_xlfn.ENCODEURL(Q14),"Enviar Bienvenida"))</f>
        <v/>
      </c>
      <c r="S14" s="10">
        <f>IF(B14="","","Hola, "&amp;B14&amp;", muy buen día."&amp;CHAR(10)&amp;"Espero que esté teniendo una excelente semana. Le escribo para saber si tiene alguna duda sobre la oferta del *"&amp;D14&amp;"*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4" s="11">
        <f>IF(S14="","",HYPERLINK("https://wa.me/52"&amp;C14&amp;"?text="&amp;_xlfn.ENCODEURL(S14),"Enviar Seguimiento"))</f>
        <v/>
      </c>
      <c r="U14" s="10">
        <f>IF(B14="","",_xlfn.SWITCH(M14,"Apartado","Hola, "&amp;B14&amp;", buen día. Le confirmo que su apartado por el *"&amp;D14&amp;"* quedó registrado correctamente. Seguimos con el proceso y le mantendré informado(a) de cada paso.","Toma de vehículo","Hola, "&amp;B14&amp;", le comparto que estamos en el proceso de toma de su vehículo actual. En cuanto tengamos el resultado le aviso para continuar con el siguiente paso.","Pago vehículo a cuenta","Hola, "&amp;B14&amp;", quedamos en proceso de pago del vehículo que se toma a cuenta. Cualquier documento o aclaración que se requiera se lo haré saber por este medio.","Firma de contrato","Hola, "&amp;B14&amp;", ya estamos listos para agendar la firma de su contrato. ¿Qué día y hora se le facilita para realizarla?","Facturación","Hola, "&amp;B14&amp;", su unidad ya está en proceso de facturación. En breve le comparto los datos para su confirmación.","Programación de entrega","Hola, "&amp;B14&amp;", con gusto le comparto que ya podemos programar la entrega de su *"&amp;D14&amp;"*. ¿Qué día y hora le acomodan mejor?","Entregado","Hola, "&amp;B14&amp;", ¡muchas felicidades por estrenar su *"&amp;D14&amp;"*! Fue un gusto acompañarle en este proceso. Quedo pendiente de cualquier duda y con gusto le agendo su próxima cita de servicio cuando lo necesite.","Hola, "&amp;B14&amp;", seguimos en contacto para avanzar con el proceso de su próximo Toyota.")&amp;CHAR(10)&amp;CHAR(10)&amp;Config!$B$1)</f>
        <v/>
      </c>
      <c r="V14" s="11">
        <f>IF(U14="","",HYPERLINK("https://wa.me/52"&amp;C14&amp;"?text="&amp;_xlfn.ENCODEURL(U14),"Enviar aviso de etapa"))</f>
        <v/>
      </c>
      <c r="W14" s="10">
        <f>IF(OR(B14="",O14=""),"","Hola, "&amp;B14&amp;", ¡feliz cumpleaños! Le deseo un excelente día rodeado de quienes más quiere. Ha sido un placer acompañarle desde que estrenó su Toyota. ¡Un abrazo!"&amp;CHAR(10)&amp;CHAR(10)&amp;Config!$B$1)</f>
        <v/>
      </c>
      <c r="X14" s="11">
        <f>IF(W14="","",HYPERLINK("https://wa.me/52"&amp;C14&amp;"?text="&amp;_xlfn.ENCODEURL(W14),"Enviar felicitación"))</f>
        <v/>
      </c>
      <c r="Y14" s="10">
        <f>IF(OR(B14="",P14=""),"","Hola, "&amp;B14&amp;", hoy se cumple un año más desde que estrenó su *"&amp;D14&amp;"*. Espero que haya sido un gran compañero de camino. Cualquier cosa que necesite, aquí estoy para apoyarle."&amp;CHAR(10)&amp;CHAR(10)&amp;Config!$B$1)</f>
        <v/>
      </c>
      <c r="Z14" s="11">
        <f>IF(Y14="","",HYPERLINK("https://wa.me/52"&amp;C14&amp;"?text="&amp;_xlfn.ENCODEURL(Y14),"Enviar aniversario"))</f>
        <v/>
      </c>
      <c r="AA14" s="11" t="n"/>
      <c r="AB14" s="11">
        <f>IF(OR(B14="",AA14=""),"",HYPERLINK("https://wa.me/52"&amp;C14&amp;"?text="&amp;_xlfn.ENCODEURL(_xlfn.SWITCH(AA14,"Bienvenida (primera visita)",Q14,"Seguimiento",S14,"Aviso de Etapa",U14,"Requisitos",AC14,"Datos de Facturación",AD14,"Cumpleaños",W14,"Aniversario",Y14,"")),"Enviar mensaje seleccionado"))</f>
        <v/>
      </c>
      <c r="AC14" s="10">
        <f>IF(B14="","",_xlfn.SWITCH(F14&amp;"|"&amp;G14,"Crédito|Persona física","Hola, "&amp;B14&amp;", para continuar con el proceso de tu *"&amp;D14&amp;"* por "&amp;F14&amp;",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"&amp;B14&amp;", para continuar con el proceso de tu *"&amp;D14&amp;"* por "&amp;F14&amp;",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"&amp;B14&amp;", para continuar con el proceso de tu *"&amp;D14&amp;"* por "&amp;F14&amp;",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"&amp;B14&amp;", para continuar con el proceso de tu *"&amp;D14&amp;"* por "&amp;F14&amp;", estos son los documentos que necesitamos:"&amp;CHAR(10)&amp;CHAR(10)&amp;"- INE"&amp;CHAR(10)&amp;"- Comprobante de domicilio"&amp;CHAR(10)&amp;"- Constancia de situación fiscal (no mayor a 3 meses)","Contado|Persona física con actividad empresarial","Hola, "&amp;B14&amp;", para continuar con el proceso de tu *"&amp;D14&amp;"* por "&amp;F14&amp;", estos son los documentos que necesitamos:"&amp;CHAR(10)&amp;CHAR(10)&amp;"- INE"&amp;CHAR(10)&amp;"- Comprobante de domicilio"&amp;CHAR(10)&amp;"- Constancia de situación fiscal (no mayor a 3 meses)","Contado|Persona moral","Hola, "&amp;B14&amp;", para continuar con el proceso de tu *"&amp;D14&amp;"* por "&amp;F14&amp;",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4" s="10">
        <f>IFERROR(INDEX(Facturación!$Q:$Q,MATCH(B14,Facturación!$A:$A,0)),"")</f>
        <v/>
      </c>
    </row>
    <row r="15" ht="15" customHeight="1" s="1">
      <c r="A15" s="11">
        <f>IF(B15="","",ROW()-1)</f>
        <v/>
      </c>
      <c r="B15" s="11" t="inlineStr">
        <is>
          <t>ESTEFANA GARCIA SUAREZ</t>
        </is>
      </c>
      <c r="C15" s="11" t="inlineStr">
        <is>
          <t>4421430912</t>
        </is>
      </c>
      <c r="D15" s="11" t="inlineStr">
        <is>
          <t>HILUX DIESEL, 2027, COLOR BLANCO, AUTOMATICA</t>
        </is>
      </c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37" t="n">
        <v>46304</v>
      </c>
      <c r="O15" s="11" t="n"/>
      <c r="P15" s="11" t="n"/>
      <c r="Q15" s="10">
        <f>IF(OR(B15="",L15&lt;&gt;"Sí"),"","Hola, "&amp;B15&amp;", excelente día. Le saluda *Alejandro Estrada* de Toyota Corregidora."&amp;CHAR(10)&amp;"Muchas gracias por visitarnos y conocer la *"&amp;D15&amp;"*.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5" s="11">
        <f>IF(Q15="","",HYPERLINK("https://wa.me/52"&amp;C15&amp;"?text="&amp;_xlfn.ENCODEURL(Q15),"Enviar Bienvenida"))</f>
        <v/>
      </c>
      <c r="S15" s="10">
        <f>IF(B15="","","Hola, "&amp;B15&amp;", muy buen día."&amp;CHAR(10)&amp;"Espero que esté teniendo una excelente semana. Le escribo para saber si tiene alguna duda sobre la oferta del *"&amp;D15&amp;"*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5" s="11">
        <f>IF(S15="","",HYPERLINK("https://wa.me/52"&amp;C15&amp;"?text="&amp;_xlfn.ENCODEURL(S15),"Enviar Seguimiento"))</f>
        <v/>
      </c>
      <c r="U15" s="10">
        <f>IF(B15="","",_xlfn.SWITCH(M15,"Apartado","Hola, "&amp;B15&amp;", buen día. Le confirmo que su apartado por el *"&amp;D15&amp;"* quedó registrado correctamente. Seguimos con el proceso y le mantendré informado(a) de cada paso.","Toma de vehículo","Hola, "&amp;B15&amp;", le comparto que estamos en el proceso de toma de su vehículo actual. En cuanto tengamos el resultado le aviso para continuar con el siguiente paso.","Pago vehículo a cuenta","Hola, "&amp;B15&amp;", quedamos en proceso de pago del vehículo que se toma a cuenta. Cualquier documento o aclaración que se requiera se lo haré saber por este medio.","Firma de contrato","Hola, "&amp;B15&amp;", ya estamos listos para agendar la firma de su contrato. ¿Qué día y hora se le facilita para realizarla?","Facturación","Hola, "&amp;B15&amp;", su unidad ya está en proceso de facturación. En breve le comparto los datos para su confirmación.","Programación de entrega","Hola, "&amp;B15&amp;", con gusto le comparto que ya podemos programar la entrega de su *"&amp;D15&amp;"*. ¿Qué día y hora le acomodan mejor?","Entregado","Hola, "&amp;B15&amp;", ¡muchas felicidades por estrenar su *"&amp;D15&amp;"*! Fue un gusto acompañarle en este proceso. Quedo pendiente de cualquier duda y con gusto le agendo su próxima cita de servicio cuando lo necesite.","Hola, "&amp;B15&amp;", seguimos en contacto para avanzar con el proceso de su próximo Toyota.")&amp;CHAR(10)&amp;CHAR(10)&amp;Config!$B$1)</f>
        <v/>
      </c>
      <c r="V15" s="11">
        <f>IF(U15="","",HYPERLINK("https://wa.me/52"&amp;C15&amp;"?text="&amp;_xlfn.ENCODEURL(U15),"Enviar aviso de etapa"))</f>
        <v/>
      </c>
      <c r="W15" s="10">
        <f>IF(OR(B15="",O15=""),"","Hola, "&amp;B15&amp;", ¡feliz cumpleaños! Le deseo un excelente día rodeado de quienes más quiere. Ha sido un placer acompañarle desde que estrenó su Toyota. ¡Un abrazo!"&amp;CHAR(10)&amp;CHAR(10)&amp;Config!$B$1)</f>
        <v/>
      </c>
      <c r="X15" s="11">
        <f>IF(W15="","",HYPERLINK("https://wa.me/52"&amp;C15&amp;"?text="&amp;_xlfn.ENCODEURL(W15),"Enviar felicitación"))</f>
        <v/>
      </c>
      <c r="Y15" s="10">
        <f>IF(OR(B15="",P15=""),"","Hola, "&amp;B15&amp;", hoy se cumple un año más desde que estrenó su *"&amp;D15&amp;"*. Espero que haya sido un gran compañero de camino. Cualquier cosa que necesite, aquí estoy para apoyarle."&amp;CHAR(10)&amp;CHAR(10)&amp;Config!$B$1)</f>
        <v/>
      </c>
      <c r="Z15" s="11">
        <f>IF(Y15="","",HYPERLINK("https://wa.me/52"&amp;C15&amp;"?text="&amp;_xlfn.ENCODEURL(Y15),"Enviar aniversario"))</f>
        <v/>
      </c>
      <c r="AA15" s="11" t="n"/>
      <c r="AB15" s="11">
        <f>IF(OR(B15="",AA15=""),"",HYPERLINK("https://wa.me/52"&amp;C15&amp;"?text="&amp;_xlfn.ENCODEURL(_xlfn.SWITCH(AA15,"Bienvenida (primera visita)",Q15,"Seguimiento",S15,"Aviso de Etapa",U15,"Requisitos",AC15,"Datos de Facturación",AD15,"Cumpleaños",W15,"Aniversario",Y15,"")),"Enviar mensaje seleccionado"))</f>
        <v/>
      </c>
      <c r="AC15" s="10">
        <f>IF(B15="","",_xlfn.SWITCH(F15&amp;"|"&amp;G15,"Crédito|Persona física","Hola, "&amp;B15&amp;", para continuar con el proceso de tu *"&amp;D15&amp;"* por "&amp;F15&amp;",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"&amp;B15&amp;", para continuar con el proceso de tu *"&amp;D15&amp;"* por "&amp;F15&amp;",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"&amp;B15&amp;", para continuar con el proceso de tu *"&amp;D15&amp;"* por "&amp;F15&amp;",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"&amp;B15&amp;", para continuar con el proceso de tu *"&amp;D15&amp;"* por "&amp;F15&amp;", estos son los documentos que necesitamos:"&amp;CHAR(10)&amp;CHAR(10)&amp;"- INE"&amp;CHAR(10)&amp;"- Comprobante de domicilio"&amp;CHAR(10)&amp;"- Constancia de situación fiscal (no mayor a 3 meses)","Contado|Persona física con actividad empresarial","Hola, "&amp;B15&amp;", para continuar con el proceso de tu *"&amp;D15&amp;"* por "&amp;F15&amp;", estos son los documentos que necesitamos:"&amp;CHAR(10)&amp;CHAR(10)&amp;"- INE"&amp;CHAR(10)&amp;"- Comprobante de domicilio"&amp;CHAR(10)&amp;"- Constancia de situación fiscal (no mayor a 3 meses)","Contado|Persona moral","Hola, "&amp;B15&amp;", para continuar con el proceso de tu *"&amp;D15&amp;"* por "&amp;F15&amp;",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5" s="10">
        <f>IFERROR(INDEX(Facturación!$Q:$Q,MATCH(B15,Facturación!$A:$A,0)),"")</f>
        <v/>
      </c>
    </row>
    <row r="16" ht="15" customHeight="1" s="1">
      <c r="A16" s="11">
        <f>IF(B16="","",ROW()-1)</f>
        <v/>
      </c>
      <c r="B16" s="11" t="inlineStr">
        <is>
          <t>ANA CRISTINA RAMOS HERNANDEZ</t>
        </is>
      </c>
      <c r="C16" s="11" t="inlineStr">
        <is>
          <t>4425543638</t>
        </is>
      </c>
      <c r="D16" s="11" t="inlineStr">
        <is>
          <t>RAV4 XLE, COLOR ROJO, 2026, AUTOMATICA</t>
        </is>
      </c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37" t="n">
        <v>46307</v>
      </c>
      <c r="O16" s="11" t="n"/>
      <c r="P16" s="11" t="n"/>
      <c r="Q16" s="10">
        <f>IF(OR(B16="",L16&lt;&gt;"Sí"),"","Hola, "&amp;B16&amp;", excelente día. Le saluda *Alejandro Estrada* de Toyota Corregidora."&amp;CHAR(10)&amp;"Muchas gracias por visitarnos y conocer la *"&amp;D16&amp;"*.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6" s="11">
        <f>IF(Q16="","",HYPERLINK("https://wa.me/52"&amp;C16&amp;"?text="&amp;_xlfn.ENCODEURL(Q16),"Enviar Bienvenida"))</f>
        <v/>
      </c>
      <c r="S16" s="10">
        <f>IF(B16="","","Hola, "&amp;B16&amp;", muy buen día."&amp;CHAR(10)&amp;"Espero que esté teniendo una excelente semana. Le escribo para saber si tiene alguna duda sobre la oferta del *"&amp;D16&amp;"*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6" s="11">
        <f>IF(S16="","",HYPERLINK("https://wa.me/52"&amp;C16&amp;"?text="&amp;_xlfn.ENCODEURL(S16),"Enviar Seguimiento"))</f>
        <v/>
      </c>
      <c r="U16" s="10">
        <f>IF(B16="","",_xlfn.SWITCH(M16,"Apartado","Hola, "&amp;B16&amp;", buen día. Le confirmo que su apartado por el *"&amp;D16&amp;"* quedó registrado correctamente. Seguimos con el proceso y le mantendré informado(a) de cada paso.","Toma de vehículo","Hola, "&amp;B16&amp;", le comparto que estamos en el proceso de toma de su vehículo actual. En cuanto tengamos el resultado le aviso para continuar con el siguiente paso.","Pago vehículo a cuenta","Hola, "&amp;B16&amp;", quedamos en proceso de pago del vehículo que se toma a cuenta. Cualquier documento o aclaración que se requiera se lo haré saber por este medio.","Firma de contrato","Hola, "&amp;B16&amp;", ya estamos listos para agendar la firma de su contrato. ¿Qué día y hora se le facilita para realizarla?","Facturación","Hola, "&amp;B16&amp;", su unidad ya está en proceso de facturación. En breve le comparto los datos para su confirmación.","Programación de entrega","Hola, "&amp;B16&amp;", con gusto le comparto que ya podemos programar la entrega de su *"&amp;D16&amp;"*. ¿Qué día y hora le acomodan mejor?","Entregado","Hola, "&amp;B16&amp;", ¡muchas felicidades por estrenar su *"&amp;D16&amp;"*! Fue un gusto acompañarle en este proceso. Quedo pendiente de cualquier duda y con gusto le agendo su próxima cita de servicio cuando lo necesite.","Hola, "&amp;B16&amp;", seguimos en contacto para avanzar con el proceso de su próximo Toyota.")&amp;CHAR(10)&amp;CHAR(10)&amp;Config!$B$1)</f>
        <v/>
      </c>
      <c r="V16" s="11">
        <f>IF(U16="","",HYPERLINK("https://wa.me/52"&amp;C16&amp;"?text="&amp;_xlfn.ENCODEURL(U16),"Enviar aviso de etapa"))</f>
        <v/>
      </c>
      <c r="W16" s="10">
        <f>IF(OR(B16="",O16=""),"","Hola, "&amp;B16&amp;", ¡feliz cumpleaños! Le deseo un excelente día rodeado de quienes más quiere. Ha sido un placer acompañarle desde que estrenó su Toyota. ¡Un abrazo!"&amp;CHAR(10)&amp;CHAR(10)&amp;Config!$B$1)</f>
        <v/>
      </c>
      <c r="X16" s="11">
        <f>IF(W16="","",HYPERLINK("https://wa.me/52"&amp;C16&amp;"?text="&amp;_xlfn.ENCODEURL(W16),"Enviar felicitación"))</f>
        <v/>
      </c>
      <c r="Y16" s="10">
        <f>IF(OR(B16="",P16=""),"","Hola, "&amp;B16&amp;", hoy se cumple un año más desde que estrenó su *"&amp;D16&amp;"*. Espero que haya sido un gran compañero de camino. Cualquier cosa que necesite, aquí estoy para apoyarle."&amp;CHAR(10)&amp;CHAR(10)&amp;Config!$B$1)</f>
        <v/>
      </c>
      <c r="Z16" s="11">
        <f>IF(Y16="","",HYPERLINK("https://wa.me/52"&amp;C16&amp;"?text="&amp;_xlfn.ENCODEURL(Y16),"Enviar aniversario"))</f>
        <v/>
      </c>
      <c r="AA16" s="11" t="n"/>
      <c r="AB16" s="11">
        <f>IF(OR(B16="",AA16=""),"",HYPERLINK("https://wa.me/52"&amp;C16&amp;"?text="&amp;_xlfn.ENCODEURL(_xlfn.SWITCH(AA16,"Bienvenida (primera visita)",Q16,"Seguimiento",S16,"Aviso de Etapa",U16,"Requisitos",AC16,"Datos de Facturación",AD16,"Cumpleaños",W16,"Aniversario",Y16,"")),"Enviar mensaje seleccionado"))</f>
        <v/>
      </c>
      <c r="AC16" s="10">
        <f>IF(B16="","",_xlfn.SWITCH(F16&amp;"|"&amp;G16,"Crédito|Persona física","Hola, "&amp;B16&amp;", para continuar con el proceso de tu *"&amp;D16&amp;"* por "&amp;F16&amp;",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"&amp;B16&amp;", para continuar con el proceso de tu *"&amp;D16&amp;"* por "&amp;F16&amp;",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"&amp;B16&amp;", para continuar con el proceso de tu *"&amp;D16&amp;"* por "&amp;F16&amp;",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"&amp;B16&amp;", para continuar con el proceso de tu *"&amp;D16&amp;"* por "&amp;F16&amp;", estos son los documentos que necesitamos:"&amp;CHAR(10)&amp;CHAR(10)&amp;"- INE"&amp;CHAR(10)&amp;"- Comprobante de domicilio"&amp;CHAR(10)&amp;"- Constancia de situación fiscal (no mayor a 3 meses)","Contado|Persona física con actividad empresarial","Hola, "&amp;B16&amp;", para continuar con el proceso de tu *"&amp;D16&amp;"* por "&amp;F16&amp;", estos son los documentos que necesitamos:"&amp;CHAR(10)&amp;CHAR(10)&amp;"- INE"&amp;CHAR(10)&amp;"- Comprobante de domicilio"&amp;CHAR(10)&amp;"- Constancia de situación fiscal (no mayor a 3 meses)","Contado|Persona moral","Hola, "&amp;B16&amp;", para continuar con el proceso de tu *"&amp;D16&amp;"* por "&amp;F16&amp;",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6" s="10">
        <f>IFERROR(INDEX(Facturación!$Q:$Q,MATCH(B16,Facturación!$A:$A,0)),"")</f>
        <v/>
      </c>
    </row>
    <row r="17" ht="15" customHeight="1" s="1">
      <c r="A17" s="11">
        <f>IF(B17="","",ROW()-1)</f>
        <v/>
      </c>
      <c r="B17" s="11" t="inlineStr">
        <is>
          <t>ANA CRISTINA RAMOS HERNANDEZ</t>
        </is>
      </c>
      <c r="C17" s="11" t="inlineStr">
        <is>
          <t>4425543638</t>
        </is>
      </c>
      <c r="D17" s="11" t="inlineStr">
        <is>
          <t>RAV4 XLE, COLOR ROJO, 2026, AUTOMATICA</t>
        </is>
      </c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37" t="n">
        <v>46307</v>
      </c>
      <c r="O17" s="11" t="n"/>
      <c r="P17" s="11" t="n"/>
      <c r="Q17" s="10">
        <f>IF(OR(B17="",L17&lt;&gt;"Sí"),"","Hola, "&amp;B17&amp;", excelente día. Le saluda *Alejandro Estrada* de Toyota Corregidora."&amp;CHAR(10)&amp;"Muchas gracias por visitarnos y conocer la *"&amp;D17&amp;"*.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7" s="11">
        <f>IF(Q17="","",HYPERLINK("https://wa.me/52"&amp;C17&amp;"?text="&amp;_xlfn.ENCODEURL(Q17),"Enviar Bienvenida"))</f>
        <v/>
      </c>
      <c r="S17" s="10">
        <f>IF(B17="","","Hola, "&amp;B17&amp;", muy buen día."&amp;CHAR(10)&amp;"Espero que esté teniendo una excelente semana. Le escribo para saber si tiene alguna duda sobre la oferta del *"&amp;D17&amp;"*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7" s="11">
        <f>IF(S17="","",HYPERLINK("https://wa.me/52"&amp;C17&amp;"?text="&amp;_xlfn.ENCODEURL(S17),"Enviar Seguimiento"))</f>
        <v/>
      </c>
      <c r="U17" s="10">
        <f>IF(B17="","",_xlfn.SWITCH(M17,"Apartado","Hola, "&amp;B17&amp;", buen día. Le confirmo que su apartado por el *"&amp;D17&amp;"* quedó registrado correctamente. Seguimos con el proceso y le mantendré informado(a) de cada paso.","Toma de vehículo","Hola, "&amp;B17&amp;", le comparto que estamos en el proceso de toma de su vehículo actual. En cuanto tengamos el resultado le aviso para continuar con el siguiente paso.","Pago vehículo a cuenta","Hola, "&amp;B17&amp;", quedamos en proceso de pago del vehículo que se toma a cuenta. Cualquier documento o aclaración que se requiera se lo haré saber por este medio.","Firma de contrato","Hola, "&amp;B17&amp;", ya estamos listos para agendar la firma de su contrato. ¿Qué día y hora se le facilita para realizarla?","Facturación","Hola, "&amp;B17&amp;", su unidad ya está en proceso de facturación. En breve le comparto los datos para su confirmación.","Programación de entrega","Hola, "&amp;B17&amp;", con gusto le comparto que ya podemos programar la entrega de su *"&amp;D17&amp;"*. ¿Qué día y hora le acomodan mejor?","Entregado","Hola, "&amp;B17&amp;", ¡muchas felicidades por estrenar su *"&amp;D17&amp;"*! Fue un gusto acompañarle en este proceso. Quedo pendiente de cualquier duda y con gusto le agendo su próxima cita de servicio cuando lo necesite.","Hola, "&amp;B17&amp;", seguimos en contacto para avanzar con el proceso de su próximo Toyota.")&amp;CHAR(10)&amp;CHAR(10)&amp;Config!$B$1)</f>
        <v/>
      </c>
      <c r="V17" s="11">
        <f>IF(U17="","",HYPERLINK("https://wa.me/52"&amp;C17&amp;"?text="&amp;_xlfn.ENCODEURL(U17),"Enviar aviso de etapa"))</f>
        <v/>
      </c>
      <c r="W17" s="10">
        <f>IF(OR(B17="",O17=""),"","Hola, "&amp;B17&amp;", ¡feliz cumpleaños! Le deseo un excelente día rodeado de quienes más quiere. Ha sido un placer acompañarle desde que estrenó su Toyota. ¡Un abrazo!"&amp;CHAR(10)&amp;CHAR(10)&amp;Config!$B$1)</f>
        <v/>
      </c>
      <c r="X17" s="11">
        <f>IF(W17="","",HYPERLINK("https://wa.me/52"&amp;C17&amp;"?text="&amp;_xlfn.ENCODEURL(W17),"Enviar felicitación"))</f>
        <v/>
      </c>
      <c r="Y17" s="10">
        <f>IF(OR(B17="",P17=""),"","Hola, "&amp;B17&amp;", hoy se cumple un año más desde que estrenó su *"&amp;D17&amp;"*. Espero que haya sido un gran compañero de camino. Cualquier cosa que necesite, aquí estoy para apoyarle."&amp;CHAR(10)&amp;CHAR(10)&amp;Config!$B$1)</f>
        <v/>
      </c>
      <c r="Z17" s="11">
        <f>IF(Y17="","",HYPERLINK("https://wa.me/52"&amp;C17&amp;"?text="&amp;_xlfn.ENCODEURL(Y17),"Enviar aniversario"))</f>
        <v/>
      </c>
      <c r="AA17" s="11" t="n"/>
      <c r="AB17" s="11">
        <f>IF(OR(B17="",AA17=""),"",HYPERLINK("https://wa.me/52"&amp;C17&amp;"?text="&amp;_xlfn.ENCODEURL(_xlfn.SWITCH(AA17,"Bienvenida (primera visita)",Q17,"Seguimiento",S17,"Aviso de Etapa",U17,"Requisitos",AC17,"Datos de Facturación",AD17,"Cumpleaños",W17,"Aniversario",Y17,"")),"Enviar mensaje seleccionado"))</f>
        <v/>
      </c>
      <c r="AC17" s="10">
        <f>IF(B17="","",_xlfn.SWITCH(F17&amp;"|"&amp;G17,"Crédito|Persona física","Hola, "&amp;B17&amp;", para continuar con el proceso de tu *"&amp;D17&amp;"* por "&amp;F17&amp;",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"&amp;B17&amp;", para continuar con el proceso de tu *"&amp;D17&amp;"* por "&amp;F17&amp;",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"&amp;B17&amp;", para continuar con el proceso de tu *"&amp;D17&amp;"* por "&amp;F17&amp;",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"&amp;B17&amp;", para continuar con el proceso de tu *"&amp;D17&amp;"* por "&amp;F17&amp;", estos son los documentos que necesitamos:"&amp;CHAR(10)&amp;CHAR(10)&amp;"- INE"&amp;CHAR(10)&amp;"- Comprobante de domicilio"&amp;CHAR(10)&amp;"- Constancia de situación fiscal (no mayor a 3 meses)","Contado|Persona física con actividad empresarial","Hola, "&amp;B17&amp;", para continuar con el proceso de tu *"&amp;D17&amp;"* por "&amp;F17&amp;", estos son los documentos que necesitamos:"&amp;CHAR(10)&amp;CHAR(10)&amp;"- INE"&amp;CHAR(10)&amp;"- Comprobante de domicilio"&amp;CHAR(10)&amp;"- Constancia de situación fiscal (no mayor a 3 meses)","Contado|Persona moral","Hola, "&amp;B17&amp;", para continuar con el proceso de tu *"&amp;D17&amp;"* por "&amp;F17&amp;",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7" s="10">
        <f>IFERROR(INDEX(Facturación!$Q:$Q,MATCH(B17,Facturación!$A:$A,0)),"")</f>
        <v/>
      </c>
    </row>
    <row r="18" ht="15" customHeight="1" s="1">
      <c r="A18" s="11">
        <f>IF(B18="","",ROW()-1)</f>
        <v/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0">
        <f>IF(OR(B18="",L18&lt;&gt;"Sí"),"","Hola, "&amp;B18&amp;", excelente día. Le saluda *Alejandro Estrada* de Toyota Corregidora."&amp;CHAR(10)&amp;"Muchas gracias por visitarnos y conocer la *"&amp;D18&amp;"*.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8" s="11">
        <f>IF(Q18="","",HYPERLINK("https://wa.me/52"&amp;C18&amp;"?text="&amp;_xlfn.ENCODEURL(Q18),"Enviar Bienvenida"))</f>
        <v/>
      </c>
      <c r="S18" s="10">
        <f>IF(B18="","","Hola, "&amp;B18&amp;", muy buen día."&amp;CHAR(10)&amp;"Espero que esté teniendo una excelente semana. Le escribo para saber si tiene alguna duda sobre la oferta del *"&amp;D18&amp;"*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8" s="11">
        <f>IF(S18="","",HYPERLINK("https://wa.me/52"&amp;C18&amp;"?text="&amp;_xlfn.ENCODEURL(S18),"Enviar Seguimiento"))</f>
        <v/>
      </c>
      <c r="U18" s="10">
        <f>IF(B18="","",_xlfn.SWITCH(M18,"Apartado","Hola, "&amp;B18&amp;", buen día. Le confirmo que su apartado por el *"&amp;D18&amp;"* quedó registrado correctamente. Seguimos con el proceso y le mantendré informado(a) de cada paso.","Toma de vehículo","Hola, "&amp;B18&amp;", le comparto que estamos en el proceso de toma de su vehículo actual. En cuanto tengamos el resultado le aviso para continuar con el siguiente paso.","Pago vehículo a cuenta","Hola, "&amp;B18&amp;", quedamos en proceso de pago del vehículo que se toma a cuenta. Cualquier documento o aclaración que se requiera se lo haré saber por este medio.","Firma de contrato","Hola, "&amp;B18&amp;", ya estamos listos para agendar la firma de su contrato. ¿Qué día y hora se le facilita para realizarla?","Facturación","Hola, "&amp;B18&amp;", su unidad ya está en proceso de facturación. En breve le comparto los datos para su confirmación.","Programación de entrega","Hola, "&amp;B18&amp;", con gusto le comparto que ya podemos programar la entrega de su *"&amp;D18&amp;"*. ¿Qué día y hora le acomodan mejor?","Entregado","Hola, "&amp;B18&amp;", ¡muchas felicidades por estrenar su *"&amp;D18&amp;"*! Fue un gusto acompañarle en este proceso. Quedo pendiente de cualquier duda y con gusto le agendo su próxima cita de servicio cuando lo necesite.","Hola, "&amp;B18&amp;", seguimos en contacto para avanzar con el proceso de su próximo Toyota.")&amp;CHAR(10)&amp;CHAR(10)&amp;Config!$B$1)</f>
        <v/>
      </c>
      <c r="V18" s="11">
        <f>IF(U18="","",HYPERLINK("https://wa.me/52"&amp;C18&amp;"?text="&amp;_xlfn.ENCODEURL(U18),"Enviar aviso de etapa"))</f>
        <v/>
      </c>
      <c r="W18" s="10">
        <f>IF(OR(B18="",O18=""),"","Hola, "&amp;B18&amp;", ¡feliz cumpleaños! Le deseo un excelente día rodeado de quienes más quiere. Ha sido un placer acompañarle desde que estrenó su Toyota. ¡Un abrazo!"&amp;CHAR(10)&amp;CHAR(10)&amp;Config!$B$1)</f>
        <v/>
      </c>
      <c r="X18" s="11">
        <f>IF(W18="","",HYPERLINK("https://wa.me/52"&amp;C18&amp;"?text="&amp;_xlfn.ENCODEURL(W18),"Enviar felicitación"))</f>
        <v/>
      </c>
      <c r="Y18" s="10">
        <f>IF(OR(B18="",P18=""),"","Hola, "&amp;B18&amp;", hoy se cumple un año más desde que estrenó su *"&amp;D18&amp;"*. Espero que haya sido un gran compañero de camino. Cualquier cosa que necesite, aquí estoy para apoyarle."&amp;CHAR(10)&amp;CHAR(10)&amp;Config!$B$1)</f>
        <v/>
      </c>
      <c r="Z18" s="11">
        <f>IF(Y18="","",HYPERLINK("https://wa.me/52"&amp;C18&amp;"?text="&amp;_xlfn.ENCODEURL(Y18),"Enviar aniversario"))</f>
        <v/>
      </c>
      <c r="AA18" s="11" t="n"/>
      <c r="AB18" s="11">
        <f>IF(OR(B18="",AA18=""),"",HYPERLINK("https://wa.me/52"&amp;C18&amp;"?text="&amp;_xlfn.ENCODEURL(_xlfn.SWITCH(AA18,"Bienvenida (primera visita)",Q18,"Seguimiento",S18,"Aviso de Etapa",U18,"Requisitos",AC18,"Datos de Facturación",AD18,"Cumpleaños",W18,"Aniversario",Y18,"")),"Enviar mensaje seleccionado"))</f>
        <v/>
      </c>
      <c r="AC18" s="10">
        <f>IF(B18="","",_xlfn.SWITCH(F18&amp;"|"&amp;G18,"Crédito|Persona física","Hola, "&amp;B18&amp;", para continuar con el proceso de tu *"&amp;D18&amp;"* por "&amp;F18&amp;",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"&amp;B18&amp;", para continuar con el proceso de tu *"&amp;D18&amp;"* por "&amp;F18&amp;",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"&amp;B18&amp;", para continuar con el proceso de tu *"&amp;D18&amp;"* por "&amp;F18&amp;",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"&amp;B18&amp;", para continuar con el proceso de tu *"&amp;D18&amp;"* por "&amp;F18&amp;", estos son los documentos que necesitamos:"&amp;CHAR(10)&amp;CHAR(10)&amp;"- INE"&amp;CHAR(10)&amp;"- Comprobante de domicilio"&amp;CHAR(10)&amp;"- Constancia de situación fiscal (no mayor a 3 meses)","Contado|Persona física con actividad empresarial","Hola, "&amp;B18&amp;", para continuar con el proceso de tu *"&amp;D18&amp;"* por "&amp;F18&amp;", estos son los documentos que necesitamos:"&amp;CHAR(10)&amp;CHAR(10)&amp;"- INE"&amp;CHAR(10)&amp;"- Comprobante de domicilio"&amp;CHAR(10)&amp;"- Constancia de situación fiscal (no mayor a 3 meses)","Contado|Persona moral","Hola, "&amp;B18&amp;", para continuar con el proceso de tu *"&amp;D18&amp;"* por "&amp;F18&amp;",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8" s="10">
        <f>IFERROR(INDEX(Facturación!$Q:$Q,MATCH(B18,Facturación!$A:$A,0)),"")</f>
        <v/>
      </c>
    </row>
    <row r="19" ht="15" customHeight="1" s="1">
      <c r="A19" s="11">
        <f>IF(B19="","",ROW()-1)</f>
        <v/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0">
        <f>IF(OR(B19="",L19&lt;&gt;"Sí"),"","Hola, "&amp;B19&amp;", excelente día. Le saluda *Alejandro Estrada* de Toyota Corregidora."&amp;CHAR(10)&amp;"Muchas gracias por visitarnos y conocer la *"&amp;D19&amp;"*.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9" s="11">
        <f>IF(Q19="","",HYPERLINK("https://wa.me/52"&amp;C19&amp;"?text="&amp;_xlfn.ENCODEURL(Q19),"Enviar Bienvenida"))</f>
        <v/>
      </c>
      <c r="S19" s="10">
        <f>IF(B19="","","Hola, "&amp;B19&amp;", muy buen día."&amp;CHAR(10)&amp;"Espero que esté teniendo una excelente semana. Le escribo para saber si tiene alguna duda sobre la oferta del *"&amp;D19&amp;"*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9" s="11">
        <f>IF(S19="","",HYPERLINK("https://wa.me/52"&amp;C19&amp;"?text="&amp;_xlfn.ENCODEURL(S19),"Enviar Seguimiento"))</f>
        <v/>
      </c>
      <c r="U19" s="10">
        <f>IF(B19="","",_xlfn.SWITCH(M19,"Apartado","Hola, "&amp;B19&amp;", buen día. Le confirmo que su apartado por el *"&amp;D19&amp;"* quedó registrado correctamente. Seguimos con el proceso y le mantendré informado(a) de cada paso.","Toma de vehículo","Hola, "&amp;B19&amp;", le comparto que estamos en el proceso de toma de su vehículo actual. En cuanto tengamos el resultado le aviso para continuar con el siguiente paso.","Pago vehículo a cuenta","Hola, "&amp;B19&amp;", quedamos en proceso de pago del vehículo que se toma a cuenta. Cualquier documento o aclaración que se requiera se lo haré saber por este medio.","Firma de contrato","Hola, "&amp;B19&amp;", ya estamos listos para agendar la firma de su contrato. ¿Qué día y hora se le facilita para realizarla?","Facturación","Hola, "&amp;B19&amp;", su unidad ya está en proceso de facturación. En breve le comparto los datos para su confirmación.","Programación de entrega","Hola, "&amp;B19&amp;", con gusto le comparto que ya podemos programar la entrega de su *"&amp;D19&amp;"*. ¿Qué día y hora le acomodan mejor?","Entregado","Hola, "&amp;B19&amp;", ¡muchas felicidades por estrenar su *"&amp;D19&amp;"*! Fue un gusto acompañarle en este proceso. Quedo pendiente de cualquier duda y con gusto le agendo su próxima cita de servicio cuando lo necesite.","Hola, "&amp;B19&amp;", seguimos en contacto para avanzar con el proceso de su próximo Toyota.")&amp;CHAR(10)&amp;CHAR(10)&amp;Config!$B$1)</f>
        <v/>
      </c>
      <c r="V19" s="11">
        <f>IF(U19="","",HYPERLINK("https://wa.me/52"&amp;C19&amp;"?text="&amp;_xlfn.ENCODEURL(U19),"Enviar aviso de etapa"))</f>
        <v/>
      </c>
      <c r="W19" s="10">
        <f>IF(OR(B19="",O19=""),"","Hola, "&amp;B19&amp;", ¡feliz cumpleaños! Le deseo un excelente día rodeado de quienes más quiere. Ha sido un placer acompañarle desde que estrenó su Toyota. ¡Un abrazo!"&amp;CHAR(10)&amp;CHAR(10)&amp;Config!$B$1)</f>
        <v/>
      </c>
      <c r="X19" s="11">
        <f>IF(W19="","",HYPERLINK("https://wa.me/52"&amp;C19&amp;"?text="&amp;_xlfn.ENCODEURL(W19),"Enviar felicitación"))</f>
        <v/>
      </c>
      <c r="Y19" s="10">
        <f>IF(OR(B19="",P19=""),"","Hola, "&amp;B19&amp;", hoy se cumple un año más desde que estrenó su *"&amp;D19&amp;"*. Espero que haya sido un gran compañero de camino. Cualquier cosa que necesite, aquí estoy para apoyarle."&amp;CHAR(10)&amp;CHAR(10)&amp;Config!$B$1)</f>
        <v/>
      </c>
      <c r="Z19" s="11">
        <f>IF(Y19="","",HYPERLINK("https://wa.me/52"&amp;C19&amp;"?text="&amp;_xlfn.ENCODEURL(Y19),"Enviar aniversario"))</f>
        <v/>
      </c>
      <c r="AA19" s="11" t="n"/>
      <c r="AB19" s="11">
        <f>IF(OR(B19="",AA19=""),"",HYPERLINK("https://wa.me/52"&amp;C19&amp;"?text="&amp;_xlfn.ENCODEURL(_xlfn.SWITCH(AA19,"Bienvenida (primera visita)",Q19,"Seguimiento",S19,"Aviso de Etapa",U19,"Requisitos",AC19,"Datos de Facturación",AD19,"Cumpleaños",W19,"Aniversario",Y19,"")),"Enviar mensaje seleccionado"))</f>
        <v/>
      </c>
      <c r="AC19" s="10">
        <f>IF(B19="","",_xlfn.SWITCH(F19&amp;"|"&amp;G19,"Crédito|Persona física","Hola, "&amp;B19&amp;", para continuar con el proceso de tu *"&amp;D19&amp;"* por "&amp;F19&amp;",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"&amp;B19&amp;", para continuar con el proceso de tu *"&amp;D19&amp;"* por "&amp;F19&amp;",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"&amp;B19&amp;", para continuar con el proceso de tu *"&amp;D19&amp;"* por "&amp;F19&amp;",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"&amp;B19&amp;", para continuar con el proceso de tu *"&amp;D19&amp;"* por "&amp;F19&amp;", estos son los documentos que necesitamos:"&amp;CHAR(10)&amp;CHAR(10)&amp;"- INE"&amp;CHAR(10)&amp;"- Comprobante de domicilio"&amp;CHAR(10)&amp;"- Constancia de situación fiscal (no mayor a 3 meses)","Contado|Persona física con actividad empresarial","Hola, "&amp;B19&amp;", para continuar con el proceso de tu *"&amp;D19&amp;"* por "&amp;F19&amp;", estos son los documentos que necesitamos:"&amp;CHAR(10)&amp;CHAR(10)&amp;"- INE"&amp;CHAR(10)&amp;"- Comprobante de domicilio"&amp;CHAR(10)&amp;"- Constancia de situación fiscal (no mayor a 3 meses)","Contado|Persona moral","Hola, "&amp;B19&amp;", para continuar con el proceso de tu *"&amp;D19&amp;"* por "&amp;F19&amp;",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9" s="10">
        <f>IFERROR(INDEX(Facturación!$Q:$Q,MATCH(B19,Facturación!$A:$A,0)),"")</f>
        <v/>
      </c>
    </row>
    <row r="20" ht="15" customHeight="1" s="1">
      <c r="A20" s="11">
        <f>IF(B20="","",ROW()-1)</f>
        <v/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0">
        <f>IF(OR(B20="",L20&lt;&gt;"Sí"),"","Hola, "&amp;B20&amp;", excelente día. Le saluda *Alejandro Estrada* de Toyota Corregidora."&amp;CHAR(10)&amp;"Muchas gracias por visitarnos y conocer la *"&amp;D20&amp;"*.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20" s="11">
        <f>IF(Q20="","",HYPERLINK("https://wa.me/52"&amp;C20&amp;"?text="&amp;_xlfn.ENCODEURL(Q20),"Enviar Bienvenida"))</f>
        <v/>
      </c>
      <c r="S20" s="10">
        <f>IF(B20="","","Hola, "&amp;B20&amp;", muy buen día."&amp;CHAR(10)&amp;"Espero que esté teniendo una excelente semana. Le escribo para saber si tiene alguna duda sobre la oferta del *"&amp;D20&amp;"*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20" s="11">
        <f>IF(S20="","",HYPERLINK("https://wa.me/52"&amp;C20&amp;"?text="&amp;_xlfn.ENCODEURL(S20),"Enviar Seguimiento"))</f>
        <v/>
      </c>
      <c r="U20" s="10">
        <f>IF(B20="","",_xlfn.SWITCH(M20,"Apartado","Hola, "&amp;B20&amp;", buen día. Le confirmo que su apartado por el *"&amp;D20&amp;"* quedó registrado correctamente. Seguimos con el proceso y le mantendré informado(a) de cada paso.","Toma de vehículo","Hola, "&amp;B20&amp;", le comparto que estamos en el proceso de toma de su vehículo actual. En cuanto tengamos el resultado le aviso para continuar con el siguiente paso.","Pago vehículo a cuenta","Hola, "&amp;B20&amp;", quedamos en proceso de pago del vehículo que se toma a cuenta. Cualquier documento o aclaración que se requiera se lo haré saber por este medio.","Firma de contrato","Hola, "&amp;B20&amp;", ya estamos listos para agendar la firma de su contrato. ¿Qué día y hora se le facilita para realizarla?","Facturación","Hola, "&amp;B20&amp;", su unidad ya está en proceso de facturación. En breve le comparto los datos para su confirmación.","Programación de entrega","Hola, "&amp;B20&amp;", con gusto le comparto que ya podemos programar la entrega de su *"&amp;D20&amp;"*. ¿Qué día y hora le acomodan mejor?","Entregado","Hola, "&amp;B20&amp;", ¡muchas felicidades por estrenar su *"&amp;D20&amp;"*! Fue un gusto acompañarle en este proceso. Quedo pendiente de cualquier duda y con gusto le agendo su próxima cita de servicio cuando lo necesite.","Hola, "&amp;B20&amp;", seguimos en contacto para avanzar con el proceso de su próximo Toyota.")&amp;CHAR(10)&amp;CHAR(10)&amp;Config!$B$1)</f>
        <v/>
      </c>
      <c r="V20" s="11">
        <f>IF(U20="","",HYPERLINK("https://wa.me/52"&amp;C20&amp;"?text="&amp;_xlfn.ENCODEURL(U20),"Enviar aviso de etapa"))</f>
        <v/>
      </c>
      <c r="W20" s="10">
        <f>IF(OR(B20="",O20=""),"","Hola, "&amp;B20&amp;", ¡feliz cumpleaños! Le deseo un excelente día rodeado de quienes más quiere. Ha sido un placer acompañarle desde que estrenó su Toyota. ¡Un abrazo!"&amp;CHAR(10)&amp;CHAR(10)&amp;Config!$B$1)</f>
        <v/>
      </c>
      <c r="X20" s="11">
        <f>IF(W20="","",HYPERLINK("https://wa.me/52"&amp;C20&amp;"?text="&amp;_xlfn.ENCODEURL(W20),"Enviar felicitación"))</f>
        <v/>
      </c>
      <c r="Y20" s="10">
        <f>IF(OR(B20="",P20=""),"","Hola, "&amp;B20&amp;", hoy se cumple un año más desde que estrenó su *"&amp;D20&amp;"*. Espero que haya sido un gran compañero de camino. Cualquier cosa que necesite, aquí estoy para apoyarle."&amp;CHAR(10)&amp;CHAR(10)&amp;Config!$B$1)</f>
        <v/>
      </c>
      <c r="Z20" s="11">
        <f>IF(Y20="","",HYPERLINK("https://wa.me/52"&amp;C20&amp;"?text="&amp;_xlfn.ENCODEURL(Y20),"Enviar aniversario"))</f>
        <v/>
      </c>
      <c r="AA20" s="11" t="n"/>
      <c r="AB20" s="11">
        <f>IF(OR(B20="",AA20=""),"",HYPERLINK("https://wa.me/52"&amp;C20&amp;"?text="&amp;_xlfn.ENCODEURL(_xlfn.SWITCH(AA20,"Bienvenida (primera visita)",Q20,"Seguimiento",S20,"Aviso de Etapa",U20,"Requisitos",AC20,"Datos de Facturación",AD20,"Cumpleaños",W20,"Aniversario",Y20,"")),"Enviar mensaje seleccionado"))</f>
        <v/>
      </c>
      <c r="AC20" s="10">
        <f>IF(B20="","",_xlfn.SWITCH(F20&amp;"|"&amp;G20,"Crédito|Persona física","Hola, "&amp;B20&amp;", para continuar con el proceso de tu *"&amp;D20&amp;"* por "&amp;F20&amp;",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"&amp;B20&amp;", para continuar con el proceso de tu *"&amp;D20&amp;"* por "&amp;F20&amp;",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"&amp;B20&amp;", para continuar con el proceso de tu *"&amp;D20&amp;"* por "&amp;F20&amp;",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"&amp;B20&amp;", para continuar con el proceso de tu *"&amp;D20&amp;"* por "&amp;F20&amp;", estos son los documentos que necesitamos:"&amp;CHAR(10)&amp;CHAR(10)&amp;"- INE"&amp;CHAR(10)&amp;"- Comprobante de domicilio"&amp;CHAR(10)&amp;"- Constancia de situación fiscal (no mayor a 3 meses)","Contado|Persona física con actividad empresarial","Hola, "&amp;B20&amp;", para continuar con el proceso de tu *"&amp;D20&amp;"* por "&amp;F20&amp;", estos son los documentos que necesitamos:"&amp;CHAR(10)&amp;CHAR(10)&amp;"- INE"&amp;CHAR(10)&amp;"- Comprobante de domicilio"&amp;CHAR(10)&amp;"- Constancia de situación fiscal (no mayor a 3 meses)","Contado|Persona moral","Hola, "&amp;B20&amp;", para continuar con el proceso de tu *"&amp;D20&amp;"* por "&amp;F20&amp;",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20" s="10">
        <f>IFERROR(INDEX(Facturación!$Q:$Q,MATCH(B20,Facturación!$A:$A,0)),"")</f>
        <v/>
      </c>
    </row>
    <row r="21" ht="15" customHeight="1" s="1">
      <c r="A21" s="11">
        <f>IF(B21="","",ROW()-1)</f>
        <v/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0">
        <f>IF(OR(B21="",L21&lt;&gt;"Sí"),"","Hola, "&amp;B21&amp;", excelente día. Le saluda *Alejandro Estrada* de Toyota Corregidora."&amp;CHAR(10)&amp;"Muchas gracias por visitarnos y conocer la *"&amp;D21&amp;"*.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21" s="11">
        <f>IF(Q21="","",HYPERLINK("https://wa.me/52"&amp;C21&amp;"?text="&amp;_xlfn.ENCODEURL(Q21),"Enviar Bienvenida"))</f>
        <v/>
      </c>
      <c r="S21" s="10">
        <f>IF(B21="","","Hola, "&amp;B21&amp;", muy buen día."&amp;CHAR(10)&amp;"Espero que esté teniendo una excelente semana. Le escribo para saber si tiene alguna duda sobre la oferta del *"&amp;D21&amp;"*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21" s="11">
        <f>IF(S21="","",HYPERLINK("https://wa.me/52"&amp;C21&amp;"?text="&amp;_xlfn.ENCODEURL(S21),"Enviar Seguimiento"))</f>
        <v/>
      </c>
      <c r="U21" s="10">
        <f>IF(B21="","",_xlfn.SWITCH(M21,"Apartado","Hola, "&amp;B21&amp;", buen día. Le confirmo que su apartado por el *"&amp;D21&amp;"* quedó registrado correctamente. Seguimos con el proceso y le mantendré informado(a) de cada paso.","Toma de vehículo","Hola, "&amp;B21&amp;", le comparto que estamos en el proceso de toma de su vehículo actual. En cuanto tengamos el resultado le aviso para continuar con el siguiente paso.","Pago vehículo a cuenta","Hola, "&amp;B21&amp;", quedamos en proceso de pago del vehículo que se toma a cuenta. Cualquier documento o aclaración que se requiera se lo haré saber por este medio.","Firma de contrato","Hola, "&amp;B21&amp;", ya estamos listos para agendar la firma de su contrato. ¿Qué día y hora se le facilita para realizarla?","Facturación","Hola, "&amp;B21&amp;", su unidad ya está en proceso de facturación. En breve le comparto los datos para su confirmación.","Programación de entrega","Hola, "&amp;B21&amp;", con gusto le comparto que ya podemos programar la entrega de su *"&amp;D21&amp;"*. ¿Qué día y hora le acomodan mejor?","Entregado","Hola, "&amp;B21&amp;", ¡muchas felicidades por estrenar su *"&amp;D21&amp;"*! Fue un gusto acompañarle en este proceso. Quedo pendiente de cualquier duda y con gusto le agendo su próxima cita de servicio cuando lo necesite.","Hola, "&amp;B21&amp;", seguimos en contacto para avanzar con el proceso de su próximo Toyota.")&amp;CHAR(10)&amp;CHAR(10)&amp;Config!$B$1)</f>
        <v/>
      </c>
      <c r="V21" s="11">
        <f>IF(U21="","",HYPERLINK("https://wa.me/52"&amp;C21&amp;"?text="&amp;_xlfn.ENCODEURL(U21),"Enviar aviso de etapa"))</f>
        <v/>
      </c>
      <c r="W21" s="10">
        <f>IF(OR(B21="",O21=""),"","Hola, "&amp;B21&amp;", ¡feliz cumpleaños! Le deseo un excelente día rodeado de quienes más quiere. Ha sido un placer acompañarle desde que estrenó su Toyota. ¡Un abrazo!"&amp;CHAR(10)&amp;CHAR(10)&amp;Config!$B$1)</f>
        <v/>
      </c>
      <c r="X21" s="11">
        <f>IF(W21="","",HYPERLINK("https://wa.me/52"&amp;C21&amp;"?text="&amp;_xlfn.ENCODEURL(W21),"Enviar felicitación"))</f>
        <v/>
      </c>
      <c r="Y21" s="10">
        <f>IF(OR(B21="",P21=""),"","Hola, "&amp;B21&amp;", hoy se cumple un año más desde que estrenó su *"&amp;D21&amp;"*. Espero que haya sido un gran compañero de camino. Cualquier cosa que necesite, aquí estoy para apoyarle."&amp;CHAR(10)&amp;CHAR(10)&amp;Config!$B$1)</f>
        <v/>
      </c>
      <c r="Z21" s="11">
        <f>IF(Y21="","",HYPERLINK("https://wa.me/52"&amp;C21&amp;"?text="&amp;_xlfn.ENCODEURL(Y21),"Enviar aniversario"))</f>
        <v/>
      </c>
      <c r="AA21" s="11" t="n"/>
      <c r="AB21" s="11">
        <f>IF(OR(B21="",AA21=""),"",HYPERLINK("https://wa.me/52"&amp;C21&amp;"?text="&amp;_xlfn.ENCODEURL(_xlfn.SWITCH(AA21,"Bienvenida (primera visita)",Q21,"Seguimiento",S21,"Aviso de Etapa",U21,"Requisitos",AC21,"Datos de Facturación",AD21,"Cumpleaños",W21,"Aniversario",Y21,"")),"Enviar mensaje seleccionado"))</f>
        <v/>
      </c>
      <c r="AC21" s="10">
        <f>IF(B21="","",_xlfn.SWITCH(F21&amp;"|"&amp;G21,"Crédito|Persona física","Hola, "&amp;B21&amp;", para continuar con el proceso de tu *"&amp;D21&amp;"* por "&amp;F21&amp;",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"&amp;B21&amp;", para continuar con el proceso de tu *"&amp;D21&amp;"* por "&amp;F21&amp;",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"&amp;B21&amp;", para continuar con el proceso de tu *"&amp;D21&amp;"* por "&amp;F21&amp;",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"&amp;B21&amp;", para continuar con el proceso de tu *"&amp;D21&amp;"* por "&amp;F21&amp;", estos son los documentos que necesitamos:"&amp;CHAR(10)&amp;CHAR(10)&amp;"- INE"&amp;CHAR(10)&amp;"- Comprobante de domicilio"&amp;CHAR(10)&amp;"- Constancia de situación fiscal (no mayor a 3 meses)","Contado|Persona física con actividad empresarial","Hola, "&amp;B21&amp;", para continuar con el proceso de tu *"&amp;D21&amp;"* por "&amp;F21&amp;", estos son los documentos que necesitamos:"&amp;CHAR(10)&amp;CHAR(10)&amp;"- INE"&amp;CHAR(10)&amp;"- Comprobante de domicilio"&amp;CHAR(10)&amp;"- Constancia de situación fiscal (no mayor a 3 meses)","Contado|Persona moral","Hola, "&amp;B21&amp;", para continuar con el proceso de tu *"&amp;D21&amp;"* por "&amp;F21&amp;",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21" s="10">
        <f>IFERROR(INDEX(Facturación!$Q:$Q,MATCH(B21,Facturación!$A:$A,0)),"")</f>
        <v/>
      </c>
    </row>
    <row r="22" ht="15" customHeight="1" s="1">
      <c r="A22" s="11">
        <f>IF(B22="","",ROW()-1)</f>
        <v/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0">
        <f>IF(OR(B22="",L22&lt;&gt;"Sí"),"","Hola, "&amp;B22&amp;", excelente día. Le saluda *Alejandro Estrada* de Toyota Corregidora."&amp;CHAR(10)&amp;"Muchas gracias por visitarnos y conocer la *"&amp;D22&amp;"*.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22" s="11">
        <f>IF(Q22="","",HYPERLINK("https://wa.me/52"&amp;C22&amp;"?text="&amp;_xlfn.ENCODEURL(Q22),"Enviar Bienvenida"))</f>
        <v/>
      </c>
      <c r="S22" s="10">
        <f>IF(B22="","","Hola, "&amp;B22&amp;", muy buen día."&amp;CHAR(10)&amp;"Espero que esté teniendo una excelente semana. Le escribo para saber si tiene alguna duda sobre la oferta del *"&amp;D22&amp;"*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22" s="11">
        <f>IF(S22="","",HYPERLINK("https://wa.me/52"&amp;C22&amp;"?text="&amp;_xlfn.ENCODEURL(S22),"Enviar Seguimiento"))</f>
        <v/>
      </c>
      <c r="U22" s="10">
        <f>IF(B22="","",_xlfn.SWITCH(M22,"Apartado","Hola, "&amp;B22&amp;", buen día. Le confirmo que su apartado por el *"&amp;D22&amp;"* quedó registrado correctamente. Seguimos con el proceso y le mantendré informado(a) de cada paso.","Toma de vehículo","Hola, "&amp;B22&amp;", le comparto que estamos en el proceso de toma de su vehículo actual. En cuanto tengamos el resultado le aviso para continuar con el siguiente paso.","Pago vehículo a cuenta","Hola, "&amp;B22&amp;", quedamos en proceso de pago del vehículo que se toma a cuenta. Cualquier documento o aclaración que se requiera se lo haré saber por este medio.","Firma de contrato","Hola, "&amp;B22&amp;", ya estamos listos para agendar la firma de su contrato. ¿Qué día y hora se le facilita para realizarla?","Facturación","Hola, "&amp;B22&amp;", su unidad ya está en proceso de facturación. En breve le comparto los datos para su confirmación.","Programación de entrega","Hola, "&amp;B22&amp;", con gusto le comparto que ya podemos programar la entrega de su *"&amp;D22&amp;"*. ¿Qué día y hora le acomodan mejor?","Entregado","Hola, "&amp;B22&amp;", ¡muchas felicidades por estrenar su *"&amp;D22&amp;"*! Fue un gusto acompañarle en este proceso. Quedo pendiente de cualquier duda y con gusto le agendo su próxima cita de servicio cuando lo necesite.","Hola, "&amp;B22&amp;", seguimos en contacto para avanzar con el proceso de su próximo Toyota.")&amp;CHAR(10)&amp;CHAR(10)&amp;Config!$B$1)</f>
        <v/>
      </c>
      <c r="V22" s="11">
        <f>IF(U22="","",HYPERLINK("https://wa.me/52"&amp;C22&amp;"?text="&amp;_xlfn.ENCODEURL(U22),"Enviar aviso de etapa"))</f>
        <v/>
      </c>
      <c r="W22" s="10">
        <f>IF(OR(B22="",O22=""),"","Hola, "&amp;B22&amp;", ¡feliz cumpleaños! Le deseo un excelente día rodeado de quienes más quiere. Ha sido un placer acompañarle desde que estrenó su Toyota. ¡Un abrazo!"&amp;CHAR(10)&amp;CHAR(10)&amp;Config!$B$1)</f>
        <v/>
      </c>
      <c r="X22" s="11">
        <f>IF(W22="","",HYPERLINK("https://wa.me/52"&amp;C22&amp;"?text="&amp;_xlfn.ENCODEURL(W22),"Enviar felicitación"))</f>
        <v/>
      </c>
      <c r="Y22" s="10">
        <f>IF(OR(B22="",P22=""),"","Hola, "&amp;B22&amp;", hoy se cumple un año más desde que estrenó su *"&amp;D22&amp;"*. Espero que haya sido un gran compañero de camino. Cualquier cosa que necesite, aquí estoy para apoyarle."&amp;CHAR(10)&amp;CHAR(10)&amp;Config!$B$1)</f>
        <v/>
      </c>
      <c r="Z22" s="11">
        <f>IF(Y22="","",HYPERLINK("https://wa.me/52"&amp;C22&amp;"?text="&amp;_xlfn.ENCODEURL(Y22),"Enviar aniversario"))</f>
        <v/>
      </c>
      <c r="AA22" s="11" t="n"/>
      <c r="AB22" s="11">
        <f>IF(OR(B22="",AA22=""),"",HYPERLINK("https://wa.me/52"&amp;C22&amp;"?text="&amp;_xlfn.ENCODEURL(_xlfn.SWITCH(AA22,"Bienvenida (primera visita)",Q22,"Seguimiento",S22,"Aviso de Etapa",U22,"Requisitos",AC22,"Datos de Facturación",AD22,"Cumpleaños",W22,"Aniversario",Y22,"")),"Enviar mensaje seleccionado"))</f>
        <v/>
      </c>
      <c r="AC22" s="10">
        <f>IF(B22="","",_xlfn.SWITCH(F22&amp;"|"&amp;G22,"Crédito|Persona física","Hola, "&amp;B22&amp;", para continuar con el proceso de tu *"&amp;D22&amp;"* por "&amp;F22&amp;",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"&amp;B22&amp;", para continuar con el proceso de tu *"&amp;D22&amp;"* por "&amp;F22&amp;",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"&amp;B22&amp;", para continuar con el proceso de tu *"&amp;D22&amp;"* por "&amp;F22&amp;",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"&amp;B22&amp;", para continuar con el proceso de tu *"&amp;D22&amp;"* por "&amp;F22&amp;", estos son los documentos que necesitamos:"&amp;CHAR(10)&amp;CHAR(10)&amp;"- INE"&amp;CHAR(10)&amp;"- Comprobante de domicilio"&amp;CHAR(10)&amp;"- Constancia de situación fiscal (no mayor a 3 meses)","Contado|Persona física con actividad empresarial","Hola, "&amp;B22&amp;", para continuar con el proceso de tu *"&amp;D22&amp;"* por "&amp;F22&amp;", estos son los documentos que necesitamos:"&amp;CHAR(10)&amp;CHAR(10)&amp;"- INE"&amp;CHAR(10)&amp;"- Comprobante de domicilio"&amp;CHAR(10)&amp;"- Constancia de situación fiscal (no mayor a 3 meses)","Contado|Persona moral","Hola, "&amp;B22&amp;", para continuar con el proceso de tu *"&amp;D22&amp;"* por "&amp;F22&amp;",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22" s="10">
        <f>IFERROR(INDEX(Facturación!$Q:$Q,MATCH(B22,Facturación!$A:$A,0)),"")</f>
        <v/>
      </c>
    </row>
    <row r="23" ht="15" customHeight="1" s="1">
      <c r="A23" s="11">
        <f>IF(B23="","",ROW()-1)</f>
        <v/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0">
        <f>IF(OR(B23="",L23&lt;&gt;"Sí"),"","Hola, "&amp;B23&amp;", excelente día. Le saluda *Alejandro Estrada* de Toyota Corregidora."&amp;CHAR(10)&amp;"Muchas gracias por visitarnos y conocer la *"&amp;D23&amp;"*.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23" s="11">
        <f>IF(Q23="","",HYPERLINK("https://wa.me/52"&amp;C23&amp;"?text="&amp;_xlfn.ENCODEURL(Q23),"Enviar Bienvenida"))</f>
        <v/>
      </c>
      <c r="S23" s="10">
        <f>IF(B23="","","Hola, "&amp;B23&amp;", muy buen día."&amp;CHAR(10)&amp;"Espero que esté teniendo una excelente semana. Le escribo para saber si tiene alguna duda sobre la oferta del *"&amp;D23&amp;"*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23" s="11">
        <f>IF(S23="","",HYPERLINK("https://wa.me/52"&amp;C23&amp;"?text="&amp;_xlfn.ENCODEURL(S23),"Enviar Seguimiento"))</f>
        <v/>
      </c>
      <c r="U23" s="10">
        <f>IF(B23="","",_xlfn.SWITCH(M23,"Apartado","Hola, "&amp;B23&amp;", buen día. Le confirmo que su apartado por el *"&amp;D23&amp;"* quedó registrado correctamente. Seguimos con el proceso y le mantendré informado(a) de cada paso.","Toma de vehículo","Hola, "&amp;B23&amp;", le comparto que estamos en el proceso de toma de su vehículo actual. En cuanto tengamos el resultado le aviso para continuar con el siguiente paso.","Pago vehículo a cuenta","Hola, "&amp;B23&amp;", quedamos en proceso de pago del vehículo que se toma a cuenta. Cualquier documento o aclaración que se requiera se lo haré saber por este medio.","Firma de contrato","Hola, "&amp;B23&amp;", ya estamos listos para agendar la firma de su contrato. ¿Qué día y hora se le facilita para realizarla?","Facturación","Hola, "&amp;B23&amp;", su unidad ya está en proceso de facturación. En breve le comparto los datos para su confirmación.","Programación de entrega","Hola, "&amp;B23&amp;", con gusto le comparto que ya podemos programar la entrega de su *"&amp;D23&amp;"*. ¿Qué día y hora le acomodan mejor?","Entregado","Hola, "&amp;B23&amp;", ¡muchas felicidades por estrenar su *"&amp;D23&amp;"*! Fue un gusto acompañarle en este proceso. Quedo pendiente de cualquier duda y con gusto le agendo su próxima cita de servicio cuando lo necesite.","Hola, "&amp;B23&amp;", seguimos en contacto para avanzar con el proceso de su próximo Toyota.")&amp;CHAR(10)&amp;CHAR(10)&amp;Config!$B$1)</f>
        <v/>
      </c>
      <c r="V23" s="11">
        <f>IF(U23="","",HYPERLINK("https://wa.me/52"&amp;C23&amp;"?text="&amp;_xlfn.ENCODEURL(U23),"Enviar aviso de etapa"))</f>
        <v/>
      </c>
      <c r="W23" s="10">
        <f>IF(OR(B23="",O23=""),"","Hola, "&amp;B23&amp;", ¡feliz cumpleaños! Le deseo un excelente día rodeado de quienes más quiere. Ha sido un placer acompañarle desde que estrenó su Toyota. ¡Un abrazo!"&amp;CHAR(10)&amp;CHAR(10)&amp;Config!$B$1)</f>
        <v/>
      </c>
      <c r="X23" s="11">
        <f>IF(W23="","",HYPERLINK("https://wa.me/52"&amp;C23&amp;"?text="&amp;_xlfn.ENCODEURL(W23),"Enviar felicitación"))</f>
        <v/>
      </c>
      <c r="Y23" s="10">
        <f>IF(OR(B23="",P23=""),"","Hola, "&amp;B23&amp;", hoy se cumple un año más desde que estrenó su *"&amp;D23&amp;"*. Espero que haya sido un gran compañero de camino. Cualquier cosa que necesite, aquí estoy para apoyarle."&amp;CHAR(10)&amp;CHAR(10)&amp;Config!$B$1)</f>
        <v/>
      </c>
      <c r="Z23" s="11">
        <f>IF(Y23="","",HYPERLINK("https://wa.me/52"&amp;C23&amp;"?text="&amp;_xlfn.ENCODEURL(Y23),"Enviar aniversario"))</f>
        <v/>
      </c>
      <c r="AA23" s="11" t="n"/>
      <c r="AB23" s="11">
        <f>IF(OR(B23="",AA23=""),"",HYPERLINK("https://wa.me/52"&amp;C23&amp;"?text="&amp;_xlfn.ENCODEURL(_xlfn.SWITCH(AA23,"Bienvenida (primera visita)",Q23,"Seguimiento",S23,"Aviso de Etapa",U23,"Requisitos",AC23,"Datos de Facturación",AD23,"Cumpleaños",W23,"Aniversario",Y23,"")),"Enviar mensaje seleccionado"))</f>
        <v/>
      </c>
      <c r="AC23" s="10">
        <f>IF(B23="","",_xlfn.SWITCH(F23&amp;"|"&amp;G23,"Crédito|Persona física","Hola, "&amp;B23&amp;", para continuar con el proceso de tu *"&amp;D23&amp;"* por "&amp;F23&amp;",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"&amp;B23&amp;", para continuar con el proceso de tu *"&amp;D23&amp;"* por "&amp;F23&amp;",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"&amp;B23&amp;", para continuar con el proceso de tu *"&amp;D23&amp;"* por "&amp;F23&amp;",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"&amp;B23&amp;", para continuar con el proceso de tu *"&amp;D23&amp;"* por "&amp;F23&amp;", estos son los documentos que necesitamos:"&amp;CHAR(10)&amp;CHAR(10)&amp;"- INE"&amp;CHAR(10)&amp;"- Comprobante de domicilio"&amp;CHAR(10)&amp;"- Constancia de situación fiscal (no mayor a 3 meses)","Contado|Persona física con actividad empresarial","Hola, "&amp;B23&amp;", para continuar con el proceso de tu *"&amp;D23&amp;"* por "&amp;F23&amp;", estos son los documentos que necesitamos:"&amp;CHAR(10)&amp;CHAR(10)&amp;"- INE"&amp;CHAR(10)&amp;"- Comprobante de domicilio"&amp;CHAR(10)&amp;"- Constancia de situación fiscal (no mayor a 3 meses)","Contado|Persona moral","Hola, "&amp;B23&amp;", para continuar con el proceso de tu *"&amp;D23&amp;"* por "&amp;F23&amp;",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23" s="10">
        <f>IFERROR(INDEX(Facturación!$Q:$Q,MATCH(B23,Facturación!$A:$A,0)),"")</f>
        <v/>
      </c>
    </row>
    <row r="24" ht="15" customHeight="1" s="1">
      <c r="A24" s="11">
        <f>IF(B24="","",ROW()-1)</f>
        <v/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0">
        <f>IF(OR(B24="",L24&lt;&gt;"Sí"),"","Hola, "&amp;B24&amp;", excelente día. Le saluda *Alejandro Estrada* de Toyota Corregidora."&amp;CHAR(10)&amp;"Muchas gracias por visitarnos y conocer la *"&amp;D24&amp;"*.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24" s="11">
        <f>IF(Q24="","",HYPERLINK("https://wa.me/52"&amp;C24&amp;"?text="&amp;_xlfn.ENCODEURL(Q24),"Enviar Bienvenida"))</f>
        <v/>
      </c>
      <c r="S24" s="10">
        <f>IF(B24="","","Hola, "&amp;B24&amp;", muy buen día."&amp;CHAR(10)&amp;"Espero que esté teniendo una excelente semana. Le escribo para saber si tiene alguna duda sobre la oferta del *"&amp;D24&amp;"*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24" s="11">
        <f>IF(S24="","",HYPERLINK("https://wa.me/52"&amp;C24&amp;"?text="&amp;_xlfn.ENCODEURL(S24),"Enviar Seguimiento"))</f>
        <v/>
      </c>
      <c r="U24" s="10">
        <f>IF(B24="","",_xlfn.SWITCH(M24,"Apartado","Hola, "&amp;B24&amp;", buen día. Le confirmo que su apartado por el *"&amp;D24&amp;"* quedó registrado correctamente. Seguimos con el proceso y le mantendré informado(a) de cada paso.","Toma de vehículo","Hola, "&amp;B24&amp;", le comparto que estamos en el proceso de toma de su vehículo actual. En cuanto tengamos el resultado le aviso para continuar con el siguiente paso.","Pago vehículo a cuenta","Hola, "&amp;B24&amp;", quedamos en proceso de pago del vehículo que se toma a cuenta. Cualquier documento o aclaración que se requiera se lo haré saber por este medio.","Firma de contrato","Hola, "&amp;B24&amp;", ya estamos listos para agendar la firma de su contrato. ¿Qué día y hora se le facilita para realizarla?","Facturación","Hola, "&amp;B24&amp;", su unidad ya está en proceso de facturación. En breve le comparto los datos para su confirmación.","Programación de entrega","Hola, "&amp;B24&amp;", con gusto le comparto que ya podemos programar la entrega de su *"&amp;D24&amp;"*. ¿Qué día y hora le acomodan mejor?","Entregado","Hola, "&amp;B24&amp;", ¡muchas felicidades por estrenar su *"&amp;D24&amp;"*! Fue un gusto acompañarle en este proceso. Quedo pendiente de cualquier duda y con gusto le agendo su próxima cita de servicio cuando lo necesite.","Hola, "&amp;B24&amp;", seguimos en contacto para avanzar con el proceso de su próximo Toyota.")&amp;CHAR(10)&amp;CHAR(10)&amp;Config!$B$1)</f>
        <v/>
      </c>
      <c r="V24" s="11">
        <f>IF(U24="","",HYPERLINK("https://wa.me/52"&amp;C24&amp;"?text="&amp;_xlfn.ENCODEURL(U24),"Enviar aviso de etapa"))</f>
        <v/>
      </c>
      <c r="W24" s="10">
        <f>IF(OR(B24="",O24=""),"","Hola, "&amp;B24&amp;", ¡feliz cumpleaños! Le deseo un excelente día rodeado de quienes más quiere. Ha sido un placer acompañarle desde que estrenó su Toyota. ¡Un abrazo!"&amp;CHAR(10)&amp;CHAR(10)&amp;Config!$B$1)</f>
        <v/>
      </c>
      <c r="X24" s="11">
        <f>IF(W24="","",HYPERLINK("https://wa.me/52"&amp;C24&amp;"?text="&amp;_xlfn.ENCODEURL(W24),"Enviar felicitación"))</f>
        <v/>
      </c>
      <c r="Y24" s="10">
        <f>IF(OR(B24="",P24=""),"","Hola, "&amp;B24&amp;", hoy se cumple un año más desde que estrenó su *"&amp;D24&amp;"*. Espero que haya sido un gran compañero de camino. Cualquier cosa que necesite, aquí estoy para apoyarle."&amp;CHAR(10)&amp;CHAR(10)&amp;Config!$B$1)</f>
        <v/>
      </c>
      <c r="Z24" s="11">
        <f>IF(Y24="","",HYPERLINK("https://wa.me/52"&amp;C24&amp;"?text="&amp;_xlfn.ENCODEURL(Y24),"Enviar aniversario"))</f>
        <v/>
      </c>
      <c r="AA24" s="11" t="n"/>
      <c r="AB24" s="11">
        <f>IF(OR(B24="",AA24=""),"",HYPERLINK("https://wa.me/52"&amp;C24&amp;"?text="&amp;_xlfn.ENCODEURL(_xlfn.SWITCH(AA24,"Bienvenida (primera visita)",Q24,"Seguimiento",S24,"Aviso de Etapa",U24,"Requisitos",AC24,"Datos de Facturación",AD24,"Cumpleaños",W24,"Aniversario",Y24,"")),"Enviar mensaje seleccionado"))</f>
        <v/>
      </c>
      <c r="AC24" s="10">
        <f>IF(B24="","",_xlfn.SWITCH(F24&amp;"|"&amp;G24,"Crédito|Persona física","Hola, "&amp;B24&amp;", para continuar con el proceso de tu *"&amp;D24&amp;"* por "&amp;F24&amp;",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"&amp;B24&amp;", para continuar con el proceso de tu *"&amp;D24&amp;"* por "&amp;F24&amp;",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"&amp;B24&amp;", para continuar con el proceso de tu *"&amp;D24&amp;"* por "&amp;F24&amp;",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"&amp;B24&amp;", para continuar con el proceso de tu *"&amp;D24&amp;"* por "&amp;F24&amp;", estos son los documentos que necesitamos:"&amp;CHAR(10)&amp;CHAR(10)&amp;"- INE"&amp;CHAR(10)&amp;"- Comprobante de domicilio"&amp;CHAR(10)&amp;"- Constancia de situación fiscal (no mayor a 3 meses)","Contado|Persona física con actividad empresarial","Hola, "&amp;B24&amp;", para continuar con el proceso de tu *"&amp;D24&amp;"* por "&amp;F24&amp;", estos son los documentos que necesitamos:"&amp;CHAR(10)&amp;CHAR(10)&amp;"- INE"&amp;CHAR(10)&amp;"- Comprobante de domicilio"&amp;CHAR(10)&amp;"- Constancia de situación fiscal (no mayor a 3 meses)","Contado|Persona moral","Hola, "&amp;B24&amp;", para continuar con el proceso de tu *"&amp;D24&amp;"* por "&amp;F24&amp;",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24" s="10">
        <f>IFERROR(INDEX(Facturación!$Q:$Q,MATCH(B24,Facturación!$A:$A,0)),"")</f>
        <v/>
      </c>
    </row>
    <row r="25" ht="15" customHeight="1" s="1">
      <c r="A25" s="11">
        <f>IF(B25="","",ROW()-1)</f>
        <v/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0">
        <f>IF(OR(B25="",L25&lt;&gt;"Sí"),"","Hola, "&amp;B25&amp;", excelente día. Le saluda *Alejandro Estrada* de Toyota Corregidora."&amp;CHAR(10)&amp;"Muchas gracias por visitarnos y conocer la *"&amp;D25&amp;"*.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25" s="11">
        <f>IF(Q25="","",HYPERLINK("https://wa.me/52"&amp;C25&amp;"?text="&amp;_xlfn.ENCODEURL(Q25),"Enviar Bienvenida"))</f>
        <v/>
      </c>
      <c r="S25" s="10">
        <f>IF(B25="","","Hola, "&amp;B25&amp;", muy buen día."&amp;CHAR(10)&amp;"Espero que esté teniendo una excelente semana. Le escribo para saber si tiene alguna duda sobre la oferta del *"&amp;D25&amp;"*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25" s="11">
        <f>IF(S25="","",HYPERLINK("https://wa.me/52"&amp;C25&amp;"?text="&amp;_xlfn.ENCODEURL(S25),"Enviar Seguimiento"))</f>
        <v/>
      </c>
      <c r="U25" s="10">
        <f>IF(B25="","",_xlfn.SWITCH(M25,"Apartado","Hola, "&amp;B25&amp;", buen día. Le confirmo que su apartado por el *"&amp;D25&amp;"* quedó registrado correctamente. Seguimos con el proceso y le mantendré informado(a) de cada paso.","Toma de vehículo","Hola, "&amp;B25&amp;", le comparto que estamos en el proceso de toma de su vehículo actual. En cuanto tengamos el resultado le aviso para continuar con el siguiente paso.","Pago vehículo a cuenta","Hola, "&amp;B25&amp;", quedamos en proceso de pago del vehículo que se toma a cuenta. Cualquier documento o aclaración que se requiera se lo haré saber por este medio.","Firma de contrato","Hola, "&amp;B25&amp;", ya estamos listos para agendar la firma de su contrato. ¿Qué día y hora se le facilita para realizarla?","Facturación","Hola, "&amp;B25&amp;", su unidad ya está en proceso de facturación. En breve le comparto los datos para su confirmación.","Programación de entrega","Hola, "&amp;B25&amp;", con gusto le comparto que ya podemos programar la entrega de su *"&amp;D25&amp;"*. ¿Qué día y hora le acomodan mejor?","Entregado","Hola, "&amp;B25&amp;", ¡muchas felicidades por estrenar su *"&amp;D25&amp;"*! Fue un gusto acompañarle en este proceso. Quedo pendiente de cualquier duda y con gusto le agendo su próxima cita de servicio cuando lo necesite.","Hola, "&amp;B25&amp;", seguimos en contacto para avanzar con el proceso de su próximo Toyota.")&amp;CHAR(10)&amp;CHAR(10)&amp;Config!$B$1)</f>
        <v/>
      </c>
      <c r="V25" s="11">
        <f>IF(U25="","",HYPERLINK("https://wa.me/52"&amp;C25&amp;"?text="&amp;_xlfn.ENCODEURL(U25),"Enviar aviso de etapa"))</f>
        <v/>
      </c>
      <c r="W25" s="10">
        <f>IF(OR(B25="",O25=""),"","Hola, "&amp;B25&amp;", ¡feliz cumpleaños! Le deseo un excelente día rodeado de quienes más quiere. Ha sido un placer acompañarle desde que estrenó su Toyota. ¡Un abrazo!"&amp;CHAR(10)&amp;CHAR(10)&amp;Config!$B$1)</f>
        <v/>
      </c>
      <c r="X25" s="11">
        <f>IF(W25="","",HYPERLINK("https://wa.me/52"&amp;C25&amp;"?text="&amp;_xlfn.ENCODEURL(W25),"Enviar felicitación"))</f>
        <v/>
      </c>
      <c r="Y25" s="10">
        <f>IF(OR(B25="",P25=""),"","Hola, "&amp;B25&amp;", hoy se cumple un año más desde que estrenó su *"&amp;D25&amp;"*. Espero que haya sido un gran compañero de camino. Cualquier cosa que necesite, aquí estoy para apoyarle."&amp;CHAR(10)&amp;CHAR(10)&amp;Config!$B$1)</f>
        <v/>
      </c>
      <c r="Z25" s="11">
        <f>IF(Y25="","",HYPERLINK("https://wa.me/52"&amp;C25&amp;"?text="&amp;_xlfn.ENCODEURL(Y25),"Enviar aniversario"))</f>
        <v/>
      </c>
      <c r="AA25" s="11" t="n"/>
      <c r="AB25" s="11">
        <f>IF(OR(B25="",AA25=""),"",HYPERLINK("https://wa.me/52"&amp;C25&amp;"?text="&amp;_xlfn.ENCODEURL(_xlfn.SWITCH(AA25,"Bienvenida (primera visita)",Q25,"Seguimiento",S25,"Aviso de Etapa",U25,"Requisitos",AC25,"Datos de Facturación",AD25,"Cumpleaños",W25,"Aniversario",Y25,"")),"Enviar mensaje seleccionado"))</f>
        <v/>
      </c>
      <c r="AC25" s="10">
        <f>IF(B25="","",_xlfn.SWITCH(F25&amp;"|"&amp;G25,"Crédito|Persona física","Hola, "&amp;B25&amp;", para continuar con el proceso de tu *"&amp;D25&amp;"* por "&amp;F25&amp;",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"&amp;B25&amp;", para continuar con el proceso de tu *"&amp;D25&amp;"* por "&amp;F25&amp;",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"&amp;B25&amp;", para continuar con el proceso de tu *"&amp;D25&amp;"* por "&amp;F25&amp;",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"&amp;B25&amp;", para continuar con el proceso de tu *"&amp;D25&amp;"* por "&amp;F25&amp;", estos son los documentos que necesitamos:"&amp;CHAR(10)&amp;CHAR(10)&amp;"- INE"&amp;CHAR(10)&amp;"- Comprobante de domicilio"&amp;CHAR(10)&amp;"- Constancia de situación fiscal (no mayor a 3 meses)","Contado|Persona física con actividad empresarial","Hola, "&amp;B25&amp;", para continuar con el proceso de tu *"&amp;D25&amp;"* por "&amp;F25&amp;", estos son los documentos que necesitamos:"&amp;CHAR(10)&amp;CHAR(10)&amp;"- INE"&amp;CHAR(10)&amp;"- Comprobante de domicilio"&amp;CHAR(10)&amp;"- Constancia de situación fiscal (no mayor a 3 meses)","Contado|Persona moral","Hola, "&amp;B25&amp;", para continuar con el proceso de tu *"&amp;D25&amp;"* por "&amp;F25&amp;",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25" s="10">
        <f>IFERROR(INDEX(Facturación!$Q:$Q,MATCH(B25,Facturación!$A:$A,0)),"")</f>
        <v/>
      </c>
    </row>
    <row r="26" ht="15" customHeight="1" s="1">
      <c r="A26" s="11">
        <f>IF(B26="","",ROW()-1)</f>
        <v/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0">
        <f>IF(OR(B26="",L26&lt;&gt;"Sí"),"","Hola, "&amp;B26&amp;", excelente día. Le saluda *Alejandro Estrada* de Toyota Corregidora."&amp;CHAR(10)&amp;"Muchas gracias por visitarnos y conocer la *"&amp;D26&amp;"*.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26" s="11">
        <f>IF(Q26="","",HYPERLINK("https://wa.me/52"&amp;C26&amp;"?text="&amp;_xlfn.ENCODEURL(Q26),"Enviar Bienvenida"))</f>
        <v/>
      </c>
      <c r="S26" s="10">
        <f>IF(B26="","","Hola, "&amp;B26&amp;", muy buen día."&amp;CHAR(10)&amp;"Espero que esté teniendo una excelente semana. Le escribo para saber si tiene alguna duda sobre la oferta del *"&amp;D26&amp;"*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26" s="11">
        <f>IF(S26="","",HYPERLINK("https://wa.me/52"&amp;C26&amp;"?text="&amp;_xlfn.ENCODEURL(S26),"Enviar Seguimiento"))</f>
        <v/>
      </c>
      <c r="U26" s="10">
        <f>IF(B26="","",_xlfn.SWITCH(M26,"Apartado","Hola, "&amp;B26&amp;", buen día. Le confirmo que su apartado por el *"&amp;D26&amp;"* quedó registrado correctamente. Seguimos con el proceso y le mantendré informado(a) de cada paso.","Toma de vehículo","Hola, "&amp;B26&amp;", le comparto que estamos en el proceso de toma de su vehículo actual. En cuanto tengamos el resultado le aviso para continuar con el siguiente paso.","Pago vehículo a cuenta","Hola, "&amp;B26&amp;", quedamos en proceso de pago del vehículo que se toma a cuenta. Cualquier documento o aclaración que se requiera se lo haré saber por este medio.","Firma de contrato","Hola, "&amp;B26&amp;", ya estamos listos para agendar la firma de su contrato. ¿Qué día y hora se le facilita para realizarla?","Facturación","Hola, "&amp;B26&amp;", su unidad ya está en proceso de facturación. En breve le comparto los datos para su confirmación.","Programación de entrega","Hola, "&amp;B26&amp;", con gusto le comparto que ya podemos programar la entrega de su *"&amp;D26&amp;"*. ¿Qué día y hora le acomodan mejor?","Entregado","Hola, "&amp;B26&amp;", ¡muchas felicidades por estrenar su *"&amp;D26&amp;"*! Fue un gusto acompañarle en este proceso. Quedo pendiente de cualquier duda y con gusto le agendo su próxima cita de servicio cuando lo necesite.","Hola, "&amp;B26&amp;", seguimos en contacto para avanzar con el proceso de su próximo Toyota.")&amp;CHAR(10)&amp;CHAR(10)&amp;Config!$B$1)</f>
        <v/>
      </c>
      <c r="V26" s="11">
        <f>IF(U26="","",HYPERLINK("https://wa.me/52"&amp;C26&amp;"?text="&amp;_xlfn.ENCODEURL(U26),"Enviar aviso de etapa"))</f>
        <v/>
      </c>
      <c r="W26" s="10">
        <f>IF(OR(B26="",O26=""),"","Hola, "&amp;B26&amp;", ¡feliz cumpleaños! Le deseo un excelente día rodeado de quienes más quiere. Ha sido un placer acompañarle desde que estrenó su Toyota. ¡Un abrazo!"&amp;CHAR(10)&amp;CHAR(10)&amp;Config!$B$1)</f>
        <v/>
      </c>
      <c r="X26" s="11">
        <f>IF(W26="","",HYPERLINK("https://wa.me/52"&amp;C26&amp;"?text="&amp;_xlfn.ENCODEURL(W26),"Enviar felicitación"))</f>
        <v/>
      </c>
      <c r="Y26" s="10">
        <f>IF(OR(B26="",P26=""),"","Hola, "&amp;B26&amp;", hoy se cumple un año más desde que estrenó su *"&amp;D26&amp;"*. Espero que haya sido un gran compañero de camino. Cualquier cosa que necesite, aquí estoy para apoyarle."&amp;CHAR(10)&amp;CHAR(10)&amp;Config!$B$1)</f>
        <v/>
      </c>
      <c r="Z26" s="11">
        <f>IF(Y26="","",HYPERLINK("https://wa.me/52"&amp;C26&amp;"?text="&amp;_xlfn.ENCODEURL(Y26),"Enviar aniversario"))</f>
        <v/>
      </c>
      <c r="AA26" s="11" t="n"/>
      <c r="AB26" s="11">
        <f>IF(OR(B26="",AA26=""),"",HYPERLINK("https://wa.me/52"&amp;C26&amp;"?text="&amp;_xlfn.ENCODEURL(_xlfn.SWITCH(AA26,"Bienvenida (primera visita)",Q26,"Seguimiento",S26,"Aviso de Etapa",U26,"Requisitos",AC26,"Datos de Facturación",AD26,"Cumpleaños",W26,"Aniversario",Y26,"")),"Enviar mensaje seleccionado"))</f>
        <v/>
      </c>
      <c r="AC26" s="10">
        <f>IF(B26="","",_xlfn.SWITCH(F26&amp;"|"&amp;G26,"Crédito|Persona física","Hola, "&amp;B26&amp;", para continuar con el proceso de tu *"&amp;D26&amp;"* por "&amp;F26&amp;",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"&amp;B26&amp;", para continuar con el proceso de tu *"&amp;D26&amp;"* por "&amp;F26&amp;",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"&amp;B26&amp;", para continuar con el proceso de tu *"&amp;D26&amp;"* por "&amp;F26&amp;",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"&amp;B26&amp;", para continuar con el proceso de tu *"&amp;D26&amp;"* por "&amp;F26&amp;", estos son los documentos que necesitamos:"&amp;CHAR(10)&amp;CHAR(10)&amp;"- INE"&amp;CHAR(10)&amp;"- Comprobante de domicilio"&amp;CHAR(10)&amp;"- Constancia de situación fiscal (no mayor a 3 meses)","Contado|Persona física con actividad empresarial","Hola, "&amp;B26&amp;", para continuar con el proceso de tu *"&amp;D26&amp;"* por "&amp;F26&amp;", estos son los documentos que necesitamos:"&amp;CHAR(10)&amp;CHAR(10)&amp;"- INE"&amp;CHAR(10)&amp;"- Comprobante de domicilio"&amp;CHAR(10)&amp;"- Constancia de situación fiscal (no mayor a 3 meses)","Contado|Persona moral","Hola, "&amp;B26&amp;", para continuar con el proceso de tu *"&amp;D26&amp;"* por "&amp;F26&amp;",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26" s="10">
        <f>IFERROR(INDEX(Facturación!$Q:$Q,MATCH(B26,Facturación!$A:$A,0)),"")</f>
        <v/>
      </c>
    </row>
    <row r="27" ht="15" customHeight="1" s="1">
      <c r="A27" s="11">
        <f>IF(B27="","",ROW()-1)</f>
        <v/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0">
        <f>IF(OR(B27="",L27&lt;&gt;"Sí"),"","Hola, "&amp;B27&amp;", excelente día. Le saluda *Alejandro Estrada* de Toyota Corregidora."&amp;CHAR(10)&amp;"Muchas gracias por visitarnos y conocer la *"&amp;D27&amp;"*.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27" s="11">
        <f>IF(Q27="","",HYPERLINK("https://wa.me/52"&amp;C27&amp;"?text="&amp;_xlfn.ENCODEURL(Q27),"Enviar Bienvenida"))</f>
        <v/>
      </c>
      <c r="S27" s="10">
        <f>IF(B27="","","Hola, "&amp;B27&amp;", muy buen día."&amp;CHAR(10)&amp;"Espero que esté teniendo una excelente semana. Le escribo para saber si tiene alguna duda sobre la oferta del *"&amp;D27&amp;"*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27" s="11">
        <f>IF(S27="","",HYPERLINK("https://wa.me/52"&amp;C27&amp;"?text="&amp;_xlfn.ENCODEURL(S27),"Enviar Seguimiento"))</f>
        <v/>
      </c>
      <c r="U27" s="10">
        <f>IF(B27="","",_xlfn.SWITCH(M27,"Apartado","Hola, "&amp;B27&amp;", buen día. Le confirmo que su apartado por el *"&amp;D27&amp;"* quedó registrado correctamente. Seguimos con el proceso y le mantendré informado(a) de cada paso.","Toma de vehículo","Hola, "&amp;B27&amp;", le comparto que estamos en el proceso de toma de su vehículo actual. En cuanto tengamos el resultado le aviso para continuar con el siguiente paso.","Pago vehículo a cuenta","Hola, "&amp;B27&amp;", quedamos en proceso de pago del vehículo que se toma a cuenta. Cualquier documento o aclaración que se requiera se lo haré saber por este medio.","Firma de contrato","Hola, "&amp;B27&amp;", ya estamos listos para agendar la firma de su contrato. ¿Qué día y hora se le facilita para realizarla?","Facturación","Hola, "&amp;B27&amp;", su unidad ya está en proceso de facturación. En breve le comparto los datos para su confirmación.","Programación de entrega","Hola, "&amp;B27&amp;", con gusto le comparto que ya podemos programar la entrega de su *"&amp;D27&amp;"*. ¿Qué día y hora le acomodan mejor?","Entregado","Hola, "&amp;B27&amp;", ¡muchas felicidades por estrenar su *"&amp;D27&amp;"*! Fue un gusto acompañarle en este proceso. Quedo pendiente de cualquier duda y con gusto le agendo su próxima cita de servicio cuando lo necesite.","Hola, "&amp;B27&amp;", seguimos en contacto para avanzar con el proceso de su próximo Toyota.")&amp;CHAR(10)&amp;CHAR(10)&amp;Config!$B$1)</f>
        <v/>
      </c>
      <c r="V27" s="11">
        <f>IF(U27="","",HYPERLINK("https://wa.me/52"&amp;C27&amp;"?text="&amp;_xlfn.ENCODEURL(U27),"Enviar aviso de etapa"))</f>
        <v/>
      </c>
      <c r="W27" s="10">
        <f>IF(OR(B27="",O27=""),"","Hola, "&amp;B27&amp;", ¡feliz cumpleaños! Le deseo un excelente día rodeado de quienes más quiere. Ha sido un placer acompañarle desde que estrenó su Toyota. ¡Un abrazo!"&amp;CHAR(10)&amp;CHAR(10)&amp;Config!$B$1)</f>
        <v/>
      </c>
      <c r="X27" s="11">
        <f>IF(W27="","",HYPERLINK("https://wa.me/52"&amp;C27&amp;"?text="&amp;_xlfn.ENCODEURL(W27),"Enviar felicitación"))</f>
        <v/>
      </c>
      <c r="Y27" s="10">
        <f>IF(OR(B27="",P27=""),"","Hola, "&amp;B27&amp;", hoy se cumple un año más desde que estrenó su *"&amp;D27&amp;"*. Espero que haya sido un gran compañero de camino. Cualquier cosa que necesite, aquí estoy para apoyarle."&amp;CHAR(10)&amp;CHAR(10)&amp;Config!$B$1)</f>
        <v/>
      </c>
      <c r="Z27" s="11">
        <f>IF(Y27="","",HYPERLINK("https://wa.me/52"&amp;C27&amp;"?text="&amp;_xlfn.ENCODEURL(Y27),"Enviar aniversario"))</f>
        <v/>
      </c>
      <c r="AA27" s="11" t="n"/>
      <c r="AB27" s="11">
        <f>IF(OR(B27="",AA27=""),"",HYPERLINK("https://wa.me/52"&amp;C27&amp;"?text="&amp;_xlfn.ENCODEURL(_xlfn.SWITCH(AA27,"Bienvenida (primera visita)",Q27,"Seguimiento",S27,"Aviso de Etapa",U27,"Requisitos",AC27,"Datos de Facturación",AD27,"Cumpleaños",W27,"Aniversario",Y27,"")),"Enviar mensaje seleccionado"))</f>
        <v/>
      </c>
      <c r="AC27" s="10">
        <f>IF(B27="","",_xlfn.SWITCH(F27&amp;"|"&amp;G27,"Crédito|Persona física","Hola, "&amp;B27&amp;", para continuar con el proceso de tu *"&amp;D27&amp;"* por "&amp;F27&amp;",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"&amp;B27&amp;", para continuar con el proceso de tu *"&amp;D27&amp;"* por "&amp;F27&amp;",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"&amp;B27&amp;", para continuar con el proceso de tu *"&amp;D27&amp;"* por "&amp;F27&amp;",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"&amp;B27&amp;", para continuar con el proceso de tu *"&amp;D27&amp;"* por "&amp;F27&amp;", estos son los documentos que necesitamos:"&amp;CHAR(10)&amp;CHAR(10)&amp;"- INE"&amp;CHAR(10)&amp;"- Comprobante de domicilio"&amp;CHAR(10)&amp;"- Constancia de situación fiscal (no mayor a 3 meses)","Contado|Persona física con actividad empresarial","Hola, "&amp;B27&amp;", para continuar con el proceso de tu *"&amp;D27&amp;"* por "&amp;F27&amp;", estos son los documentos que necesitamos:"&amp;CHAR(10)&amp;CHAR(10)&amp;"- INE"&amp;CHAR(10)&amp;"- Comprobante de domicilio"&amp;CHAR(10)&amp;"- Constancia de situación fiscal (no mayor a 3 meses)","Contado|Persona moral","Hola, "&amp;B27&amp;", para continuar con el proceso de tu *"&amp;D27&amp;"* por "&amp;F27&amp;",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27" s="10">
        <f>IFERROR(INDEX(Facturación!$Q:$Q,MATCH(B27,Facturación!$A:$A,0)),"")</f>
        <v/>
      </c>
    </row>
    <row r="28" ht="15" customHeight="1" s="1">
      <c r="A28" s="11">
        <f>IF(B28="","",ROW()-1)</f>
        <v/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0">
        <f>IF(OR(B28="",L28&lt;&gt;"Sí"),"","Hola, "&amp;B28&amp;", excelente día. Le saluda *Alejandro Estrada* de Toyota Corregidora."&amp;CHAR(10)&amp;"Muchas gracias por visitarnos y conocer la *"&amp;D28&amp;"*.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28" s="11">
        <f>IF(Q28="","",HYPERLINK("https://wa.me/52"&amp;C28&amp;"?text="&amp;_xlfn.ENCODEURL(Q28),"Enviar Bienvenida"))</f>
        <v/>
      </c>
      <c r="S28" s="10">
        <f>IF(B28="","","Hola, "&amp;B28&amp;", muy buen día."&amp;CHAR(10)&amp;"Espero que esté teniendo una excelente semana. Le escribo para saber si tiene alguna duda sobre la oferta del *"&amp;D28&amp;"*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28" s="11">
        <f>IF(S28="","",HYPERLINK("https://wa.me/52"&amp;C28&amp;"?text="&amp;_xlfn.ENCODEURL(S28),"Enviar Seguimiento"))</f>
        <v/>
      </c>
      <c r="U28" s="10">
        <f>IF(B28="","",_xlfn.SWITCH(M28,"Apartado","Hola, "&amp;B28&amp;", buen día. Le confirmo que su apartado por el *"&amp;D28&amp;"* quedó registrado correctamente. Seguimos con el proceso y le mantendré informado(a) de cada paso.","Toma de vehículo","Hola, "&amp;B28&amp;", le comparto que estamos en el proceso de toma de su vehículo actual. En cuanto tengamos el resultado le aviso para continuar con el siguiente paso.","Pago vehículo a cuenta","Hola, "&amp;B28&amp;", quedamos en proceso de pago del vehículo que se toma a cuenta. Cualquier documento o aclaración que se requiera se lo haré saber por este medio.","Firma de contrato","Hola, "&amp;B28&amp;", ya estamos listos para agendar la firma de su contrato. ¿Qué día y hora se le facilita para realizarla?","Facturación","Hola, "&amp;B28&amp;", su unidad ya está en proceso de facturación. En breve le comparto los datos para su confirmación.","Programación de entrega","Hola, "&amp;B28&amp;", con gusto le comparto que ya podemos programar la entrega de su *"&amp;D28&amp;"*. ¿Qué día y hora le acomodan mejor?","Entregado","Hola, "&amp;B28&amp;", ¡muchas felicidades por estrenar su *"&amp;D28&amp;"*! Fue un gusto acompañarle en este proceso. Quedo pendiente de cualquier duda y con gusto le agendo su próxima cita de servicio cuando lo necesite.","Hola, "&amp;B28&amp;", seguimos en contacto para avanzar con el proceso de su próximo Toyota.")&amp;CHAR(10)&amp;CHAR(10)&amp;Config!$B$1)</f>
        <v/>
      </c>
      <c r="V28" s="11">
        <f>IF(U28="","",HYPERLINK("https://wa.me/52"&amp;C28&amp;"?text="&amp;_xlfn.ENCODEURL(U28),"Enviar aviso de etapa"))</f>
        <v/>
      </c>
      <c r="W28" s="10">
        <f>IF(OR(B28="",O28=""),"","Hola, "&amp;B28&amp;", ¡feliz cumpleaños! Le deseo un excelente día rodeado de quienes más quiere. Ha sido un placer acompañarle desde que estrenó su Toyota. ¡Un abrazo!"&amp;CHAR(10)&amp;CHAR(10)&amp;Config!$B$1)</f>
        <v/>
      </c>
      <c r="X28" s="11">
        <f>IF(W28="","",HYPERLINK("https://wa.me/52"&amp;C28&amp;"?text="&amp;_xlfn.ENCODEURL(W28),"Enviar felicitación"))</f>
        <v/>
      </c>
      <c r="Y28" s="10">
        <f>IF(OR(B28="",P28=""),"","Hola, "&amp;B28&amp;", hoy se cumple un año más desde que estrenó su *"&amp;D28&amp;"*. Espero que haya sido un gran compañero de camino. Cualquier cosa que necesite, aquí estoy para apoyarle."&amp;CHAR(10)&amp;CHAR(10)&amp;Config!$B$1)</f>
        <v/>
      </c>
      <c r="Z28" s="11">
        <f>IF(Y28="","",HYPERLINK("https://wa.me/52"&amp;C28&amp;"?text="&amp;_xlfn.ENCODEURL(Y28),"Enviar aniversario"))</f>
        <v/>
      </c>
      <c r="AA28" s="11" t="n"/>
      <c r="AB28" s="11">
        <f>IF(OR(B28="",AA28=""),"",HYPERLINK("https://wa.me/52"&amp;C28&amp;"?text="&amp;_xlfn.ENCODEURL(_xlfn.SWITCH(AA28,"Bienvenida (primera visita)",Q28,"Seguimiento",S28,"Aviso de Etapa",U28,"Requisitos",AC28,"Datos de Facturación",AD28,"Cumpleaños",W28,"Aniversario",Y28,"")),"Enviar mensaje seleccionado"))</f>
        <v/>
      </c>
      <c r="AC28" s="10">
        <f>IF(B28="","",_xlfn.SWITCH(F28&amp;"|"&amp;G28,"Crédito|Persona física","Hola, "&amp;B28&amp;", para continuar con el proceso de tu *"&amp;D28&amp;"* por "&amp;F28&amp;",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"&amp;B28&amp;", para continuar con el proceso de tu *"&amp;D28&amp;"* por "&amp;F28&amp;",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"&amp;B28&amp;", para continuar con el proceso de tu *"&amp;D28&amp;"* por "&amp;F28&amp;",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"&amp;B28&amp;", para continuar con el proceso de tu *"&amp;D28&amp;"* por "&amp;F28&amp;", estos son los documentos que necesitamos:"&amp;CHAR(10)&amp;CHAR(10)&amp;"- INE"&amp;CHAR(10)&amp;"- Comprobante de domicilio"&amp;CHAR(10)&amp;"- Constancia de situación fiscal (no mayor a 3 meses)","Contado|Persona física con actividad empresarial","Hola, "&amp;B28&amp;", para continuar con el proceso de tu *"&amp;D28&amp;"* por "&amp;F28&amp;", estos son los documentos que necesitamos:"&amp;CHAR(10)&amp;CHAR(10)&amp;"- INE"&amp;CHAR(10)&amp;"- Comprobante de domicilio"&amp;CHAR(10)&amp;"- Constancia de situación fiscal (no mayor a 3 meses)","Contado|Persona moral","Hola, "&amp;B28&amp;", para continuar con el proceso de tu *"&amp;D28&amp;"* por "&amp;F28&amp;",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28" s="10">
        <f>IFERROR(INDEX(Facturación!$Q:$Q,MATCH(B28,Facturación!$A:$A,0)),"")</f>
        <v/>
      </c>
    </row>
    <row r="29" ht="15" customHeight="1" s="1">
      <c r="A29" s="11">
        <f>IF(B29="","",ROW()-1)</f>
        <v/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0">
        <f>IF(OR(B29="",L29&lt;&gt;"Sí"),"","Hola, "&amp;B29&amp;", excelente día. Le saluda *Alejandro Estrada* de Toyota Corregidora."&amp;CHAR(10)&amp;"Muchas gracias por visitarnos y conocer la *"&amp;D29&amp;"*.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29" s="11">
        <f>IF(Q29="","",HYPERLINK("https://wa.me/52"&amp;C29&amp;"?text="&amp;_xlfn.ENCODEURL(Q29),"Enviar Bienvenida"))</f>
        <v/>
      </c>
      <c r="S29" s="10">
        <f>IF(B29="","","Hola, "&amp;B29&amp;", muy buen día."&amp;CHAR(10)&amp;"Espero que esté teniendo una excelente semana. Le escribo para saber si tiene alguna duda sobre la oferta del *"&amp;D29&amp;"*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29" s="11">
        <f>IF(S29="","",HYPERLINK("https://wa.me/52"&amp;C29&amp;"?text="&amp;_xlfn.ENCODEURL(S29),"Enviar Seguimiento"))</f>
        <v/>
      </c>
      <c r="U29" s="10">
        <f>IF(B29="","",_xlfn.SWITCH(M29,"Apartado","Hola, "&amp;B29&amp;", buen día. Le confirmo que su apartado por el *"&amp;D29&amp;"* quedó registrado correctamente. Seguimos con el proceso y le mantendré informado(a) de cada paso.","Toma de vehículo","Hola, "&amp;B29&amp;", le comparto que estamos en el proceso de toma de su vehículo actual. En cuanto tengamos el resultado le aviso para continuar con el siguiente paso.","Pago vehículo a cuenta","Hola, "&amp;B29&amp;", quedamos en proceso de pago del vehículo que se toma a cuenta. Cualquier documento o aclaración que se requiera se lo haré saber por este medio.","Firma de contrato","Hola, "&amp;B29&amp;", ya estamos listos para agendar la firma de su contrato. ¿Qué día y hora se le facilita para realizarla?","Facturación","Hola, "&amp;B29&amp;", su unidad ya está en proceso de facturación. En breve le comparto los datos para su confirmación.","Programación de entrega","Hola, "&amp;B29&amp;", con gusto le comparto que ya podemos programar la entrega de su *"&amp;D29&amp;"*. ¿Qué día y hora le acomodan mejor?","Entregado","Hola, "&amp;B29&amp;", ¡muchas felicidades por estrenar su *"&amp;D29&amp;"*! Fue un gusto acompañarle en este proceso. Quedo pendiente de cualquier duda y con gusto le agendo su próxima cita de servicio cuando lo necesite.","Hola, "&amp;B29&amp;", seguimos en contacto para avanzar con el proceso de su próximo Toyota.")&amp;CHAR(10)&amp;CHAR(10)&amp;Config!$B$1)</f>
        <v/>
      </c>
      <c r="V29" s="11">
        <f>IF(U29="","",HYPERLINK("https://wa.me/52"&amp;C29&amp;"?text="&amp;_xlfn.ENCODEURL(U29),"Enviar aviso de etapa"))</f>
        <v/>
      </c>
      <c r="W29" s="10">
        <f>IF(OR(B29="",O29=""),"","Hola, "&amp;B29&amp;", ¡feliz cumpleaños! Le deseo un excelente día rodeado de quienes más quiere. Ha sido un placer acompañarle desde que estrenó su Toyota. ¡Un abrazo!"&amp;CHAR(10)&amp;CHAR(10)&amp;Config!$B$1)</f>
        <v/>
      </c>
      <c r="X29" s="11">
        <f>IF(W29="","",HYPERLINK("https://wa.me/52"&amp;C29&amp;"?text="&amp;_xlfn.ENCODEURL(W29),"Enviar felicitación"))</f>
        <v/>
      </c>
      <c r="Y29" s="10">
        <f>IF(OR(B29="",P29=""),"","Hola, "&amp;B29&amp;", hoy se cumple un año más desde que estrenó su *"&amp;D29&amp;"*. Espero que haya sido un gran compañero de camino. Cualquier cosa que necesite, aquí estoy para apoyarle."&amp;CHAR(10)&amp;CHAR(10)&amp;Config!$B$1)</f>
        <v/>
      </c>
      <c r="Z29" s="11">
        <f>IF(Y29="","",HYPERLINK("https://wa.me/52"&amp;C29&amp;"?text="&amp;_xlfn.ENCODEURL(Y29),"Enviar aniversario"))</f>
        <v/>
      </c>
      <c r="AA29" s="11" t="n"/>
      <c r="AB29" s="11">
        <f>IF(OR(B29="",AA29=""),"",HYPERLINK("https://wa.me/52"&amp;C29&amp;"?text="&amp;_xlfn.ENCODEURL(_xlfn.SWITCH(AA29,"Bienvenida (primera visita)",Q29,"Seguimiento",S29,"Aviso de Etapa",U29,"Requisitos",AC29,"Datos de Facturación",AD29,"Cumpleaños",W29,"Aniversario",Y29,"")),"Enviar mensaje seleccionado"))</f>
        <v/>
      </c>
      <c r="AC29" s="10">
        <f>IF(B29="","",_xlfn.SWITCH(F29&amp;"|"&amp;G29,"Crédito|Persona física","Hola, "&amp;B29&amp;", para continuar con el proceso de tu *"&amp;D29&amp;"* por "&amp;F29&amp;",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"&amp;B29&amp;", para continuar con el proceso de tu *"&amp;D29&amp;"* por "&amp;F29&amp;",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"&amp;B29&amp;", para continuar con el proceso de tu *"&amp;D29&amp;"* por "&amp;F29&amp;",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"&amp;B29&amp;", para continuar con el proceso de tu *"&amp;D29&amp;"* por "&amp;F29&amp;", estos son los documentos que necesitamos:"&amp;CHAR(10)&amp;CHAR(10)&amp;"- INE"&amp;CHAR(10)&amp;"- Comprobante de domicilio"&amp;CHAR(10)&amp;"- Constancia de situación fiscal (no mayor a 3 meses)","Contado|Persona física con actividad empresarial","Hola, "&amp;B29&amp;", para continuar con el proceso de tu *"&amp;D29&amp;"* por "&amp;F29&amp;", estos son los documentos que necesitamos:"&amp;CHAR(10)&amp;CHAR(10)&amp;"- INE"&amp;CHAR(10)&amp;"- Comprobante de domicilio"&amp;CHAR(10)&amp;"- Constancia de situación fiscal (no mayor a 3 meses)","Contado|Persona moral","Hola, "&amp;B29&amp;", para continuar con el proceso de tu *"&amp;D29&amp;"* por "&amp;F29&amp;",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29" s="10">
        <f>IFERROR(INDEX(Facturación!$Q:$Q,MATCH(B29,Facturación!$A:$A,0)),"")</f>
        <v/>
      </c>
    </row>
    <row r="30" ht="15" customHeight="1" s="1">
      <c r="A30" s="11">
        <f>IF(B30="","",ROW()-1)</f>
        <v/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0">
        <f>IF(OR(B30="",L30&lt;&gt;"Sí"),"","Hola, "&amp;B30&amp;", excelente día. Le saluda *Alejandro Estrada* de Toyota Corregidora."&amp;CHAR(10)&amp;"Muchas gracias por visitarnos y conocer la *"&amp;D30&amp;"*.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30" s="11">
        <f>IF(Q30="","",HYPERLINK("https://wa.me/52"&amp;C30&amp;"?text="&amp;_xlfn.ENCODEURL(Q30),"Enviar Bienvenida"))</f>
        <v/>
      </c>
      <c r="S30" s="10">
        <f>IF(B30="","","Hola, "&amp;B30&amp;", muy buen día."&amp;CHAR(10)&amp;"Espero que esté teniendo una excelente semana. Le escribo para saber si tiene alguna duda sobre la oferta del *"&amp;D30&amp;"*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30" s="11">
        <f>IF(S30="","",HYPERLINK("https://wa.me/52"&amp;C30&amp;"?text="&amp;_xlfn.ENCODEURL(S30),"Enviar Seguimiento"))</f>
        <v/>
      </c>
      <c r="U30" s="10">
        <f>IF(B30="","",_xlfn.SWITCH(M30,"Apartado","Hola, "&amp;B30&amp;", buen día. Le confirmo que su apartado por el *"&amp;D30&amp;"* quedó registrado correctamente. Seguimos con el proceso y le mantendré informado(a) de cada paso.","Toma de vehículo","Hola, "&amp;B30&amp;", le comparto que estamos en el proceso de toma de su vehículo actual. En cuanto tengamos el resultado le aviso para continuar con el siguiente paso.","Pago vehículo a cuenta","Hola, "&amp;B30&amp;", quedamos en proceso de pago del vehículo que se toma a cuenta. Cualquier documento o aclaración que se requiera se lo haré saber por este medio.","Firma de contrato","Hola, "&amp;B30&amp;", ya estamos listos para agendar la firma de su contrato. ¿Qué día y hora se le facilita para realizarla?","Facturación","Hola, "&amp;B30&amp;", su unidad ya está en proceso de facturación. En breve le comparto los datos para su confirmación.","Programación de entrega","Hola, "&amp;B30&amp;", con gusto le comparto que ya podemos programar la entrega de su *"&amp;D30&amp;"*. ¿Qué día y hora le acomodan mejor?","Entregado","Hola, "&amp;B30&amp;", ¡muchas felicidades por estrenar su *"&amp;D30&amp;"*! Fue un gusto acompañarle en este proceso. Quedo pendiente de cualquier duda y con gusto le agendo su próxima cita de servicio cuando lo necesite.","Hola, "&amp;B30&amp;", seguimos en contacto para avanzar con el proceso de su próximo Toyota.")&amp;CHAR(10)&amp;CHAR(10)&amp;Config!$B$1)</f>
        <v/>
      </c>
      <c r="V30" s="11">
        <f>IF(U30="","",HYPERLINK("https://wa.me/52"&amp;C30&amp;"?text="&amp;_xlfn.ENCODEURL(U30),"Enviar aviso de etapa"))</f>
        <v/>
      </c>
      <c r="W30" s="10">
        <f>IF(OR(B30="",O30=""),"","Hola, "&amp;B30&amp;", ¡feliz cumpleaños! Le deseo un excelente día rodeado de quienes más quiere. Ha sido un placer acompañarle desde que estrenó su Toyota. ¡Un abrazo!"&amp;CHAR(10)&amp;CHAR(10)&amp;Config!$B$1)</f>
        <v/>
      </c>
      <c r="X30" s="11">
        <f>IF(W30="","",HYPERLINK("https://wa.me/52"&amp;C30&amp;"?text="&amp;_xlfn.ENCODEURL(W30),"Enviar felicitación"))</f>
        <v/>
      </c>
      <c r="Y30" s="10">
        <f>IF(OR(B30="",P30=""),"","Hola, "&amp;B30&amp;", hoy se cumple un año más desde que estrenó su *"&amp;D30&amp;"*. Espero que haya sido un gran compañero de camino. Cualquier cosa que necesite, aquí estoy para apoyarle."&amp;CHAR(10)&amp;CHAR(10)&amp;Config!$B$1)</f>
        <v/>
      </c>
      <c r="Z30" s="11">
        <f>IF(Y30="","",HYPERLINK("https://wa.me/52"&amp;C30&amp;"?text="&amp;_xlfn.ENCODEURL(Y30),"Enviar aniversario"))</f>
        <v/>
      </c>
      <c r="AA30" s="11" t="n"/>
      <c r="AB30" s="11">
        <f>IF(OR(B30="",AA30=""),"",HYPERLINK("https://wa.me/52"&amp;C30&amp;"?text="&amp;_xlfn.ENCODEURL(_xlfn.SWITCH(AA30,"Bienvenida (primera visita)",Q30,"Seguimiento",S30,"Aviso de Etapa",U30,"Requisitos",AC30,"Datos de Facturación",AD30,"Cumpleaños",W30,"Aniversario",Y30,"")),"Enviar mensaje seleccionado"))</f>
        <v/>
      </c>
      <c r="AC30" s="10">
        <f>IF(B30="","",_xlfn.SWITCH(F30&amp;"|"&amp;G30,"Crédito|Persona física","Hola, "&amp;B30&amp;", para continuar con el proceso de tu *"&amp;D30&amp;"* por "&amp;F30&amp;",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"&amp;B30&amp;", para continuar con el proceso de tu *"&amp;D30&amp;"* por "&amp;F30&amp;",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"&amp;B30&amp;", para continuar con el proceso de tu *"&amp;D30&amp;"* por "&amp;F30&amp;",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"&amp;B30&amp;", para continuar con el proceso de tu *"&amp;D30&amp;"* por "&amp;F30&amp;", estos son los documentos que necesitamos:"&amp;CHAR(10)&amp;CHAR(10)&amp;"- INE"&amp;CHAR(10)&amp;"- Comprobante de domicilio"&amp;CHAR(10)&amp;"- Constancia de situación fiscal (no mayor a 3 meses)","Contado|Persona física con actividad empresarial","Hola, "&amp;B30&amp;", para continuar con el proceso de tu *"&amp;D30&amp;"* por "&amp;F30&amp;", estos son los documentos que necesitamos:"&amp;CHAR(10)&amp;CHAR(10)&amp;"- INE"&amp;CHAR(10)&amp;"- Comprobante de domicilio"&amp;CHAR(10)&amp;"- Constancia de situación fiscal (no mayor a 3 meses)","Contado|Persona moral","Hola, "&amp;B30&amp;", para continuar con el proceso de tu *"&amp;D30&amp;"* por "&amp;F30&amp;",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30" s="10">
        <f>IFERROR(INDEX(Facturación!$Q:$Q,MATCH(B30,Facturación!$A:$A,0)),"")</f>
        <v/>
      </c>
    </row>
    <row r="31" ht="15" customHeight="1" s="1">
      <c r="A31" s="11">
        <f>IF(B31="","",ROW()-1)</f>
        <v/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0">
        <f>IF(OR(B31="",L31&lt;&gt;"Sí"),"","Hola, "&amp;B31&amp;", excelente día. Le saluda *Alejandro Estrada* de Toyota Corregidora."&amp;CHAR(10)&amp;"Muchas gracias por visitarnos y conocer la *"&amp;D31&amp;"*.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31" s="11">
        <f>IF(Q31="","",HYPERLINK("https://wa.me/52"&amp;C31&amp;"?text="&amp;_xlfn.ENCODEURL(Q31),"Enviar Bienvenida"))</f>
        <v/>
      </c>
      <c r="S31" s="10">
        <f>IF(B31="","","Hola, "&amp;B31&amp;", muy buen día."&amp;CHAR(10)&amp;"Espero que esté teniendo una excelente semana. Le escribo para saber si tiene alguna duda sobre la oferta del *"&amp;D31&amp;"*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31" s="11">
        <f>IF(S31="","",HYPERLINK("https://wa.me/52"&amp;C31&amp;"?text="&amp;_xlfn.ENCODEURL(S31),"Enviar Seguimiento"))</f>
        <v/>
      </c>
      <c r="U31" s="10">
        <f>IF(B31="","",_xlfn.SWITCH(M31,"Apartado","Hola, "&amp;B31&amp;", buen día. Le confirmo que su apartado por el *"&amp;D31&amp;"* quedó registrado correctamente. Seguimos con el proceso y le mantendré informado(a) de cada paso.","Toma de vehículo","Hola, "&amp;B31&amp;", le comparto que estamos en el proceso de toma de su vehículo actual. En cuanto tengamos el resultado le aviso para continuar con el siguiente paso.","Pago vehículo a cuenta","Hola, "&amp;B31&amp;", quedamos en proceso de pago del vehículo que se toma a cuenta. Cualquier documento o aclaración que se requiera se lo haré saber por este medio.","Firma de contrato","Hola, "&amp;B31&amp;", ya estamos listos para agendar la firma de su contrato. ¿Qué día y hora se le facilita para realizarla?","Facturación","Hola, "&amp;B31&amp;", su unidad ya está en proceso de facturación. En breve le comparto los datos para su confirmación.","Programación de entrega","Hola, "&amp;B31&amp;", con gusto le comparto que ya podemos programar la entrega de su *"&amp;D31&amp;"*. ¿Qué día y hora le acomodan mejor?","Entregado","Hola, "&amp;B31&amp;", ¡muchas felicidades por estrenar su *"&amp;D31&amp;"*! Fue un gusto acompañarle en este proceso. Quedo pendiente de cualquier duda y con gusto le agendo su próxima cita de servicio cuando lo necesite.","Hola, "&amp;B31&amp;", seguimos en contacto para avanzar con el proceso de su próximo Toyota.")&amp;CHAR(10)&amp;CHAR(10)&amp;Config!$B$1)</f>
        <v/>
      </c>
      <c r="V31" s="11">
        <f>IF(U31="","",HYPERLINK("https://wa.me/52"&amp;C31&amp;"?text="&amp;_xlfn.ENCODEURL(U31),"Enviar aviso de etapa"))</f>
        <v/>
      </c>
      <c r="W31" s="10">
        <f>IF(OR(B31="",O31=""),"","Hola, "&amp;B31&amp;", ¡feliz cumpleaños! Le deseo un excelente día rodeado de quienes más quiere. Ha sido un placer acompañarle desde que estrenó su Toyota. ¡Un abrazo!"&amp;CHAR(10)&amp;CHAR(10)&amp;Config!$B$1)</f>
        <v/>
      </c>
      <c r="X31" s="11">
        <f>IF(W31="","",HYPERLINK("https://wa.me/52"&amp;C31&amp;"?text="&amp;_xlfn.ENCODEURL(W31),"Enviar felicitación"))</f>
        <v/>
      </c>
      <c r="Y31" s="10">
        <f>IF(OR(B31="",P31=""),"","Hola, "&amp;B31&amp;", hoy se cumple un año más desde que estrenó su *"&amp;D31&amp;"*. Espero que haya sido un gran compañero de camino. Cualquier cosa que necesite, aquí estoy para apoyarle."&amp;CHAR(10)&amp;CHAR(10)&amp;Config!$B$1)</f>
        <v/>
      </c>
      <c r="Z31" s="11">
        <f>IF(Y31="","",HYPERLINK("https://wa.me/52"&amp;C31&amp;"?text="&amp;_xlfn.ENCODEURL(Y31),"Enviar aniversario"))</f>
        <v/>
      </c>
      <c r="AA31" s="11" t="n"/>
      <c r="AB31" s="11">
        <f>IF(OR(B31="",AA31=""),"",HYPERLINK("https://wa.me/52"&amp;C31&amp;"?text="&amp;_xlfn.ENCODEURL(_xlfn.SWITCH(AA31,"Bienvenida (primera visita)",Q31,"Seguimiento",S31,"Aviso de Etapa",U31,"Requisitos",AC31,"Datos de Facturación",AD31,"Cumpleaños",W31,"Aniversario",Y31,"")),"Enviar mensaje seleccionado"))</f>
        <v/>
      </c>
      <c r="AC31" s="10">
        <f>IF(B31="","",_xlfn.SWITCH(F31&amp;"|"&amp;G31,"Crédito|Persona física","Hola, "&amp;B31&amp;", para continuar con el proceso de tu *"&amp;D31&amp;"* por "&amp;F31&amp;",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"&amp;B31&amp;", para continuar con el proceso de tu *"&amp;D31&amp;"* por "&amp;F31&amp;",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"&amp;B31&amp;", para continuar con el proceso de tu *"&amp;D31&amp;"* por "&amp;F31&amp;",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"&amp;B31&amp;", para continuar con el proceso de tu *"&amp;D31&amp;"* por "&amp;F31&amp;", estos son los documentos que necesitamos:"&amp;CHAR(10)&amp;CHAR(10)&amp;"- INE"&amp;CHAR(10)&amp;"- Comprobante de domicilio"&amp;CHAR(10)&amp;"- Constancia de situación fiscal (no mayor a 3 meses)","Contado|Persona física con actividad empresarial","Hola, "&amp;B31&amp;", para continuar con el proceso de tu *"&amp;D31&amp;"* por "&amp;F31&amp;", estos son los documentos que necesitamos:"&amp;CHAR(10)&amp;CHAR(10)&amp;"- INE"&amp;CHAR(10)&amp;"- Comprobante de domicilio"&amp;CHAR(10)&amp;"- Constancia de situación fiscal (no mayor a 3 meses)","Contado|Persona moral","Hola, "&amp;B31&amp;", para continuar con el proceso de tu *"&amp;D31&amp;"* por "&amp;F31&amp;",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31" s="10">
        <f>IFERROR(INDEX(Facturación!$Q:$Q,MATCH(B31,Facturación!$A:$A,0)),"")</f>
        <v/>
      </c>
    </row>
    <row r="32" ht="15" customHeight="1" s="1">
      <c r="A32" s="11">
        <f>IF(B32="","",ROW()-1)</f>
        <v/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0">
        <f>IF(OR(B32="",L32&lt;&gt;"Sí"),"","Hola, "&amp;B32&amp;", excelente día. Le saluda *Alejandro Estrada* de Toyota Corregidora."&amp;CHAR(10)&amp;"Muchas gracias por visitarnos y conocer la *"&amp;D32&amp;"*.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32" s="11">
        <f>IF(Q32="","",HYPERLINK("https://wa.me/52"&amp;C32&amp;"?text="&amp;_xlfn.ENCODEURL(Q32),"Enviar Bienvenida"))</f>
        <v/>
      </c>
      <c r="S32" s="10">
        <f>IF(B32="","","Hola, "&amp;B32&amp;", muy buen día."&amp;CHAR(10)&amp;"Espero que esté teniendo una excelente semana. Le escribo para saber si tiene alguna duda sobre la oferta del *"&amp;D32&amp;"*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32" s="11">
        <f>IF(S32="","",HYPERLINK("https://wa.me/52"&amp;C32&amp;"?text="&amp;_xlfn.ENCODEURL(S32),"Enviar Seguimiento"))</f>
        <v/>
      </c>
      <c r="U32" s="10">
        <f>IF(B32="","",_xlfn.SWITCH(M32,"Apartado","Hola, "&amp;B32&amp;", buen día. Le confirmo que su apartado por el *"&amp;D32&amp;"* quedó registrado correctamente. Seguimos con el proceso y le mantendré informado(a) de cada paso.","Toma de vehículo","Hola, "&amp;B32&amp;", le comparto que estamos en el proceso de toma de su vehículo actual. En cuanto tengamos el resultado le aviso para continuar con el siguiente paso.","Pago vehículo a cuenta","Hola, "&amp;B32&amp;", quedamos en proceso de pago del vehículo que se toma a cuenta. Cualquier documento o aclaración que se requiera se lo haré saber por este medio.","Firma de contrato","Hola, "&amp;B32&amp;", ya estamos listos para agendar la firma de su contrato. ¿Qué día y hora se le facilita para realizarla?","Facturación","Hola, "&amp;B32&amp;", su unidad ya está en proceso de facturación. En breve le comparto los datos para su confirmación.","Programación de entrega","Hola, "&amp;B32&amp;", con gusto le comparto que ya podemos programar la entrega de su *"&amp;D32&amp;"*. ¿Qué día y hora le acomodan mejor?","Entregado","Hola, "&amp;B32&amp;", ¡muchas felicidades por estrenar su *"&amp;D32&amp;"*! Fue un gusto acompañarle en este proceso. Quedo pendiente de cualquier duda y con gusto le agendo su próxima cita de servicio cuando lo necesite.","Hola, "&amp;B32&amp;", seguimos en contacto para avanzar con el proceso de su próximo Toyota.")&amp;CHAR(10)&amp;CHAR(10)&amp;Config!$B$1)</f>
        <v/>
      </c>
      <c r="V32" s="11">
        <f>IF(U32="","",HYPERLINK("https://wa.me/52"&amp;C32&amp;"?text="&amp;_xlfn.ENCODEURL(U32),"Enviar aviso de etapa"))</f>
        <v/>
      </c>
      <c r="W32" s="10">
        <f>IF(OR(B32="",O32=""),"","Hola, "&amp;B32&amp;", ¡feliz cumpleaños! Le deseo un excelente día rodeado de quienes más quiere. Ha sido un placer acompañarle desde que estrenó su Toyota. ¡Un abrazo!"&amp;CHAR(10)&amp;CHAR(10)&amp;Config!$B$1)</f>
        <v/>
      </c>
      <c r="X32" s="11">
        <f>IF(W32="","",HYPERLINK("https://wa.me/52"&amp;C32&amp;"?text="&amp;_xlfn.ENCODEURL(W32),"Enviar felicitación"))</f>
        <v/>
      </c>
      <c r="Y32" s="10">
        <f>IF(OR(B32="",P32=""),"","Hola, "&amp;B32&amp;", hoy se cumple un año más desde que estrenó su *"&amp;D32&amp;"*. Espero que haya sido un gran compañero de camino. Cualquier cosa que necesite, aquí estoy para apoyarle."&amp;CHAR(10)&amp;CHAR(10)&amp;Config!$B$1)</f>
        <v/>
      </c>
      <c r="Z32" s="11">
        <f>IF(Y32="","",HYPERLINK("https://wa.me/52"&amp;C32&amp;"?text="&amp;_xlfn.ENCODEURL(Y32),"Enviar aniversario"))</f>
        <v/>
      </c>
      <c r="AA32" s="11" t="n"/>
      <c r="AB32" s="11">
        <f>IF(OR(B32="",AA32=""),"",HYPERLINK("https://wa.me/52"&amp;C32&amp;"?text="&amp;_xlfn.ENCODEURL(_xlfn.SWITCH(AA32,"Bienvenida (primera visita)",Q32,"Seguimiento",S32,"Aviso de Etapa",U32,"Requisitos",AC32,"Datos de Facturación",AD32,"Cumpleaños",W32,"Aniversario",Y32,"")),"Enviar mensaje seleccionado"))</f>
        <v/>
      </c>
      <c r="AC32" s="10">
        <f>IF(B32="","",_xlfn.SWITCH(F32&amp;"|"&amp;G32,"Crédito|Persona física","Hola, "&amp;B32&amp;", para continuar con el proceso de tu *"&amp;D32&amp;"* por "&amp;F32&amp;",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"&amp;B32&amp;", para continuar con el proceso de tu *"&amp;D32&amp;"* por "&amp;F32&amp;",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"&amp;B32&amp;", para continuar con el proceso de tu *"&amp;D32&amp;"* por "&amp;F32&amp;",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"&amp;B32&amp;", para continuar con el proceso de tu *"&amp;D32&amp;"* por "&amp;F32&amp;", estos son los documentos que necesitamos:"&amp;CHAR(10)&amp;CHAR(10)&amp;"- INE"&amp;CHAR(10)&amp;"- Comprobante de domicilio"&amp;CHAR(10)&amp;"- Constancia de situación fiscal (no mayor a 3 meses)","Contado|Persona física con actividad empresarial","Hola, "&amp;B32&amp;", para continuar con el proceso de tu *"&amp;D32&amp;"* por "&amp;F32&amp;", estos son los documentos que necesitamos:"&amp;CHAR(10)&amp;CHAR(10)&amp;"- INE"&amp;CHAR(10)&amp;"- Comprobante de domicilio"&amp;CHAR(10)&amp;"- Constancia de situación fiscal (no mayor a 3 meses)","Contado|Persona moral","Hola, "&amp;B32&amp;", para continuar con el proceso de tu *"&amp;D32&amp;"* por "&amp;F32&amp;",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32" s="10">
        <f>IFERROR(INDEX(Facturación!$Q:$Q,MATCH(B32,Facturación!$A:$A,0)),"")</f>
        <v/>
      </c>
    </row>
    <row r="33" ht="15" customHeight="1" s="1">
      <c r="A33" s="11">
        <f>IF(B33="","",ROW()-1)</f>
        <v/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0">
        <f>IF(OR(B33="",L33&lt;&gt;"Sí"),"","Hola, "&amp;B33&amp;", excelente día. Le saluda *Alejandro Estrada* de Toyota Corregidora."&amp;CHAR(10)&amp;"Muchas gracias por visitarnos y conocer la *"&amp;D33&amp;"*.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33" s="11">
        <f>IF(Q33="","",HYPERLINK("https://wa.me/52"&amp;C33&amp;"?text="&amp;_xlfn.ENCODEURL(Q33),"Enviar Bienvenida"))</f>
        <v/>
      </c>
      <c r="S33" s="10">
        <f>IF(B33="","","Hola, "&amp;B33&amp;", muy buen día."&amp;CHAR(10)&amp;"Espero que esté teniendo una excelente semana. Le escribo para saber si tiene alguna duda sobre la oferta del *"&amp;D33&amp;"*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33" s="11">
        <f>IF(S33="","",HYPERLINK("https://wa.me/52"&amp;C33&amp;"?text="&amp;_xlfn.ENCODEURL(S33),"Enviar Seguimiento"))</f>
        <v/>
      </c>
      <c r="U33" s="10">
        <f>IF(B33="","",_xlfn.SWITCH(M33,"Apartado","Hola, "&amp;B33&amp;", buen día. Le confirmo que su apartado por el *"&amp;D33&amp;"* quedó registrado correctamente. Seguimos con el proceso y le mantendré informado(a) de cada paso.","Toma de vehículo","Hola, "&amp;B33&amp;", le comparto que estamos en el proceso de toma de su vehículo actual. En cuanto tengamos el resultado le aviso para continuar con el siguiente paso.","Pago vehículo a cuenta","Hola, "&amp;B33&amp;", quedamos en proceso de pago del vehículo que se toma a cuenta. Cualquier documento o aclaración que se requiera se lo haré saber por este medio.","Firma de contrato","Hola, "&amp;B33&amp;", ya estamos listos para agendar la firma de su contrato. ¿Qué día y hora se le facilita para realizarla?","Facturación","Hola, "&amp;B33&amp;", su unidad ya está en proceso de facturación. En breve le comparto los datos para su confirmación.","Programación de entrega","Hola, "&amp;B33&amp;", con gusto le comparto que ya podemos programar la entrega de su *"&amp;D33&amp;"*. ¿Qué día y hora le acomodan mejor?","Entregado","Hola, "&amp;B33&amp;", ¡muchas felicidades por estrenar su *"&amp;D33&amp;"*! Fue un gusto acompañarle en este proceso. Quedo pendiente de cualquier duda y con gusto le agendo su próxima cita de servicio cuando lo necesite.","Hola, "&amp;B33&amp;", seguimos en contacto para avanzar con el proceso de su próximo Toyota.")&amp;CHAR(10)&amp;CHAR(10)&amp;Config!$B$1)</f>
        <v/>
      </c>
      <c r="V33" s="11">
        <f>IF(U33="","",HYPERLINK("https://wa.me/52"&amp;C33&amp;"?text="&amp;_xlfn.ENCODEURL(U33),"Enviar aviso de etapa"))</f>
        <v/>
      </c>
      <c r="W33" s="10">
        <f>IF(OR(B33="",O33=""),"","Hola, "&amp;B33&amp;", ¡feliz cumpleaños! Le deseo un excelente día rodeado de quienes más quiere. Ha sido un placer acompañarle desde que estrenó su Toyota. ¡Un abrazo!"&amp;CHAR(10)&amp;CHAR(10)&amp;Config!$B$1)</f>
        <v/>
      </c>
      <c r="X33" s="11">
        <f>IF(W33="","",HYPERLINK("https://wa.me/52"&amp;C33&amp;"?text="&amp;_xlfn.ENCODEURL(W33),"Enviar felicitación"))</f>
        <v/>
      </c>
      <c r="Y33" s="10">
        <f>IF(OR(B33="",P33=""),"","Hola, "&amp;B33&amp;", hoy se cumple un año más desde que estrenó su *"&amp;D33&amp;"*. Espero que haya sido un gran compañero de camino. Cualquier cosa que necesite, aquí estoy para apoyarle."&amp;CHAR(10)&amp;CHAR(10)&amp;Config!$B$1)</f>
        <v/>
      </c>
      <c r="Z33" s="11">
        <f>IF(Y33="","",HYPERLINK("https://wa.me/52"&amp;C33&amp;"?text="&amp;_xlfn.ENCODEURL(Y33),"Enviar aniversario"))</f>
        <v/>
      </c>
      <c r="AA33" s="11" t="n"/>
      <c r="AB33" s="11">
        <f>IF(OR(B33="",AA33=""),"",HYPERLINK("https://wa.me/52"&amp;C33&amp;"?text="&amp;_xlfn.ENCODEURL(_xlfn.SWITCH(AA33,"Bienvenida (primera visita)",Q33,"Seguimiento",S33,"Aviso de Etapa",U33,"Requisitos",AC33,"Datos de Facturación",AD33,"Cumpleaños",W33,"Aniversario",Y33,"")),"Enviar mensaje seleccionado"))</f>
        <v/>
      </c>
      <c r="AC33" s="10">
        <f>IF(B33="","",_xlfn.SWITCH(F33&amp;"|"&amp;G33,"Crédito|Persona física","Hola, "&amp;B33&amp;", para continuar con el proceso de tu *"&amp;D33&amp;"* por "&amp;F33&amp;",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"&amp;B33&amp;", para continuar con el proceso de tu *"&amp;D33&amp;"* por "&amp;F33&amp;",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"&amp;B33&amp;", para continuar con el proceso de tu *"&amp;D33&amp;"* por "&amp;F33&amp;",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"&amp;B33&amp;", para continuar con el proceso de tu *"&amp;D33&amp;"* por "&amp;F33&amp;", estos son los documentos que necesitamos:"&amp;CHAR(10)&amp;CHAR(10)&amp;"- INE"&amp;CHAR(10)&amp;"- Comprobante de domicilio"&amp;CHAR(10)&amp;"- Constancia de situación fiscal (no mayor a 3 meses)","Contado|Persona física con actividad empresarial","Hola, "&amp;B33&amp;", para continuar con el proceso de tu *"&amp;D33&amp;"* por "&amp;F33&amp;", estos son los documentos que necesitamos:"&amp;CHAR(10)&amp;CHAR(10)&amp;"- INE"&amp;CHAR(10)&amp;"- Comprobante de domicilio"&amp;CHAR(10)&amp;"- Constancia de situación fiscal (no mayor a 3 meses)","Contado|Persona moral","Hola, "&amp;B33&amp;", para continuar con el proceso de tu *"&amp;D33&amp;"* por "&amp;F33&amp;",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33" s="10">
        <f>IFERROR(INDEX(Facturación!$Q:$Q,MATCH(B33,Facturación!$A:$A,0)),"")</f>
        <v/>
      </c>
    </row>
    <row r="34" ht="15" customHeight="1" s="1">
      <c r="A34" s="11">
        <f>IF(B34="","",ROW()-1)</f>
        <v/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0">
        <f>IF(OR(B34="",L34&lt;&gt;"Sí"),"","Hola, "&amp;B34&amp;", excelente día. Le saluda *Alejandro Estrada* de Toyota Corregidora."&amp;CHAR(10)&amp;"Muchas gracias por visitarnos y conocer la *"&amp;D34&amp;"*.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34" s="11">
        <f>IF(Q34="","",HYPERLINK("https://wa.me/52"&amp;C34&amp;"?text="&amp;_xlfn.ENCODEURL(Q34),"Enviar Bienvenida"))</f>
        <v/>
      </c>
      <c r="S34" s="10">
        <f>IF(B34="","","Hola, "&amp;B34&amp;", muy buen día."&amp;CHAR(10)&amp;"Espero que esté teniendo una excelente semana. Le escribo para saber si tiene alguna duda sobre la oferta del *"&amp;D34&amp;"*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34" s="11">
        <f>IF(S34="","",HYPERLINK("https://wa.me/52"&amp;C34&amp;"?text="&amp;_xlfn.ENCODEURL(S34),"Enviar Seguimiento"))</f>
        <v/>
      </c>
      <c r="U34" s="10">
        <f>IF(B34="","",_xlfn.SWITCH(M34,"Apartado","Hola, "&amp;B34&amp;", buen día. Le confirmo que su apartado por el *"&amp;D34&amp;"* quedó registrado correctamente. Seguimos con el proceso y le mantendré informado(a) de cada paso.","Toma de vehículo","Hola, "&amp;B34&amp;", le comparto que estamos en el proceso de toma de su vehículo actual. En cuanto tengamos el resultado le aviso para continuar con el siguiente paso.","Pago vehículo a cuenta","Hola, "&amp;B34&amp;", quedamos en proceso de pago del vehículo que se toma a cuenta. Cualquier documento o aclaración que se requiera se lo haré saber por este medio.","Firma de contrato","Hola, "&amp;B34&amp;", ya estamos listos para agendar la firma de su contrato. ¿Qué día y hora se le facilita para realizarla?","Facturación","Hola, "&amp;B34&amp;", su unidad ya está en proceso de facturación. En breve le comparto los datos para su confirmación.","Programación de entrega","Hola, "&amp;B34&amp;", con gusto le comparto que ya podemos programar la entrega de su *"&amp;D34&amp;"*. ¿Qué día y hora le acomodan mejor?","Entregado","Hola, "&amp;B34&amp;", ¡muchas felicidades por estrenar su *"&amp;D34&amp;"*! Fue un gusto acompañarle en este proceso. Quedo pendiente de cualquier duda y con gusto le agendo su próxima cita de servicio cuando lo necesite.","Hola, "&amp;B34&amp;", seguimos en contacto para avanzar con el proceso de su próximo Toyota.")&amp;CHAR(10)&amp;CHAR(10)&amp;Config!$B$1)</f>
        <v/>
      </c>
      <c r="V34" s="11">
        <f>IF(U34="","",HYPERLINK("https://wa.me/52"&amp;C34&amp;"?text="&amp;_xlfn.ENCODEURL(U34),"Enviar aviso de etapa"))</f>
        <v/>
      </c>
      <c r="W34" s="10">
        <f>IF(OR(B34="",O34=""),"","Hola, "&amp;B34&amp;", ¡feliz cumpleaños! Le deseo un excelente día rodeado de quienes más quiere. Ha sido un placer acompañarle desde que estrenó su Toyota. ¡Un abrazo!"&amp;CHAR(10)&amp;CHAR(10)&amp;Config!$B$1)</f>
        <v/>
      </c>
      <c r="X34" s="11">
        <f>IF(W34="","",HYPERLINK("https://wa.me/52"&amp;C34&amp;"?text="&amp;_xlfn.ENCODEURL(W34),"Enviar felicitación"))</f>
        <v/>
      </c>
      <c r="Y34" s="10">
        <f>IF(OR(B34="",P34=""),"","Hola, "&amp;B34&amp;", hoy se cumple un año más desde que estrenó su *"&amp;D34&amp;"*. Espero que haya sido un gran compañero de camino. Cualquier cosa que necesite, aquí estoy para apoyarle."&amp;CHAR(10)&amp;CHAR(10)&amp;Config!$B$1)</f>
        <v/>
      </c>
      <c r="Z34" s="11">
        <f>IF(Y34="","",HYPERLINK("https://wa.me/52"&amp;C34&amp;"?text="&amp;_xlfn.ENCODEURL(Y34),"Enviar aniversario"))</f>
        <v/>
      </c>
      <c r="AA34" s="11" t="n"/>
      <c r="AB34" s="11">
        <f>IF(OR(B34="",AA34=""),"",HYPERLINK("https://wa.me/52"&amp;C34&amp;"?text="&amp;_xlfn.ENCODEURL(_xlfn.SWITCH(AA34,"Bienvenida (primera visita)",Q34,"Seguimiento",S34,"Aviso de Etapa",U34,"Requisitos",AC34,"Datos de Facturación",AD34,"Cumpleaños",W34,"Aniversario",Y34,"")),"Enviar mensaje seleccionado"))</f>
        <v/>
      </c>
      <c r="AC34" s="10">
        <f>IF(B34="","",_xlfn.SWITCH(F34&amp;"|"&amp;G34,"Crédito|Persona física","Hola, "&amp;B34&amp;", para continuar con el proceso de tu *"&amp;D34&amp;"* por "&amp;F34&amp;",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"&amp;B34&amp;", para continuar con el proceso de tu *"&amp;D34&amp;"* por "&amp;F34&amp;",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"&amp;B34&amp;", para continuar con el proceso de tu *"&amp;D34&amp;"* por "&amp;F34&amp;",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"&amp;B34&amp;", para continuar con el proceso de tu *"&amp;D34&amp;"* por "&amp;F34&amp;", estos son los documentos que necesitamos:"&amp;CHAR(10)&amp;CHAR(10)&amp;"- INE"&amp;CHAR(10)&amp;"- Comprobante de domicilio"&amp;CHAR(10)&amp;"- Constancia de situación fiscal (no mayor a 3 meses)","Contado|Persona física con actividad empresarial","Hola, "&amp;B34&amp;", para continuar con el proceso de tu *"&amp;D34&amp;"* por "&amp;F34&amp;", estos son los documentos que necesitamos:"&amp;CHAR(10)&amp;CHAR(10)&amp;"- INE"&amp;CHAR(10)&amp;"- Comprobante de domicilio"&amp;CHAR(10)&amp;"- Constancia de situación fiscal (no mayor a 3 meses)","Contado|Persona moral","Hola, "&amp;B34&amp;", para continuar con el proceso de tu *"&amp;D34&amp;"* por "&amp;F34&amp;",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34" s="10">
        <f>IFERROR(INDEX(Facturación!$Q:$Q,MATCH(B34,Facturación!$A:$A,0)),"")</f>
        <v/>
      </c>
    </row>
    <row r="35" ht="15" customHeight="1" s="1">
      <c r="A35" s="11">
        <f>IF(B35="","",ROW()-1)</f>
        <v/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0">
        <f>IF(OR(B35="",L35&lt;&gt;"Sí"),"","Hola, "&amp;B35&amp;", excelente día. Le saluda *Alejandro Estrada* de Toyota Corregidora."&amp;CHAR(10)&amp;"Muchas gracias por visitarnos y conocer la *"&amp;D35&amp;"*.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35" s="11">
        <f>IF(Q35="","",HYPERLINK("https://wa.me/52"&amp;C35&amp;"?text="&amp;_xlfn.ENCODEURL(Q35),"Enviar Bienvenida"))</f>
        <v/>
      </c>
      <c r="S35" s="10">
        <f>IF(B35="","","Hola, "&amp;B35&amp;", muy buen día."&amp;CHAR(10)&amp;"Espero que esté teniendo una excelente semana. Le escribo para saber si tiene alguna duda sobre la oferta del *"&amp;D35&amp;"*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35" s="11">
        <f>IF(S35="","",HYPERLINK("https://wa.me/52"&amp;C35&amp;"?text="&amp;_xlfn.ENCODEURL(S35),"Enviar Seguimiento"))</f>
        <v/>
      </c>
      <c r="U35" s="10">
        <f>IF(B35="","",_xlfn.SWITCH(M35,"Apartado","Hola, "&amp;B35&amp;", buen día. Le confirmo que su apartado por el *"&amp;D35&amp;"* quedó registrado correctamente. Seguimos con el proceso y le mantendré informado(a) de cada paso.","Toma de vehículo","Hola, "&amp;B35&amp;", le comparto que estamos en el proceso de toma de su vehículo actual. En cuanto tengamos el resultado le aviso para continuar con el siguiente paso.","Pago vehículo a cuenta","Hola, "&amp;B35&amp;", quedamos en proceso de pago del vehículo que se toma a cuenta. Cualquier documento o aclaración que se requiera se lo haré saber por este medio.","Firma de contrato","Hola, "&amp;B35&amp;", ya estamos listos para agendar la firma de su contrato. ¿Qué día y hora se le facilita para realizarla?","Facturación","Hola, "&amp;B35&amp;", su unidad ya está en proceso de facturación. En breve le comparto los datos para su confirmación.","Programación de entrega","Hola, "&amp;B35&amp;", con gusto le comparto que ya podemos programar la entrega de su *"&amp;D35&amp;"*. ¿Qué día y hora le acomodan mejor?","Entregado","Hola, "&amp;B35&amp;", ¡muchas felicidades por estrenar su *"&amp;D35&amp;"*! Fue un gusto acompañarle en este proceso. Quedo pendiente de cualquier duda y con gusto le agendo su próxima cita de servicio cuando lo necesite.","Hola, "&amp;B35&amp;", seguimos en contacto para avanzar con el proceso de su próximo Toyota.")&amp;CHAR(10)&amp;CHAR(10)&amp;Config!$B$1)</f>
        <v/>
      </c>
      <c r="V35" s="11">
        <f>IF(U35="","",HYPERLINK("https://wa.me/52"&amp;C35&amp;"?text="&amp;_xlfn.ENCODEURL(U35),"Enviar aviso de etapa"))</f>
        <v/>
      </c>
      <c r="W35" s="10">
        <f>IF(OR(B35="",O35=""),"","Hola, "&amp;B35&amp;", ¡feliz cumpleaños! Le deseo un excelente día rodeado de quienes más quiere. Ha sido un placer acompañarle desde que estrenó su Toyota. ¡Un abrazo!"&amp;CHAR(10)&amp;CHAR(10)&amp;Config!$B$1)</f>
        <v/>
      </c>
      <c r="X35" s="11">
        <f>IF(W35="","",HYPERLINK("https://wa.me/52"&amp;C35&amp;"?text="&amp;_xlfn.ENCODEURL(W35),"Enviar felicitación"))</f>
        <v/>
      </c>
      <c r="Y35" s="10">
        <f>IF(OR(B35="",P35=""),"","Hola, "&amp;B35&amp;", hoy se cumple un año más desde que estrenó su *"&amp;D35&amp;"*. Espero que haya sido un gran compañero de camino. Cualquier cosa que necesite, aquí estoy para apoyarle."&amp;CHAR(10)&amp;CHAR(10)&amp;Config!$B$1)</f>
        <v/>
      </c>
      <c r="Z35" s="11">
        <f>IF(Y35="","",HYPERLINK("https://wa.me/52"&amp;C35&amp;"?text="&amp;_xlfn.ENCODEURL(Y35),"Enviar aniversario"))</f>
        <v/>
      </c>
      <c r="AA35" s="11" t="n"/>
      <c r="AB35" s="11">
        <f>IF(OR(B35="",AA35=""),"",HYPERLINK("https://wa.me/52"&amp;C35&amp;"?text="&amp;_xlfn.ENCODEURL(_xlfn.SWITCH(AA35,"Bienvenida (primera visita)",Q35,"Seguimiento",S35,"Aviso de Etapa",U35,"Requisitos",AC35,"Datos de Facturación",AD35,"Cumpleaños",W35,"Aniversario",Y35,"")),"Enviar mensaje seleccionado"))</f>
        <v/>
      </c>
      <c r="AC35" s="10">
        <f>IF(B35="","",_xlfn.SWITCH(F35&amp;"|"&amp;G35,"Crédito|Persona física","Hola, "&amp;B35&amp;", para continuar con el proceso de tu *"&amp;D35&amp;"* por "&amp;F35&amp;",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"&amp;B35&amp;", para continuar con el proceso de tu *"&amp;D35&amp;"* por "&amp;F35&amp;",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"&amp;B35&amp;", para continuar con el proceso de tu *"&amp;D35&amp;"* por "&amp;F35&amp;",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"&amp;B35&amp;", para continuar con el proceso de tu *"&amp;D35&amp;"* por "&amp;F35&amp;", estos son los documentos que necesitamos:"&amp;CHAR(10)&amp;CHAR(10)&amp;"- INE"&amp;CHAR(10)&amp;"- Comprobante de domicilio"&amp;CHAR(10)&amp;"- Constancia de situación fiscal (no mayor a 3 meses)","Contado|Persona física con actividad empresarial","Hola, "&amp;B35&amp;", para continuar con el proceso de tu *"&amp;D35&amp;"* por "&amp;F35&amp;", estos son los documentos que necesitamos:"&amp;CHAR(10)&amp;CHAR(10)&amp;"- INE"&amp;CHAR(10)&amp;"- Comprobante de domicilio"&amp;CHAR(10)&amp;"- Constancia de situación fiscal (no mayor a 3 meses)","Contado|Persona moral","Hola, "&amp;B35&amp;", para continuar con el proceso de tu *"&amp;D35&amp;"* por "&amp;F35&amp;",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35" s="10">
        <f>IFERROR(INDEX(Facturación!$Q:$Q,MATCH(B35,Facturación!$A:$A,0)),"")</f>
        <v/>
      </c>
    </row>
    <row r="36" ht="15" customHeight="1" s="1">
      <c r="A36" s="11">
        <f>IF(B36="","",ROW()-1)</f>
        <v/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0">
        <f>IF(OR(B36="",L36&lt;&gt;"Sí"),"","Hola, "&amp;B36&amp;", excelente día. Le saluda *Alejandro Estrada* de Toyota Corregidora."&amp;CHAR(10)&amp;"Muchas gracias por visitarnos y conocer la *"&amp;D36&amp;"*.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36" s="11">
        <f>IF(Q36="","",HYPERLINK("https://wa.me/52"&amp;C36&amp;"?text="&amp;_xlfn.ENCODEURL(Q36),"Enviar Bienvenida"))</f>
        <v/>
      </c>
      <c r="S36" s="10">
        <f>IF(B36="","","Hola, "&amp;B36&amp;", muy buen día."&amp;CHAR(10)&amp;"Espero que esté teniendo una excelente semana. Le escribo para saber si tiene alguna duda sobre la oferta del *"&amp;D36&amp;"*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36" s="11">
        <f>IF(S36="","",HYPERLINK("https://wa.me/52"&amp;C36&amp;"?text="&amp;_xlfn.ENCODEURL(S36),"Enviar Seguimiento"))</f>
        <v/>
      </c>
      <c r="U36" s="10">
        <f>IF(B36="","",_xlfn.SWITCH(M36,"Apartado","Hola, "&amp;B36&amp;", buen día. Le confirmo que su apartado por el *"&amp;D36&amp;"* quedó registrado correctamente. Seguimos con el proceso y le mantendré informado(a) de cada paso.","Toma de vehículo","Hola, "&amp;B36&amp;", le comparto que estamos en el proceso de toma de su vehículo actual. En cuanto tengamos el resultado le aviso para continuar con el siguiente paso.","Pago vehículo a cuenta","Hola, "&amp;B36&amp;", quedamos en proceso de pago del vehículo que se toma a cuenta. Cualquier documento o aclaración que se requiera se lo haré saber por este medio.","Firma de contrato","Hola, "&amp;B36&amp;", ya estamos listos para agendar la firma de su contrato. ¿Qué día y hora se le facilita para realizarla?","Facturación","Hola, "&amp;B36&amp;", su unidad ya está en proceso de facturación. En breve le comparto los datos para su confirmación.","Programación de entrega","Hola, "&amp;B36&amp;", con gusto le comparto que ya podemos programar la entrega de su *"&amp;D36&amp;"*. ¿Qué día y hora le acomodan mejor?","Entregado","Hola, "&amp;B36&amp;", ¡muchas felicidades por estrenar su *"&amp;D36&amp;"*! Fue un gusto acompañarle en este proceso. Quedo pendiente de cualquier duda y con gusto le agendo su próxima cita de servicio cuando lo necesite.","Hola, "&amp;B36&amp;", seguimos en contacto para avanzar con el proceso de su próximo Toyota.")&amp;CHAR(10)&amp;CHAR(10)&amp;Config!$B$1)</f>
        <v/>
      </c>
      <c r="V36" s="11">
        <f>IF(U36="","",HYPERLINK("https://wa.me/52"&amp;C36&amp;"?text="&amp;_xlfn.ENCODEURL(U36),"Enviar aviso de etapa"))</f>
        <v/>
      </c>
      <c r="W36" s="10">
        <f>IF(OR(B36="",O36=""),"","Hola, "&amp;B36&amp;", ¡feliz cumpleaños! Le deseo un excelente día rodeado de quienes más quiere. Ha sido un placer acompañarle desde que estrenó su Toyota. ¡Un abrazo!"&amp;CHAR(10)&amp;CHAR(10)&amp;Config!$B$1)</f>
        <v/>
      </c>
      <c r="X36" s="11">
        <f>IF(W36="","",HYPERLINK("https://wa.me/52"&amp;C36&amp;"?text="&amp;_xlfn.ENCODEURL(W36),"Enviar felicitación"))</f>
        <v/>
      </c>
      <c r="Y36" s="10">
        <f>IF(OR(B36="",P36=""),"","Hola, "&amp;B36&amp;", hoy se cumple un año más desde que estrenó su *"&amp;D36&amp;"*. Espero que haya sido un gran compañero de camino. Cualquier cosa que necesite, aquí estoy para apoyarle."&amp;CHAR(10)&amp;CHAR(10)&amp;Config!$B$1)</f>
        <v/>
      </c>
      <c r="Z36" s="11">
        <f>IF(Y36="","",HYPERLINK("https://wa.me/52"&amp;C36&amp;"?text="&amp;_xlfn.ENCODEURL(Y36),"Enviar aniversario"))</f>
        <v/>
      </c>
      <c r="AA36" s="11" t="n"/>
      <c r="AB36" s="11">
        <f>IF(OR(B36="",AA36=""),"",HYPERLINK("https://wa.me/52"&amp;C36&amp;"?text="&amp;_xlfn.ENCODEURL(_xlfn.SWITCH(AA36,"Bienvenida (primera visita)",Q36,"Seguimiento",S36,"Aviso de Etapa",U36,"Requisitos",AC36,"Datos de Facturación",AD36,"Cumpleaños",W36,"Aniversario",Y36,"")),"Enviar mensaje seleccionado"))</f>
        <v/>
      </c>
      <c r="AC36" s="10">
        <f>IF(B36="","",_xlfn.SWITCH(F36&amp;"|"&amp;G36,"Crédito|Persona física","Hola, "&amp;B36&amp;", para continuar con el proceso de tu *"&amp;D36&amp;"* por "&amp;F36&amp;",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"&amp;B36&amp;", para continuar con el proceso de tu *"&amp;D36&amp;"* por "&amp;F36&amp;",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"&amp;B36&amp;", para continuar con el proceso de tu *"&amp;D36&amp;"* por "&amp;F36&amp;",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"&amp;B36&amp;", para continuar con el proceso de tu *"&amp;D36&amp;"* por "&amp;F36&amp;", estos son los documentos que necesitamos:"&amp;CHAR(10)&amp;CHAR(10)&amp;"- INE"&amp;CHAR(10)&amp;"- Comprobante de domicilio"&amp;CHAR(10)&amp;"- Constancia de situación fiscal (no mayor a 3 meses)","Contado|Persona física con actividad empresarial","Hola, "&amp;B36&amp;", para continuar con el proceso de tu *"&amp;D36&amp;"* por "&amp;F36&amp;", estos son los documentos que necesitamos:"&amp;CHAR(10)&amp;CHAR(10)&amp;"- INE"&amp;CHAR(10)&amp;"- Comprobante de domicilio"&amp;CHAR(10)&amp;"- Constancia de situación fiscal (no mayor a 3 meses)","Contado|Persona moral","Hola, "&amp;B36&amp;", para continuar con el proceso de tu *"&amp;D36&amp;"* por "&amp;F36&amp;",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36" s="10">
        <f>IFERROR(INDEX(Facturación!$Q:$Q,MATCH(B36,Facturación!$A:$A,0)),"")</f>
        <v/>
      </c>
    </row>
    <row r="37" ht="15" customHeight="1" s="1">
      <c r="A37" s="11">
        <f>IF(B37="","",ROW()-1)</f>
        <v/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0">
        <f>IF(OR(B37="",L37&lt;&gt;"Sí"),"","Hola, "&amp;B37&amp;", excelente día. Le saluda *Alejandro Estrada* de Toyota Corregidora."&amp;CHAR(10)&amp;"Muchas gracias por visitarnos y conocer la *"&amp;D37&amp;"*.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37" s="11">
        <f>IF(Q37="","",HYPERLINK("https://wa.me/52"&amp;C37&amp;"?text="&amp;_xlfn.ENCODEURL(Q37),"Enviar Bienvenida"))</f>
        <v/>
      </c>
      <c r="S37" s="10">
        <f>IF(B37="","","Hola, "&amp;B37&amp;", muy buen día."&amp;CHAR(10)&amp;"Espero que esté teniendo una excelente semana. Le escribo para saber si tiene alguna duda sobre la oferta del *"&amp;D37&amp;"*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37" s="11">
        <f>IF(S37="","",HYPERLINK("https://wa.me/52"&amp;C37&amp;"?text="&amp;_xlfn.ENCODEURL(S37),"Enviar Seguimiento"))</f>
        <v/>
      </c>
      <c r="U37" s="10">
        <f>IF(B37="","",_xlfn.SWITCH(M37,"Apartado","Hola, "&amp;B37&amp;", buen día. Le confirmo que su apartado por el *"&amp;D37&amp;"* quedó registrado correctamente. Seguimos con el proceso y le mantendré informado(a) de cada paso.","Toma de vehículo","Hola, "&amp;B37&amp;", le comparto que estamos en el proceso de toma de su vehículo actual. En cuanto tengamos el resultado le aviso para continuar con el siguiente paso.","Pago vehículo a cuenta","Hola, "&amp;B37&amp;", quedamos en proceso de pago del vehículo que se toma a cuenta. Cualquier documento o aclaración que se requiera se lo haré saber por este medio.","Firma de contrato","Hola, "&amp;B37&amp;", ya estamos listos para agendar la firma de su contrato. ¿Qué día y hora se le facilita para realizarla?","Facturación","Hola, "&amp;B37&amp;", su unidad ya está en proceso de facturación. En breve le comparto los datos para su confirmación.","Programación de entrega","Hola, "&amp;B37&amp;", con gusto le comparto que ya podemos programar la entrega de su *"&amp;D37&amp;"*. ¿Qué día y hora le acomodan mejor?","Entregado","Hola, "&amp;B37&amp;", ¡muchas felicidades por estrenar su *"&amp;D37&amp;"*! Fue un gusto acompañarle en este proceso. Quedo pendiente de cualquier duda y con gusto le agendo su próxima cita de servicio cuando lo necesite.","Hola, "&amp;B37&amp;", seguimos en contacto para avanzar con el proceso de su próximo Toyota.")&amp;CHAR(10)&amp;CHAR(10)&amp;Config!$B$1)</f>
        <v/>
      </c>
      <c r="V37" s="11">
        <f>IF(U37="","",HYPERLINK("https://wa.me/52"&amp;C37&amp;"?text="&amp;_xlfn.ENCODEURL(U37),"Enviar aviso de etapa"))</f>
        <v/>
      </c>
      <c r="W37" s="10">
        <f>IF(OR(B37="",O37=""),"","Hola, "&amp;B37&amp;", ¡feliz cumpleaños! Le deseo un excelente día rodeado de quienes más quiere. Ha sido un placer acompañarle desde que estrenó su Toyota. ¡Un abrazo!"&amp;CHAR(10)&amp;CHAR(10)&amp;Config!$B$1)</f>
        <v/>
      </c>
      <c r="X37" s="11">
        <f>IF(W37="","",HYPERLINK("https://wa.me/52"&amp;C37&amp;"?text="&amp;_xlfn.ENCODEURL(W37),"Enviar felicitación"))</f>
        <v/>
      </c>
      <c r="Y37" s="10">
        <f>IF(OR(B37="",P37=""),"","Hola, "&amp;B37&amp;", hoy se cumple un año más desde que estrenó su *"&amp;D37&amp;"*. Espero que haya sido un gran compañero de camino. Cualquier cosa que necesite, aquí estoy para apoyarle."&amp;CHAR(10)&amp;CHAR(10)&amp;Config!$B$1)</f>
        <v/>
      </c>
      <c r="Z37" s="11">
        <f>IF(Y37="","",HYPERLINK("https://wa.me/52"&amp;C37&amp;"?text="&amp;_xlfn.ENCODEURL(Y37),"Enviar aniversario"))</f>
        <v/>
      </c>
      <c r="AA37" s="11" t="n"/>
      <c r="AB37" s="11">
        <f>IF(OR(B37="",AA37=""),"",HYPERLINK("https://wa.me/52"&amp;C37&amp;"?text="&amp;_xlfn.ENCODEURL(_xlfn.SWITCH(AA37,"Bienvenida (primera visita)",Q37,"Seguimiento",S37,"Aviso de Etapa",U37,"Requisitos",AC37,"Datos de Facturación",AD37,"Cumpleaños",W37,"Aniversario",Y37,"")),"Enviar mensaje seleccionado"))</f>
        <v/>
      </c>
      <c r="AC37" s="10">
        <f>IF(B37="","",_xlfn.SWITCH(F37&amp;"|"&amp;G37,"Crédito|Persona física","Hola, "&amp;B37&amp;", para continuar con el proceso de tu *"&amp;D37&amp;"* por "&amp;F37&amp;",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"&amp;B37&amp;", para continuar con el proceso de tu *"&amp;D37&amp;"* por "&amp;F37&amp;",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"&amp;B37&amp;", para continuar con el proceso de tu *"&amp;D37&amp;"* por "&amp;F37&amp;",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"&amp;B37&amp;", para continuar con el proceso de tu *"&amp;D37&amp;"* por "&amp;F37&amp;", estos son los documentos que necesitamos:"&amp;CHAR(10)&amp;CHAR(10)&amp;"- INE"&amp;CHAR(10)&amp;"- Comprobante de domicilio"&amp;CHAR(10)&amp;"- Constancia de situación fiscal (no mayor a 3 meses)","Contado|Persona física con actividad empresarial","Hola, "&amp;B37&amp;", para continuar con el proceso de tu *"&amp;D37&amp;"* por "&amp;F37&amp;", estos son los documentos que necesitamos:"&amp;CHAR(10)&amp;CHAR(10)&amp;"- INE"&amp;CHAR(10)&amp;"- Comprobante de domicilio"&amp;CHAR(10)&amp;"- Constancia de situación fiscal (no mayor a 3 meses)","Contado|Persona moral","Hola, "&amp;B37&amp;", para continuar con el proceso de tu *"&amp;D37&amp;"* por "&amp;F37&amp;",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37" s="10">
        <f>IFERROR(INDEX(Facturación!$Q:$Q,MATCH(B37,Facturación!$A:$A,0)),"")</f>
        <v/>
      </c>
    </row>
    <row r="38" ht="15" customHeight="1" s="1">
      <c r="A38" s="11">
        <f>IF(B38="","",ROW()-1)</f>
        <v/>
      </c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0">
        <f>IF(OR(B38="",L38&lt;&gt;"Sí"),"","Hola, "&amp;B38&amp;", excelente día. Le saluda *Alejandro Estrada* de Toyota Corregidora."&amp;CHAR(10)&amp;"Muchas gracias por visitarnos y conocer la *"&amp;D38&amp;"*.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38" s="11">
        <f>IF(Q38="","",HYPERLINK("https://wa.me/52"&amp;C38&amp;"?text="&amp;_xlfn.ENCODEURL(Q38),"Enviar Bienvenida"))</f>
        <v/>
      </c>
      <c r="S38" s="10">
        <f>IF(B38="","","Hola, "&amp;B38&amp;", muy buen día."&amp;CHAR(10)&amp;"Espero que esté teniendo una excelente semana. Le escribo para saber si tiene alguna duda sobre la oferta del *"&amp;D38&amp;"*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38" s="11">
        <f>IF(S38="","",HYPERLINK("https://wa.me/52"&amp;C38&amp;"?text="&amp;_xlfn.ENCODEURL(S38),"Enviar Seguimiento"))</f>
        <v/>
      </c>
      <c r="U38" s="10">
        <f>IF(B38="","",_xlfn.SWITCH(M38,"Apartado","Hola, "&amp;B38&amp;", buen día. Le confirmo que su apartado por el *"&amp;D38&amp;"* quedó registrado correctamente. Seguimos con el proceso y le mantendré informado(a) de cada paso.","Toma de vehículo","Hola, "&amp;B38&amp;", le comparto que estamos en el proceso de toma de su vehículo actual. En cuanto tengamos el resultado le aviso para continuar con el siguiente paso.","Pago vehículo a cuenta","Hola, "&amp;B38&amp;", quedamos en proceso de pago del vehículo que se toma a cuenta. Cualquier documento o aclaración que se requiera se lo haré saber por este medio.","Firma de contrato","Hola, "&amp;B38&amp;", ya estamos listos para agendar la firma de su contrato. ¿Qué día y hora se le facilita para realizarla?","Facturación","Hola, "&amp;B38&amp;", su unidad ya está en proceso de facturación. En breve le comparto los datos para su confirmación.","Programación de entrega","Hola, "&amp;B38&amp;", con gusto le comparto que ya podemos programar la entrega de su *"&amp;D38&amp;"*. ¿Qué día y hora le acomodan mejor?","Entregado","Hola, "&amp;B38&amp;", ¡muchas felicidades por estrenar su *"&amp;D38&amp;"*! Fue un gusto acompañarle en este proceso. Quedo pendiente de cualquier duda y con gusto le agendo su próxima cita de servicio cuando lo necesite.","Hola, "&amp;B38&amp;", seguimos en contacto para avanzar con el proceso de su próximo Toyota.")&amp;CHAR(10)&amp;CHAR(10)&amp;Config!$B$1)</f>
        <v/>
      </c>
      <c r="V38" s="11">
        <f>IF(U38="","",HYPERLINK("https://wa.me/52"&amp;C38&amp;"?text="&amp;_xlfn.ENCODEURL(U38),"Enviar aviso de etapa"))</f>
        <v/>
      </c>
      <c r="W38" s="10">
        <f>IF(OR(B38="",O38=""),"","Hola, "&amp;B38&amp;", ¡feliz cumpleaños! Le deseo un excelente día rodeado de quienes más quiere. Ha sido un placer acompañarle desde que estrenó su Toyota. ¡Un abrazo!"&amp;CHAR(10)&amp;CHAR(10)&amp;Config!$B$1)</f>
        <v/>
      </c>
      <c r="X38" s="11">
        <f>IF(W38="","",HYPERLINK("https://wa.me/52"&amp;C38&amp;"?text="&amp;_xlfn.ENCODEURL(W38),"Enviar felicitación"))</f>
        <v/>
      </c>
      <c r="Y38" s="10">
        <f>IF(OR(B38="",P38=""),"","Hola, "&amp;B38&amp;", hoy se cumple un año más desde que estrenó su *"&amp;D38&amp;"*. Espero que haya sido un gran compañero de camino. Cualquier cosa que necesite, aquí estoy para apoyarle."&amp;CHAR(10)&amp;CHAR(10)&amp;Config!$B$1)</f>
        <v/>
      </c>
      <c r="Z38" s="11">
        <f>IF(Y38="","",HYPERLINK("https://wa.me/52"&amp;C38&amp;"?text="&amp;_xlfn.ENCODEURL(Y38),"Enviar aniversario"))</f>
        <v/>
      </c>
      <c r="AA38" s="11" t="n"/>
      <c r="AB38" s="11">
        <f>IF(OR(B38="",AA38=""),"",HYPERLINK("https://wa.me/52"&amp;C38&amp;"?text="&amp;_xlfn.ENCODEURL(_xlfn.SWITCH(AA38,"Bienvenida (primera visita)",Q38,"Seguimiento",S38,"Aviso de Etapa",U38,"Requisitos",AC38,"Datos de Facturación",AD38,"Cumpleaños",W38,"Aniversario",Y38,"")),"Enviar mensaje seleccionado"))</f>
        <v/>
      </c>
      <c r="AC38" s="10">
        <f>IF(B38="","",_xlfn.SWITCH(F38&amp;"|"&amp;G38,"Crédito|Persona física","Hola, "&amp;B38&amp;", para continuar con el proceso de tu *"&amp;D38&amp;"* por "&amp;F38&amp;",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"&amp;B38&amp;", para continuar con el proceso de tu *"&amp;D38&amp;"* por "&amp;F38&amp;",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"&amp;B38&amp;", para continuar con el proceso de tu *"&amp;D38&amp;"* por "&amp;F38&amp;",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"&amp;B38&amp;", para continuar con el proceso de tu *"&amp;D38&amp;"* por "&amp;F38&amp;", estos son los documentos que necesitamos:"&amp;CHAR(10)&amp;CHAR(10)&amp;"- INE"&amp;CHAR(10)&amp;"- Comprobante de domicilio"&amp;CHAR(10)&amp;"- Constancia de situación fiscal (no mayor a 3 meses)","Contado|Persona física con actividad empresarial","Hola, "&amp;B38&amp;", para continuar con el proceso de tu *"&amp;D38&amp;"* por "&amp;F38&amp;", estos son los documentos que necesitamos:"&amp;CHAR(10)&amp;CHAR(10)&amp;"- INE"&amp;CHAR(10)&amp;"- Comprobante de domicilio"&amp;CHAR(10)&amp;"- Constancia de situación fiscal (no mayor a 3 meses)","Contado|Persona moral","Hola, "&amp;B38&amp;", para continuar con el proceso de tu *"&amp;D38&amp;"* por "&amp;F38&amp;",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38" s="10">
        <f>IFERROR(INDEX(Facturación!$Q:$Q,MATCH(B38,Facturación!$A:$A,0)),"")</f>
        <v/>
      </c>
    </row>
    <row r="39" ht="15" customHeight="1" s="1">
      <c r="A39" s="11">
        <f>IF(B39="","",ROW()-1)</f>
        <v/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0">
        <f>IF(OR(B39="",L39&lt;&gt;"Sí"),"","Hola, "&amp;B39&amp;", excelente día. Le saluda *Alejandro Estrada* de Toyota Corregidora."&amp;CHAR(10)&amp;"Muchas gracias por visitarnos y conocer la *"&amp;D39&amp;"*.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39" s="11">
        <f>IF(Q39="","",HYPERLINK("https://wa.me/52"&amp;C39&amp;"?text="&amp;_xlfn.ENCODEURL(Q39),"Enviar Bienvenida"))</f>
        <v/>
      </c>
      <c r="S39" s="10">
        <f>IF(B39="","","Hola, "&amp;B39&amp;", muy buen día."&amp;CHAR(10)&amp;"Espero que esté teniendo una excelente semana. Le escribo para saber si tiene alguna duda sobre la oferta del *"&amp;D39&amp;"*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39" s="11">
        <f>IF(S39="","",HYPERLINK("https://wa.me/52"&amp;C39&amp;"?text="&amp;_xlfn.ENCODEURL(S39),"Enviar Seguimiento"))</f>
        <v/>
      </c>
      <c r="U39" s="10">
        <f>IF(B39="","",_xlfn.SWITCH(M39,"Apartado","Hola, "&amp;B39&amp;", buen día. Le confirmo que su apartado por el *"&amp;D39&amp;"* quedó registrado correctamente. Seguimos con el proceso y le mantendré informado(a) de cada paso.","Toma de vehículo","Hola, "&amp;B39&amp;", le comparto que estamos en el proceso de toma de su vehículo actual. En cuanto tengamos el resultado le aviso para continuar con el siguiente paso.","Pago vehículo a cuenta","Hola, "&amp;B39&amp;", quedamos en proceso de pago del vehículo que se toma a cuenta. Cualquier documento o aclaración que se requiera se lo haré saber por este medio.","Firma de contrato","Hola, "&amp;B39&amp;", ya estamos listos para agendar la firma de su contrato. ¿Qué día y hora se le facilita para realizarla?","Facturación","Hola, "&amp;B39&amp;", su unidad ya está en proceso de facturación. En breve le comparto los datos para su confirmación.","Programación de entrega","Hola, "&amp;B39&amp;", con gusto le comparto que ya podemos programar la entrega de su *"&amp;D39&amp;"*. ¿Qué día y hora le acomodan mejor?","Entregado","Hola, "&amp;B39&amp;", ¡muchas felicidades por estrenar su *"&amp;D39&amp;"*! Fue un gusto acompañarle en este proceso. Quedo pendiente de cualquier duda y con gusto le agendo su próxima cita de servicio cuando lo necesite.","Hola, "&amp;B39&amp;", seguimos en contacto para avanzar con el proceso de su próximo Toyota.")&amp;CHAR(10)&amp;CHAR(10)&amp;Config!$B$1)</f>
        <v/>
      </c>
      <c r="V39" s="11">
        <f>IF(U39="","",HYPERLINK("https://wa.me/52"&amp;C39&amp;"?text="&amp;_xlfn.ENCODEURL(U39),"Enviar aviso de etapa"))</f>
        <v/>
      </c>
      <c r="W39" s="10">
        <f>IF(OR(B39="",O39=""),"","Hola, "&amp;B39&amp;", ¡feliz cumpleaños! Le deseo un excelente día rodeado de quienes más quiere. Ha sido un placer acompañarle desde que estrenó su Toyota. ¡Un abrazo!"&amp;CHAR(10)&amp;CHAR(10)&amp;Config!$B$1)</f>
        <v/>
      </c>
      <c r="X39" s="11">
        <f>IF(W39="","",HYPERLINK("https://wa.me/52"&amp;C39&amp;"?text="&amp;_xlfn.ENCODEURL(W39),"Enviar felicitación"))</f>
        <v/>
      </c>
      <c r="Y39" s="10">
        <f>IF(OR(B39="",P39=""),"","Hola, "&amp;B39&amp;", hoy se cumple un año más desde que estrenó su *"&amp;D39&amp;"*. Espero que haya sido un gran compañero de camino. Cualquier cosa que necesite, aquí estoy para apoyarle."&amp;CHAR(10)&amp;CHAR(10)&amp;Config!$B$1)</f>
        <v/>
      </c>
      <c r="Z39" s="11">
        <f>IF(Y39="","",HYPERLINK("https://wa.me/52"&amp;C39&amp;"?text="&amp;_xlfn.ENCODEURL(Y39),"Enviar aniversario"))</f>
        <v/>
      </c>
      <c r="AA39" s="11" t="n"/>
      <c r="AB39" s="11">
        <f>IF(OR(B39="",AA39=""),"",HYPERLINK("https://wa.me/52"&amp;C39&amp;"?text="&amp;_xlfn.ENCODEURL(_xlfn.SWITCH(AA39,"Bienvenida (primera visita)",Q39,"Seguimiento",S39,"Aviso de Etapa",U39,"Requisitos",AC39,"Datos de Facturación",AD39,"Cumpleaños",W39,"Aniversario",Y39,"")),"Enviar mensaje seleccionado"))</f>
        <v/>
      </c>
      <c r="AC39" s="10">
        <f>IF(B39="","",_xlfn.SWITCH(F39&amp;"|"&amp;G39,"Crédito|Persona física","Hola, "&amp;B39&amp;", para continuar con el proceso de tu *"&amp;D39&amp;"* por "&amp;F39&amp;",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"&amp;B39&amp;", para continuar con el proceso de tu *"&amp;D39&amp;"* por "&amp;F39&amp;",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"&amp;B39&amp;", para continuar con el proceso de tu *"&amp;D39&amp;"* por "&amp;F39&amp;",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"&amp;B39&amp;", para continuar con el proceso de tu *"&amp;D39&amp;"* por "&amp;F39&amp;", estos son los documentos que necesitamos:"&amp;CHAR(10)&amp;CHAR(10)&amp;"- INE"&amp;CHAR(10)&amp;"- Comprobante de domicilio"&amp;CHAR(10)&amp;"- Constancia de situación fiscal (no mayor a 3 meses)","Contado|Persona física con actividad empresarial","Hola, "&amp;B39&amp;", para continuar con el proceso de tu *"&amp;D39&amp;"* por "&amp;F39&amp;", estos son los documentos que necesitamos:"&amp;CHAR(10)&amp;CHAR(10)&amp;"- INE"&amp;CHAR(10)&amp;"- Comprobante de domicilio"&amp;CHAR(10)&amp;"- Constancia de situación fiscal (no mayor a 3 meses)","Contado|Persona moral","Hola, "&amp;B39&amp;", para continuar con el proceso de tu *"&amp;D39&amp;"* por "&amp;F39&amp;",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39" s="10">
        <f>IFERROR(INDEX(Facturación!$Q:$Q,MATCH(B39,Facturación!$A:$A,0)),"")</f>
        <v/>
      </c>
    </row>
    <row r="40" ht="15" customHeight="1" s="1">
      <c r="A40" s="11">
        <f>IF(B40="","",ROW()-1)</f>
        <v/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0">
        <f>IF(OR(B40="",L40&lt;&gt;"Sí"),"","Hola, "&amp;B40&amp;", excelente día. Le saluda *Alejandro Estrada* de Toyota Corregidora."&amp;CHAR(10)&amp;"Muchas gracias por visitarnos y conocer la *"&amp;D40&amp;"*.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40" s="11">
        <f>IF(Q40="","",HYPERLINK("https://wa.me/52"&amp;C40&amp;"?text="&amp;_xlfn.ENCODEURL(Q40),"Enviar Bienvenida"))</f>
        <v/>
      </c>
      <c r="S40" s="10">
        <f>IF(B40="","","Hola, "&amp;B40&amp;", muy buen día."&amp;CHAR(10)&amp;"Espero que esté teniendo una excelente semana. Le escribo para saber si tiene alguna duda sobre la oferta del *"&amp;D40&amp;"*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40" s="11">
        <f>IF(S40="","",HYPERLINK("https://wa.me/52"&amp;C40&amp;"?text="&amp;_xlfn.ENCODEURL(S40),"Enviar Seguimiento"))</f>
        <v/>
      </c>
      <c r="U40" s="10">
        <f>IF(B40="","",_xlfn.SWITCH(M40,"Apartado","Hola, "&amp;B40&amp;", buen día. Le confirmo que su apartado por el *"&amp;D40&amp;"* quedó registrado correctamente. Seguimos con el proceso y le mantendré informado(a) de cada paso.","Toma de vehículo","Hola, "&amp;B40&amp;", le comparto que estamos en el proceso de toma de su vehículo actual. En cuanto tengamos el resultado le aviso para continuar con el siguiente paso.","Pago vehículo a cuenta","Hola, "&amp;B40&amp;", quedamos en proceso de pago del vehículo que se toma a cuenta. Cualquier documento o aclaración que se requiera se lo haré saber por este medio.","Firma de contrato","Hola, "&amp;B40&amp;", ya estamos listos para agendar la firma de su contrato. ¿Qué día y hora se le facilita para realizarla?","Facturación","Hola, "&amp;B40&amp;", su unidad ya está en proceso de facturación. En breve le comparto los datos para su confirmación.","Programación de entrega","Hola, "&amp;B40&amp;", con gusto le comparto que ya podemos programar la entrega de su *"&amp;D40&amp;"*. ¿Qué día y hora le acomodan mejor?","Entregado","Hola, "&amp;B40&amp;", ¡muchas felicidades por estrenar su *"&amp;D40&amp;"*! Fue un gusto acompañarle en este proceso. Quedo pendiente de cualquier duda y con gusto le agendo su próxima cita de servicio cuando lo necesite.","Hola, "&amp;B40&amp;", seguimos en contacto para avanzar con el proceso de su próximo Toyota.")&amp;CHAR(10)&amp;CHAR(10)&amp;Config!$B$1)</f>
        <v/>
      </c>
      <c r="V40" s="11">
        <f>IF(U40="","",HYPERLINK("https://wa.me/52"&amp;C40&amp;"?text="&amp;_xlfn.ENCODEURL(U40),"Enviar aviso de etapa"))</f>
        <v/>
      </c>
      <c r="W40" s="10">
        <f>IF(OR(B40="",O40=""),"","Hola, "&amp;B40&amp;", ¡feliz cumpleaños! Le deseo un excelente día rodeado de quienes más quiere. Ha sido un placer acompañarle desde que estrenó su Toyota. ¡Un abrazo!"&amp;CHAR(10)&amp;CHAR(10)&amp;Config!$B$1)</f>
        <v/>
      </c>
      <c r="X40" s="11">
        <f>IF(W40="","",HYPERLINK("https://wa.me/52"&amp;C40&amp;"?text="&amp;_xlfn.ENCODEURL(W40),"Enviar felicitación"))</f>
        <v/>
      </c>
      <c r="Y40" s="10">
        <f>IF(OR(B40="",P40=""),"","Hola, "&amp;B40&amp;", hoy se cumple un año más desde que estrenó su *"&amp;D40&amp;"*. Espero que haya sido un gran compañero de camino. Cualquier cosa que necesite, aquí estoy para apoyarle."&amp;CHAR(10)&amp;CHAR(10)&amp;Config!$B$1)</f>
        <v/>
      </c>
      <c r="Z40" s="11">
        <f>IF(Y40="","",HYPERLINK("https://wa.me/52"&amp;C40&amp;"?text="&amp;_xlfn.ENCODEURL(Y40),"Enviar aniversario"))</f>
        <v/>
      </c>
      <c r="AA40" s="11" t="n"/>
      <c r="AB40" s="11">
        <f>IF(OR(B40="",AA40=""),"",HYPERLINK("https://wa.me/52"&amp;C40&amp;"?text="&amp;_xlfn.ENCODEURL(_xlfn.SWITCH(AA40,"Bienvenida (primera visita)",Q40,"Seguimiento",S40,"Aviso de Etapa",U40,"Requisitos",AC40,"Datos de Facturación",AD40,"Cumpleaños",W40,"Aniversario",Y40,"")),"Enviar mensaje seleccionado"))</f>
        <v/>
      </c>
      <c r="AC40" s="10">
        <f>IF(B40="","",_xlfn.SWITCH(F40&amp;"|"&amp;G40,"Crédito|Persona física","Hola, "&amp;B40&amp;", para continuar con el proceso de tu *"&amp;D40&amp;"* por "&amp;F40&amp;",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"&amp;B40&amp;", para continuar con el proceso de tu *"&amp;D40&amp;"* por "&amp;F40&amp;",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"&amp;B40&amp;", para continuar con el proceso de tu *"&amp;D40&amp;"* por "&amp;F40&amp;",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"&amp;B40&amp;", para continuar con el proceso de tu *"&amp;D40&amp;"* por "&amp;F40&amp;", estos son los documentos que necesitamos:"&amp;CHAR(10)&amp;CHAR(10)&amp;"- INE"&amp;CHAR(10)&amp;"- Comprobante de domicilio"&amp;CHAR(10)&amp;"- Constancia de situación fiscal (no mayor a 3 meses)","Contado|Persona física con actividad empresarial","Hola, "&amp;B40&amp;", para continuar con el proceso de tu *"&amp;D40&amp;"* por "&amp;F40&amp;", estos son los documentos que necesitamos:"&amp;CHAR(10)&amp;CHAR(10)&amp;"- INE"&amp;CHAR(10)&amp;"- Comprobante de domicilio"&amp;CHAR(10)&amp;"- Constancia de situación fiscal (no mayor a 3 meses)","Contado|Persona moral","Hola, "&amp;B40&amp;", para continuar con el proceso de tu *"&amp;D40&amp;"* por "&amp;F40&amp;",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40" s="10">
        <f>IFERROR(INDEX(Facturación!$Q:$Q,MATCH(B40,Facturación!$A:$A,0)),"")</f>
        <v/>
      </c>
    </row>
    <row r="41" ht="15" customHeight="1" s="1">
      <c r="A41" s="11">
        <f>IF(B41="","",ROW()-1)</f>
        <v/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0">
        <f>IF(OR(B41="",L41&lt;&gt;"Sí"),"","Hola, "&amp;B41&amp;", excelente día. Le saluda *Alejandro Estrada* de Toyota Corregidora."&amp;CHAR(10)&amp;"Muchas gracias por visitarnos y conocer la *"&amp;D41&amp;"*.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41" s="11">
        <f>IF(Q41="","",HYPERLINK("https://wa.me/52"&amp;C41&amp;"?text="&amp;_xlfn.ENCODEURL(Q41),"Enviar Bienvenida"))</f>
        <v/>
      </c>
      <c r="S41" s="10">
        <f>IF(B41="","","Hola, "&amp;B41&amp;", muy buen día."&amp;CHAR(10)&amp;"Espero que esté teniendo una excelente semana. Le escribo para saber si tiene alguna duda sobre la oferta del *"&amp;D41&amp;"*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41" s="11">
        <f>IF(S41="","",HYPERLINK("https://wa.me/52"&amp;C41&amp;"?text="&amp;_xlfn.ENCODEURL(S41),"Enviar Seguimiento"))</f>
        <v/>
      </c>
      <c r="U41" s="10">
        <f>IF(B41="","",_xlfn.SWITCH(M41,"Apartado","Hola, "&amp;B41&amp;", buen día. Le confirmo que su apartado por el *"&amp;D41&amp;"* quedó registrado correctamente. Seguimos con el proceso y le mantendré informado(a) de cada paso.","Toma de vehículo","Hola, "&amp;B41&amp;", le comparto que estamos en el proceso de toma de su vehículo actual. En cuanto tengamos el resultado le aviso para continuar con el siguiente paso.","Pago vehículo a cuenta","Hola, "&amp;B41&amp;", quedamos en proceso de pago del vehículo que se toma a cuenta. Cualquier documento o aclaración que se requiera se lo haré saber por este medio.","Firma de contrato","Hola, "&amp;B41&amp;", ya estamos listos para agendar la firma de su contrato. ¿Qué día y hora se le facilita para realizarla?","Facturación","Hola, "&amp;B41&amp;", su unidad ya está en proceso de facturación. En breve le comparto los datos para su confirmación.","Programación de entrega","Hola, "&amp;B41&amp;", con gusto le comparto que ya podemos programar la entrega de su *"&amp;D41&amp;"*. ¿Qué día y hora le acomodan mejor?","Entregado","Hola, "&amp;B41&amp;", ¡muchas felicidades por estrenar su *"&amp;D41&amp;"*! Fue un gusto acompañarle en este proceso. Quedo pendiente de cualquier duda y con gusto le agendo su próxima cita de servicio cuando lo necesite.","Hola, "&amp;B41&amp;", seguimos en contacto para avanzar con el proceso de su próximo Toyota.")&amp;CHAR(10)&amp;CHAR(10)&amp;Config!$B$1)</f>
        <v/>
      </c>
      <c r="V41" s="11">
        <f>IF(U41="","",HYPERLINK("https://wa.me/52"&amp;C41&amp;"?text="&amp;_xlfn.ENCODEURL(U41),"Enviar aviso de etapa"))</f>
        <v/>
      </c>
      <c r="W41" s="10">
        <f>IF(OR(B41="",O41=""),"","Hola, "&amp;B41&amp;", ¡feliz cumpleaños! Le deseo un excelente día rodeado de quienes más quiere. Ha sido un placer acompañarle desde que estrenó su Toyota. ¡Un abrazo!"&amp;CHAR(10)&amp;CHAR(10)&amp;Config!$B$1)</f>
        <v/>
      </c>
      <c r="X41" s="11">
        <f>IF(W41="","",HYPERLINK("https://wa.me/52"&amp;C41&amp;"?text="&amp;_xlfn.ENCODEURL(W41),"Enviar felicitación"))</f>
        <v/>
      </c>
      <c r="Y41" s="10">
        <f>IF(OR(B41="",P41=""),"","Hola, "&amp;B41&amp;", hoy se cumple un año más desde que estrenó su *"&amp;D41&amp;"*. Espero que haya sido un gran compañero de camino. Cualquier cosa que necesite, aquí estoy para apoyarle."&amp;CHAR(10)&amp;CHAR(10)&amp;Config!$B$1)</f>
        <v/>
      </c>
      <c r="Z41" s="11">
        <f>IF(Y41="","",HYPERLINK("https://wa.me/52"&amp;C41&amp;"?text="&amp;_xlfn.ENCODEURL(Y41),"Enviar aniversario"))</f>
        <v/>
      </c>
      <c r="AA41" s="11" t="n"/>
      <c r="AB41" s="11">
        <f>IF(OR(B41="",AA41=""),"",HYPERLINK("https://wa.me/52"&amp;C41&amp;"?text="&amp;_xlfn.ENCODEURL(_xlfn.SWITCH(AA41,"Bienvenida (primera visita)",Q41,"Seguimiento",S41,"Aviso de Etapa",U41,"Requisitos",AC41,"Datos de Facturación",AD41,"Cumpleaños",W41,"Aniversario",Y41,"")),"Enviar mensaje seleccionado"))</f>
        <v/>
      </c>
      <c r="AC41" s="10">
        <f>IF(B41="","",_xlfn.SWITCH(F41&amp;"|"&amp;G41,"Crédito|Persona física","Hola, "&amp;B41&amp;", para continuar con el proceso de tu *"&amp;D41&amp;"* por "&amp;F41&amp;",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"&amp;B41&amp;", para continuar con el proceso de tu *"&amp;D41&amp;"* por "&amp;F41&amp;",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"&amp;B41&amp;", para continuar con el proceso de tu *"&amp;D41&amp;"* por "&amp;F41&amp;",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"&amp;B41&amp;", para continuar con el proceso de tu *"&amp;D41&amp;"* por "&amp;F41&amp;", estos son los documentos que necesitamos:"&amp;CHAR(10)&amp;CHAR(10)&amp;"- INE"&amp;CHAR(10)&amp;"- Comprobante de domicilio"&amp;CHAR(10)&amp;"- Constancia de situación fiscal (no mayor a 3 meses)","Contado|Persona física con actividad empresarial","Hola, "&amp;B41&amp;", para continuar con el proceso de tu *"&amp;D41&amp;"* por "&amp;F41&amp;", estos son los documentos que necesitamos:"&amp;CHAR(10)&amp;CHAR(10)&amp;"- INE"&amp;CHAR(10)&amp;"- Comprobante de domicilio"&amp;CHAR(10)&amp;"- Constancia de situación fiscal (no mayor a 3 meses)","Contado|Persona moral","Hola, "&amp;B41&amp;", para continuar con el proceso de tu *"&amp;D41&amp;"* por "&amp;F41&amp;",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41" s="10">
        <f>IFERROR(INDEX(Facturación!$Q:$Q,MATCH(B41,Facturación!$A:$A,0)),"")</f>
        <v/>
      </c>
    </row>
    <row r="42" ht="15" customHeight="1" s="1">
      <c r="A42" s="11">
        <f>IF(B42="","",ROW()-1)</f>
        <v/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0">
        <f>IF(OR(B42="",L42&lt;&gt;"Sí"),"","Hola, "&amp;B42&amp;", excelente día. Le saluda *Alejandro Estrada* de Toyota Corregidora."&amp;CHAR(10)&amp;"Muchas gracias por visitarnos y conocer la *"&amp;D42&amp;"*.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42" s="11">
        <f>IF(Q42="","",HYPERLINK("https://wa.me/52"&amp;C42&amp;"?text="&amp;_xlfn.ENCODEURL(Q42),"Enviar Bienvenida"))</f>
        <v/>
      </c>
      <c r="S42" s="10">
        <f>IF(B42="","","Hola, "&amp;B42&amp;", muy buen día."&amp;CHAR(10)&amp;"Espero que esté teniendo una excelente semana. Le escribo para saber si tiene alguna duda sobre la oferta del *"&amp;D42&amp;"*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42" s="11">
        <f>IF(S42="","",HYPERLINK("https://wa.me/52"&amp;C42&amp;"?text="&amp;_xlfn.ENCODEURL(S42),"Enviar Seguimiento"))</f>
        <v/>
      </c>
      <c r="U42" s="10">
        <f>IF(B42="","",_xlfn.SWITCH(M42,"Apartado","Hola, "&amp;B42&amp;", buen día. Le confirmo que su apartado por el *"&amp;D42&amp;"* quedó registrado correctamente. Seguimos con el proceso y le mantendré informado(a) de cada paso.","Toma de vehículo","Hola, "&amp;B42&amp;", le comparto que estamos en el proceso de toma de su vehículo actual. En cuanto tengamos el resultado le aviso para continuar con el siguiente paso.","Pago vehículo a cuenta","Hola, "&amp;B42&amp;", quedamos en proceso de pago del vehículo que se toma a cuenta. Cualquier documento o aclaración que se requiera se lo haré saber por este medio.","Firma de contrato","Hola, "&amp;B42&amp;", ya estamos listos para agendar la firma de su contrato. ¿Qué día y hora se le facilita para realizarla?","Facturación","Hola, "&amp;B42&amp;", su unidad ya está en proceso de facturación. En breve le comparto los datos para su confirmación.","Programación de entrega","Hola, "&amp;B42&amp;", con gusto le comparto que ya podemos programar la entrega de su *"&amp;D42&amp;"*. ¿Qué día y hora le acomodan mejor?","Entregado","Hola, "&amp;B42&amp;", ¡muchas felicidades por estrenar su *"&amp;D42&amp;"*! Fue un gusto acompañarle en este proceso. Quedo pendiente de cualquier duda y con gusto le agendo su próxima cita de servicio cuando lo necesite.","Hola, "&amp;B42&amp;", seguimos en contacto para avanzar con el proceso de su próximo Toyota.")&amp;CHAR(10)&amp;CHAR(10)&amp;Config!$B$1)</f>
        <v/>
      </c>
      <c r="V42" s="11">
        <f>IF(U42="","",HYPERLINK("https://wa.me/52"&amp;C42&amp;"?text="&amp;_xlfn.ENCODEURL(U42),"Enviar aviso de etapa"))</f>
        <v/>
      </c>
      <c r="W42" s="10">
        <f>IF(OR(B42="",O42=""),"","Hola, "&amp;B42&amp;", ¡feliz cumpleaños! Le deseo un excelente día rodeado de quienes más quiere. Ha sido un placer acompañarle desde que estrenó su Toyota. ¡Un abrazo!"&amp;CHAR(10)&amp;CHAR(10)&amp;Config!$B$1)</f>
        <v/>
      </c>
      <c r="X42" s="11">
        <f>IF(W42="","",HYPERLINK("https://wa.me/52"&amp;C42&amp;"?text="&amp;_xlfn.ENCODEURL(W42),"Enviar felicitación"))</f>
        <v/>
      </c>
      <c r="Y42" s="10">
        <f>IF(OR(B42="",P42=""),"","Hola, "&amp;B42&amp;", hoy se cumple un año más desde que estrenó su *"&amp;D42&amp;"*. Espero que haya sido un gran compañero de camino. Cualquier cosa que necesite, aquí estoy para apoyarle."&amp;CHAR(10)&amp;CHAR(10)&amp;Config!$B$1)</f>
        <v/>
      </c>
      <c r="Z42" s="11">
        <f>IF(Y42="","",HYPERLINK("https://wa.me/52"&amp;C42&amp;"?text="&amp;_xlfn.ENCODEURL(Y42),"Enviar aniversario"))</f>
        <v/>
      </c>
      <c r="AA42" s="11" t="n"/>
      <c r="AB42" s="11">
        <f>IF(OR(B42="",AA42=""),"",HYPERLINK("https://wa.me/52"&amp;C42&amp;"?text="&amp;_xlfn.ENCODEURL(_xlfn.SWITCH(AA42,"Bienvenida (primera visita)",Q42,"Seguimiento",S42,"Aviso de Etapa",U42,"Requisitos",AC42,"Datos de Facturación",AD42,"Cumpleaños",W42,"Aniversario",Y42,"")),"Enviar mensaje seleccionado"))</f>
        <v/>
      </c>
      <c r="AC42" s="10">
        <f>IF(B42="","",_xlfn.SWITCH(F42&amp;"|"&amp;G42,"Crédito|Persona física","Hola, "&amp;B42&amp;", para continuar con el proceso de tu *"&amp;D42&amp;"* por "&amp;F42&amp;",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"&amp;B42&amp;", para continuar con el proceso de tu *"&amp;D42&amp;"* por "&amp;F42&amp;",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"&amp;B42&amp;", para continuar con el proceso de tu *"&amp;D42&amp;"* por "&amp;F42&amp;",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"&amp;B42&amp;", para continuar con el proceso de tu *"&amp;D42&amp;"* por "&amp;F42&amp;", estos son los documentos que necesitamos:"&amp;CHAR(10)&amp;CHAR(10)&amp;"- INE"&amp;CHAR(10)&amp;"- Comprobante de domicilio"&amp;CHAR(10)&amp;"- Constancia de situación fiscal (no mayor a 3 meses)","Contado|Persona física con actividad empresarial","Hola, "&amp;B42&amp;", para continuar con el proceso de tu *"&amp;D42&amp;"* por "&amp;F42&amp;", estos son los documentos que necesitamos:"&amp;CHAR(10)&amp;CHAR(10)&amp;"- INE"&amp;CHAR(10)&amp;"- Comprobante de domicilio"&amp;CHAR(10)&amp;"- Constancia de situación fiscal (no mayor a 3 meses)","Contado|Persona moral","Hola, "&amp;B42&amp;", para continuar con el proceso de tu *"&amp;D42&amp;"* por "&amp;F42&amp;",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42" s="10">
        <f>IFERROR(INDEX(Facturación!$Q:$Q,MATCH(B42,Facturación!$A:$A,0)),"")</f>
        <v/>
      </c>
    </row>
    <row r="43" ht="15" customHeight="1" s="1">
      <c r="A43" s="11">
        <f>IF(B43="","",ROW()-1)</f>
        <v/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0">
        <f>IF(OR(B43="",L43&lt;&gt;"Sí"),"","Hola, "&amp;B43&amp;", excelente día. Le saluda *Alejandro Estrada* de Toyota Corregidora."&amp;CHAR(10)&amp;"Muchas gracias por visitarnos y conocer la *"&amp;D43&amp;"*.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43" s="11">
        <f>IF(Q43="","",HYPERLINK("https://wa.me/52"&amp;C43&amp;"?text="&amp;_xlfn.ENCODEURL(Q43),"Enviar Bienvenida"))</f>
        <v/>
      </c>
      <c r="S43" s="10">
        <f>IF(B43="","","Hola, "&amp;B43&amp;", muy buen día."&amp;CHAR(10)&amp;"Espero que esté teniendo una excelente semana. Le escribo para saber si tiene alguna duda sobre la oferta del *"&amp;D43&amp;"*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43" s="11">
        <f>IF(S43="","",HYPERLINK("https://wa.me/52"&amp;C43&amp;"?text="&amp;_xlfn.ENCODEURL(S43),"Enviar Seguimiento"))</f>
        <v/>
      </c>
      <c r="U43" s="10">
        <f>IF(B43="","",_xlfn.SWITCH(M43,"Apartado","Hola, "&amp;B43&amp;", buen día. Le confirmo que su apartado por el *"&amp;D43&amp;"* quedó registrado correctamente. Seguimos con el proceso y le mantendré informado(a) de cada paso.","Toma de vehículo","Hola, "&amp;B43&amp;", le comparto que estamos en el proceso de toma de su vehículo actual. En cuanto tengamos el resultado le aviso para continuar con el siguiente paso.","Pago vehículo a cuenta","Hola, "&amp;B43&amp;", quedamos en proceso de pago del vehículo que se toma a cuenta. Cualquier documento o aclaración que se requiera se lo haré saber por este medio.","Firma de contrato","Hola, "&amp;B43&amp;", ya estamos listos para agendar la firma de su contrato. ¿Qué día y hora se le facilita para realizarla?","Facturación","Hola, "&amp;B43&amp;", su unidad ya está en proceso de facturación. En breve le comparto los datos para su confirmación.","Programación de entrega","Hola, "&amp;B43&amp;", con gusto le comparto que ya podemos programar la entrega de su *"&amp;D43&amp;"*. ¿Qué día y hora le acomodan mejor?","Entregado","Hola, "&amp;B43&amp;", ¡muchas felicidades por estrenar su *"&amp;D43&amp;"*! Fue un gusto acompañarle en este proceso. Quedo pendiente de cualquier duda y con gusto le agendo su próxima cita de servicio cuando lo necesite.","Hola, "&amp;B43&amp;", seguimos en contacto para avanzar con el proceso de su próximo Toyota.")&amp;CHAR(10)&amp;CHAR(10)&amp;Config!$B$1)</f>
        <v/>
      </c>
      <c r="V43" s="11">
        <f>IF(U43="","",HYPERLINK("https://wa.me/52"&amp;C43&amp;"?text="&amp;_xlfn.ENCODEURL(U43),"Enviar aviso de etapa"))</f>
        <v/>
      </c>
      <c r="W43" s="10">
        <f>IF(OR(B43="",O43=""),"","Hola, "&amp;B43&amp;", ¡feliz cumpleaños! Le deseo un excelente día rodeado de quienes más quiere. Ha sido un placer acompañarle desde que estrenó su Toyota. ¡Un abrazo!"&amp;CHAR(10)&amp;CHAR(10)&amp;Config!$B$1)</f>
        <v/>
      </c>
      <c r="X43" s="11">
        <f>IF(W43="","",HYPERLINK("https://wa.me/52"&amp;C43&amp;"?text="&amp;_xlfn.ENCODEURL(W43),"Enviar felicitación"))</f>
        <v/>
      </c>
      <c r="Y43" s="10">
        <f>IF(OR(B43="",P43=""),"","Hola, "&amp;B43&amp;", hoy se cumple un año más desde que estrenó su *"&amp;D43&amp;"*. Espero que haya sido un gran compañero de camino. Cualquier cosa que necesite, aquí estoy para apoyarle."&amp;CHAR(10)&amp;CHAR(10)&amp;Config!$B$1)</f>
        <v/>
      </c>
      <c r="Z43" s="11">
        <f>IF(Y43="","",HYPERLINK("https://wa.me/52"&amp;C43&amp;"?text="&amp;_xlfn.ENCODEURL(Y43),"Enviar aniversario"))</f>
        <v/>
      </c>
      <c r="AA43" s="11" t="n"/>
      <c r="AB43" s="11">
        <f>IF(OR(B43="",AA43=""),"",HYPERLINK("https://wa.me/52"&amp;C43&amp;"?text="&amp;_xlfn.ENCODEURL(_xlfn.SWITCH(AA43,"Bienvenida (primera visita)",Q43,"Seguimiento",S43,"Aviso de Etapa",U43,"Requisitos",AC43,"Datos de Facturación",AD43,"Cumpleaños",W43,"Aniversario",Y43,"")),"Enviar mensaje seleccionado"))</f>
        <v/>
      </c>
      <c r="AC43" s="10">
        <f>IF(B43="","",_xlfn.SWITCH(F43&amp;"|"&amp;G43,"Crédito|Persona física","Hola, "&amp;B43&amp;", para continuar con el proceso de tu *"&amp;D43&amp;"* por "&amp;F43&amp;",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"&amp;B43&amp;", para continuar con el proceso de tu *"&amp;D43&amp;"* por "&amp;F43&amp;",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"&amp;B43&amp;", para continuar con el proceso de tu *"&amp;D43&amp;"* por "&amp;F43&amp;",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"&amp;B43&amp;", para continuar con el proceso de tu *"&amp;D43&amp;"* por "&amp;F43&amp;", estos son los documentos que necesitamos:"&amp;CHAR(10)&amp;CHAR(10)&amp;"- INE"&amp;CHAR(10)&amp;"- Comprobante de domicilio"&amp;CHAR(10)&amp;"- Constancia de situación fiscal (no mayor a 3 meses)","Contado|Persona física con actividad empresarial","Hola, "&amp;B43&amp;", para continuar con el proceso de tu *"&amp;D43&amp;"* por "&amp;F43&amp;", estos son los documentos que necesitamos:"&amp;CHAR(10)&amp;CHAR(10)&amp;"- INE"&amp;CHAR(10)&amp;"- Comprobante de domicilio"&amp;CHAR(10)&amp;"- Constancia de situación fiscal (no mayor a 3 meses)","Contado|Persona moral","Hola, "&amp;B43&amp;", para continuar con el proceso de tu *"&amp;D43&amp;"* por "&amp;F43&amp;",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43" s="10">
        <f>IFERROR(INDEX(Facturación!$Q:$Q,MATCH(B43,Facturación!$A:$A,0)),"")</f>
        <v/>
      </c>
    </row>
    <row r="44" ht="15" customHeight="1" s="1">
      <c r="A44" s="11">
        <f>IF(B44="","",ROW()-1)</f>
        <v/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0">
        <f>IF(OR(B44="",L44&lt;&gt;"Sí"),"","Hola, "&amp;B44&amp;", excelente día. Le saluda *Alejandro Estrada* de Toyota Corregidora."&amp;CHAR(10)&amp;"Muchas gracias por visitarnos y conocer la *"&amp;D44&amp;"*.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44" s="11">
        <f>IF(Q44="","",HYPERLINK("https://wa.me/52"&amp;C44&amp;"?text="&amp;_xlfn.ENCODEURL(Q44),"Enviar Bienvenida"))</f>
        <v/>
      </c>
      <c r="S44" s="10">
        <f>IF(B44="","","Hola, "&amp;B44&amp;", muy buen día."&amp;CHAR(10)&amp;"Espero que esté teniendo una excelente semana. Le escribo para saber si tiene alguna duda sobre la oferta del *"&amp;D44&amp;"*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44" s="11">
        <f>IF(S44="","",HYPERLINK("https://wa.me/52"&amp;C44&amp;"?text="&amp;_xlfn.ENCODEURL(S44),"Enviar Seguimiento"))</f>
        <v/>
      </c>
      <c r="U44" s="10">
        <f>IF(B44="","",_xlfn.SWITCH(M44,"Apartado","Hola, "&amp;B44&amp;", buen día. Le confirmo que su apartado por el *"&amp;D44&amp;"* quedó registrado correctamente. Seguimos con el proceso y le mantendré informado(a) de cada paso.","Toma de vehículo","Hola, "&amp;B44&amp;", le comparto que estamos en el proceso de toma de su vehículo actual. En cuanto tengamos el resultado le aviso para continuar con el siguiente paso.","Pago vehículo a cuenta","Hola, "&amp;B44&amp;", quedamos en proceso de pago del vehículo que se toma a cuenta. Cualquier documento o aclaración que se requiera se lo haré saber por este medio.","Firma de contrato","Hola, "&amp;B44&amp;", ya estamos listos para agendar la firma de su contrato. ¿Qué día y hora se le facilita para realizarla?","Facturación","Hola, "&amp;B44&amp;", su unidad ya está en proceso de facturación. En breve le comparto los datos para su confirmación.","Programación de entrega","Hola, "&amp;B44&amp;", con gusto le comparto que ya podemos programar la entrega de su *"&amp;D44&amp;"*. ¿Qué día y hora le acomodan mejor?","Entregado","Hola, "&amp;B44&amp;", ¡muchas felicidades por estrenar su *"&amp;D44&amp;"*! Fue un gusto acompañarle en este proceso. Quedo pendiente de cualquier duda y con gusto le agendo su próxima cita de servicio cuando lo necesite.","Hola, "&amp;B44&amp;", seguimos en contacto para avanzar con el proceso de su próximo Toyota.")&amp;CHAR(10)&amp;CHAR(10)&amp;Config!$B$1)</f>
        <v/>
      </c>
      <c r="V44" s="11">
        <f>IF(U44="","",HYPERLINK("https://wa.me/52"&amp;C44&amp;"?text="&amp;_xlfn.ENCODEURL(U44),"Enviar aviso de etapa"))</f>
        <v/>
      </c>
      <c r="W44" s="10">
        <f>IF(OR(B44="",O44=""),"","Hola, "&amp;B44&amp;", ¡feliz cumpleaños! Le deseo un excelente día rodeado de quienes más quiere. Ha sido un placer acompañarle desde que estrenó su Toyota. ¡Un abrazo!"&amp;CHAR(10)&amp;CHAR(10)&amp;Config!$B$1)</f>
        <v/>
      </c>
      <c r="X44" s="11">
        <f>IF(W44="","",HYPERLINK("https://wa.me/52"&amp;C44&amp;"?text="&amp;_xlfn.ENCODEURL(W44),"Enviar felicitación"))</f>
        <v/>
      </c>
      <c r="Y44" s="10">
        <f>IF(OR(B44="",P44=""),"","Hola, "&amp;B44&amp;", hoy se cumple un año más desde que estrenó su *"&amp;D44&amp;"*. Espero que haya sido un gran compañero de camino. Cualquier cosa que necesite, aquí estoy para apoyarle."&amp;CHAR(10)&amp;CHAR(10)&amp;Config!$B$1)</f>
        <v/>
      </c>
      <c r="Z44" s="11">
        <f>IF(Y44="","",HYPERLINK("https://wa.me/52"&amp;C44&amp;"?text="&amp;_xlfn.ENCODEURL(Y44),"Enviar aniversario"))</f>
        <v/>
      </c>
      <c r="AA44" s="11" t="n"/>
      <c r="AB44" s="11">
        <f>IF(OR(B44="",AA44=""),"",HYPERLINK("https://wa.me/52"&amp;C44&amp;"?text="&amp;_xlfn.ENCODEURL(_xlfn.SWITCH(AA44,"Bienvenida (primera visita)",Q44,"Seguimiento",S44,"Aviso de Etapa",U44,"Requisitos",AC44,"Datos de Facturación",AD44,"Cumpleaños",W44,"Aniversario",Y44,"")),"Enviar mensaje seleccionado"))</f>
        <v/>
      </c>
      <c r="AC44" s="10">
        <f>IF(B44="","",_xlfn.SWITCH(F44&amp;"|"&amp;G44,"Crédito|Persona física","Hola, "&amp;B44&amp;", para continuar con el proceso de tu *"&amp;D44&amp;"* por "&amp;F44&amp;",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"&amp;B44&amp;", para continuar con el proceso de tu *"&amp;D44&amp;"* por "&amp;F44&amp;",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"&amp;B44&amp;", para continuar con el proceso de tu *"&amp;D44&amp;"* por "&amp;F44&amp;",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"&amp;B44&amp;", para continuar con el proceso de tu *"&amp;D44&amp;"* por "&amp;F44&amp;", estos son los documentos que necesitamos:"&amp;CHAR(10)&amp;CHAR(10)&amp;"- INE"&amp;CHAR(10)&amp;"- Comprobante de domicilio"&amp;CHAR(10)&amp;"- Constancia de situación fiscal (no mayor a 3 meses)","Contado|Persona física con actividad empresarial","Hola, "&amp;B44&amp;", para continuar con el proceso de tu *"&amp;D44&amp;"* por "&amp;F44&amp;", estos son los documentos que necesitamos:"&amp;CHAR(10)&amp;CHAR(10)&amp;"- INE"&amp;CHAR(10)&amp;"- Comprobante de domicilio"&amp;CHAR(10)&amp;"- Constancia de situación fiscal (no mayor a 3 meses)","Contado|Persona moral","Hola, "&amp;B44&amp;", para continuar con el proceso de tu *"&amp;D44&amp;"* por "&amp;F44&amp;",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44" s="10">
        <f>IFERROR(INDEX(Facturación!$Q:$Q,MATCH(B44,Facturación!$A:$A,0)),"")</f>
        <v/>
      </c>
    </row>
    <row r="45" ht="15" customHeight="1" s="1">
      <c r="A45" s="11">
        <f>IF(B45="","",ROW()-1)</f>
        <v/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0">
        <f>IF(OR(B45="",L45&lt;&gt;"Sí"),"","Hola, "&amp;B45&amp;", excelente día. Le saluda *Alejandro Estrada* de Toyota Corregidora."&amp;CHAR(10)&amp;"Muchas gracias por visitarnos y conocer la *"&amp;D45&amp;"*.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45" s="11">
        <f>IF(Q45="","",HYPERLINK("https://wa.me/52"&amp;C45&amp;"?text="&amp;_xlfn.ENCODEURL(Q45),"Enviar Bienvenida"))</f>
        <v/>
      </c>
      <c r="S45" s="10">
        <f>IF(B45="","","Hola, "&amp;B45&amp;", muy buen día."&amp;CHAR(10)&amp;"Espero que esté teniendo una excelente semana. Le escribo para saber si tiene alguna duda sobre la oferta del *"&amp;D45&amp;"*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45" s="11">
        <f>IF(S45="","",HYPERLINK("https://wa.me/52"&amp;C45&amp;"?text="&amp;_xlfn.ENCODEURL(S45),"Enviar Seguimiento"))</f>
        <v/>
      </c>
      <c r="U45" s="10">
        <f>IF(B45="","",_xlfn.SWITCH(M45,"Apartado","Hola, "&amp;B45&amp;", buen día. Le confirmo que su apartado por el *"&amp;D45&amp;"* quedó registrado correctamente. Seguimos con el proceso y le mantendré informado(a) de cada paso.","Toma de vehículo","Hola, "&amp;B45&amp;", le comparto que estamos en el proceso de toma de su vehículo actual. En cuanto tengamos el resultado le aviso para continuar con el siguiente paso.","Pago vehículo a cuenta","Hola, "&amp;B45&amp;", quedamos en proceso de pago del vehículo que se toma a cuenta. Cualquier documento o aclaración que se requiera se lo haré saber por este medio.","Firma de contrato","Hola, "&amp;B45&amp;", ya estamos listos para agendar la firma de su contrato. ¿Qué día y hora se le facilita para realizarla?","Facturación","Hola, "&amp;B45&amp;", su unidad ya está en proceso de facturación. En breve le comparto los datos para su confirmación.","Programación de entrega","Hola, "&amp;B45&amp;", con gusto le comparto que ya podemos programar la entrega de su *"&amp;D45&amp;"*. ¿Qué día y hora le acomodan mejor?","Entregado","Hola, "&amp;B45&amp;", ¡muchas felicidades por estrenar su *"&amp;D45&amp;"*! Fue un gusto acompañarle en este proceso. Quedo pendiente de cualquier duda y con gusto le agendo su próxima cita de servicio cuando lo necesite.","Hola, "&amp;B45&amp;", seguimos en contacto para avanzar con el proceso de su próximo Toyota.")&amp;CHAR(10)&amp;CHAR(10)&amp;Config!$B$1)</f>
        <v/>
      </c>
      <c r="V45" s="11">
        <f>IF(U45="","",HYPERLINK("https://wa.me/52"&amp;C45&amp;"?text="&amp;_xlfn.ENCODEURL(U45),"Enviar aviso de etapa"))</f>
        <v/>
      </c>
      <c r="W45" s="10">
        <f>IF(OR(B45="",O45=""),"","Hola, "&amp;B45&amp;", ¡feliz cumpleaños! Le deseo un excelente día rodeado de quienes más quiere. Ha sido un placer acompañarle desde que estrenó su Toyota. ¡Un abrazo!"&amp;CHAR(10)&amp;CHAR(10)&amp;Config!$B$1)</f>
        <v/>
      </c>
      <c r="X45" s="11">
        <f>IF(W45="","",HYPERLINK("https://wa.me/52"&amp;C45&amp;"?text="&amp;_xlfn.ENCODEURL(W45),"Enviar felicitación"))</f>
        <v/>
      </c>
      <c r="Y45" s="10">
        <f>IF(OR(B45="",P45=""),"","Hola, "&amp;B45&amp;", hoy se cumple un año más desde que estrenó su *"&amp;D45&amp;"*. Espero que haya sido un gran compañero de camino. Cualquier cosa que necesite, aquí estoy para apoyarle."&amp;CHAR(10)&amp;CHAR(10)&amp;Config!$B$1)</f>
        <v/>
      </c>
      <c r="Z45" s="11">
        <f>IF(Y45="","",HYPERLINK("https://wa.me/52"&amp;C45&amp;"?text="&amp;_xlfn.ENCODEURL(Y45),"Enviar aniversario"))</f>
        <v/>
      </c>
      <c r="AA45" s="11" t="n"/>
      <c r="AB45" s="11">
        <f>IF(OR(B45="",AA45=""),"",HYPERLINK("https://wa.me/52"&amp;C45&amp;"?text="&amp;_xlfn.ENCODEURL(_xlfn.SWITCH(AA45,"Bienvenida (primera visita)",Q45,"Seguimiento",S45,"Aviso de Etapa",U45,"Requisitos",AC45,"Datos de Facturación",AD45,"Cumpleaños",W45,"Aniversario",Y45,"")),"Enviar mensaje seleccionado"))</f>
        <v/>
      </c>
      <c r="AC45" s="10">
        <f>IF(B45="","",_xlfn.SWITCH(F45&amp;"|"&amp;G45,"Crédito|Persona física","Hola, "&amp;B45&amp;", para continuar con el proceso de tu *"&amp;D45&amp;"* por "&amp;F45&amp;",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"&amp;B45&amp;", para continuar con el proceso de tu *"&amp;D45&amp;"* por "&amp;F45&amp;",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"&amp;B45&amp;", para continuar con el proceso de tu *"&amp;D45&amp;"* por "&amp;F45&amp;",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"&amp;B45&amp;", para continuar con el proceso de tu *"&amp;D45&amp;"* por "&amp;F45&amp;", estos son los documentos que necesitamos:"&amp;CHAR(10)&amp;CHAR(10)&amp;"- INE"&amp;CHAR(10)&amp;"- Comprobante de domicilio"&amp;CHAR(10)&amp;"- Constancia de situación fiscal (no mayor a 3 meses)","Contado|Persona física con actividad empresarial","Hola, "&amp;B45&amp;", para continuar con el proceso de tu *"&amp;D45&amp;"* por "&amp;F45&amp;", estos son los documentos que necesitamos:"&amp;CHAR(10)&amp;CHAR(10)&amp;"- INE"&amp;CHAR(10)&amp;"- Comprobante de domicilio"&amp;CHAR(10)&amp;"- Constancia de situación fiscal (no mayor a 3 meses)","Contado|Persona moral","Hola, "&amp;B45&amp;", para continuar con el proceso de tu *"&amp;D45&amp;"* por "&amp;F45&amp;",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45" s="10">
        <f>IFERROR(INDEX(Facturación!$Q:$Q,MATCH(B45,Facturación!$A:$A,0)),"")</f>
        <v/>
      </c>
    </row>
    <row r="46" ht="15" customHeight="1" s="1">
      <c r="A46" s="11">
        <f>IF(B46="","",ROW()-1)</f>
        <v/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0">
        <f>IF(OR(B46="",L46&lt;&gt;"Sí"),"","Hola, "&amp;B46&amp;", excelente día. Le saluda *Alejandro Estrada* de Toyota Corregidora."&amp;CHAR(10)&amp;"Muchas gracias por visitarnos y conocer la *"&amp;D46&amp;"*.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46" s="11">
        <f>IF(Q46="","",HYPERLINK("https://wa.me/52"&amp;C46&amp;"?text="&amp;_xlfn.ENCODEURL(Q46),"Enviar Bienvenida"))</f>
        <v/>
      </c>
      <c r="S46" s="10">
        <f>IF(B46="","","Hola, "&amp;B46&amp;", muy buen día."&amp;CHAR(10)&amp;"Espero que esté teniendo una excelente semana. Le escribo para saber si tiene alguna duda sobre la oferta del *"&amp;D46&amp;"*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46" s="11">
        <f>IF(S46="","",HYPERLINK("https://wa.me/52"&amp;C46&amp;"?text="&amp;_xlfn.ENCODEURL(S46),"Enviar Seguimiento"))</f>
        <v/>
      </c>
      <c r="U46" s="10">
        <f>IF(B46="","",_xlfn.SWITCH(M46,"Apartado","Hola, "&amp;B46&amp;", buen día. Le confirmo que su apartado por el *"&amp;D46&amp;"* quedó registrado correctamente. Seguimos con el proceso y le mantendré informado(a) de cada paso.","Toma de vehículo","Hola, "&amp;B46&amp;", le comparto que estamos en el proceso de toma de su vehículo actual. En cuanto tengamos el resultado le aviso para continuar con el siguiente paso.","Pago vehículo a cuenta","Hola, "&amp;B46&amp;", quedamos en proceso de pago del vehículo que se toma a cuenta. Cualquier documento o aclaración que se requiera se lo haré saber por este medio.","Firma de contrato","Hola, "&amp;B46&amp;", ya estamos listos para agendar la firma de su contrato. ¿Qué día y hora se le facilita para realizarla?","Facturación","Hola, "&amp;B46&amp;", su unidad ya está en proceso de facturación. En breve le comparto los datos para su confirmación.","Programación de entrega","Hola, "&amp;B46&amp;", con gusto le comparto que ya podemos programar la entrega de su *"&amp;D46&amp;"*. ¿Qué día y hora le acomodan mejor?","Entregado","Hola, "&amp;B46&amp;", ¡muchas felicidades por estrenar su *"&amp;D46&amp;"*! Fue un gusto acompañarle en este proceso. Quedo pendiente de cualquier duda y con gusto le agendo su próxima cita de servicio cuando lo necesite.","Hola, "&amp;B46&amp;", seguimos en contacto para avanzar con el proceso de su próximo Toyota.")&amp;CHAR(10)&amp;CHAR(10)&amp;Config!$B$1)</f>
        <v/>
      </c>
      <c r="V46" s="11">
        <f>IF(U46="","",HYPERLINK("https://wa.me/52"&amp;C46&amp;"?text="&amp;_xlfn.ENCODEURL(U46),"Enviar aviso de etapa"))</f>
        <v/>
      </c>
      <c r="W46" s="10">
        <f>IF(OR(B46="",O46=""),"","Hola, "&amp;B46&amp;", ¡feliz cumpleaños! Le deseo un excelente día rodeado de quienes más quiere. Ha sido un placer acompañarle desde que estrenó su Toyota. ¡Un abrazo!"&amp;CHAR(10)&amp;CHAR(10)&amp;Config!$B$1)</f>
        <v/>
      </c>
      <c r="X46" s="11">
        <f>IF(W46="","",HYPERLINK("https://wa.me/52"&amp;C46&amp;"?text="&amp;_xlfn.ENCODEURL(W46),"Enviar felicitación"))</f>
        <v/>
      </c>
      <c r="Y46" s="10">
        <f>IF(OR(B46="",P46=""),"","Hola, "&amp;B46&amp;", hoy se cumple un año más desde que estrenó su *"&amp;D46&amp;"*. Espero que haya sido un gran compañero de camino. Cualquier cosa que necesite, aquí estoy para apoyarle."&amp;CHAR(10)&amp;CHAR(10)&amp;Config!$B$1)</f>
        <v/>
      </c>
      <c r="Z46" s="11">
        <f>IF(Y46="","",HYPERLINK("https://wa.me/52"&amp;C46&amp;"?text="&amp;_xlfn.ENCODEURL(Y46),"Enviar aniversario"))</f>
        <v/>
      </c>
      <c r="AA46" s="11" t="n"/>
      <c r="AB46" s="11">
        <f>IF(OR(B46="",AA46=""),"",HYPERLINK("https://wa.me/52"&amp;C46&amp;"?text="&amp;_xlfn.ENCODEURL(_xlfn.SWITCH(AA46,"Bienvenida (primera visita)",Q46,"Seguimiento",S46,"Aviso de Etapa",U46,"Requisitos",AC46,"Datos de Facturación",AD46,"Cumpleaños",W46,"Aniversario",Y46,"")),"Enviar mensaje seleccionado"))</f>
        <v/>
      </c>
      <c r="AC46" s="10">
        <f>IF(B46="","",_xlfn.SWITCH(F46&amp;"|"&amp;G46,"Crédito|Persona física","Hola, "&amp;B46&amp;", para continuar con el proceso de tu *"&amp;D46&amp;"* por "&amp;F46&amp;",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"&amp;B46&amp;", para continuar con el proceso de tu *"&amp;D46&amp;"* por "&amp;F46&amp;",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"&amp;B46&amp;", para continuar con el proceso de tu *"&amp;D46&amp;"* por "&amp;F46&amp;",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"&amp;B46&amp;", para continuar con el proceso de tu *"&amp;D46&amp;"* por "&amp;F46&amp;", estos son los documentos que necesitamos:"&amp;CHAR(10)&amp;CHAR(10)&amp;"- INE"&amp;CHAR(10)&amp;"- Comprobante de domicilio"&amp;CHAR(10)&amp;"- Constancia de situación fiscal (no mayor a 3 meses)","Contado|Persona física con actividad empresarial","Hola, "&amp;B46&amp;", para continuar con el proceso de tu *"&amp;D46&amp;"* por "&amp;F46&amp;", estos son los documentos que necesitamos:"&amp;CHAR(10)&amp;CHAR(10)&amp;"- INE"&amp;CHAR(10)&amp;"- Comprobante de domicilio"&amp;CHAR(10)&amp;"- Constancia de situación fiscal (no mayor a 3 meses)","Contado|Persona moral","Hola, "&amp;B46&amp;", para continuar con el proceso de tu *"&amp;D46&amp;"* por "&amp;F46&amp;",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46" s="10">
        <f>IFERROR(INDEX(Facturación!$Q:$Q,MATCH(B46,Facturación!$A:$A,0)),"")</f>
        <v/>
      </c>
    </row>
    <row r="47" ht="15" customHeight="1" s="1">
      <c r="A47" s="11">
        <f>IF(B47="","",ROW()-1)</f>
        <v/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0">
        <f>IF(OR(B47="",L47&lt;&gt;"Sí"),"","Hola, "&amp;B47&amp;", excelente día. Le saluda *Alejandro Estrada* de Toyota Corregidora."&amp;CHAR(10)&amp;"Muchas gracias por visitarnos y conocer la *"&amp;D47&amp;"*.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47" s="11">
        <f>IF(Q47="","",HYPERLINK("https://wa.me/52"&amp;C47&amp;"?text="&amp;_xlfn.ENCODEURL(Q47),"Enviar Bienvenida"))</f>
        <v/>
      </c>
      <c r="S47" s="10">
        <f>IF(B47="","","Hola, "&amp;B47&amp;", muy buen día."&amp;CHAR(10)&amp;"Espero que esté teniendo una excelente semana. Le escribo para saber si tiene alguna duda sobre la oferta del *"&amp;D47&amp;"*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47" s="11">
        <f>IF(S47="","",HYPERLINK("https://wa.me/52"&amp;C47&amp;"?text="&amp;_xlfn.ENCODEURL(S47),"Enviar Seguimiento"))</f>
        <v/>
      </c>
      <c r="U47" s="10">
        <f>IF(B47="","",_xlfn.SWITCH(M47,"Apartado","Hola, "&amp;B47&amp;", buen día. Le confirmo que su apartado por el *"&amp;D47&amp;"* quedó registrado correctamente. Seguimos con el proceso y le mantendré informado(a) de cada paso.","Toma de vehículo","Hola, "&amp;B47&amp;", le comparto que estamos en el proceso de toma de su vehículo actual. En cuanto tengamos el resultado le aviso para continuar con el siguiente paso.","Pago vehículo a cuenta","Hola, "&amp;B47&amp;", quedamos en proceso de pago del vehículo que se toma a cuenta. Cualquier documento o aclaración que se requiera se lo haré saber por este medio.","Firma de contrato","Hola, "&amp;B47&amp;", ya estamos listos para agendar la firma de su contrato. ¿Qué día y hora se le facilita para realizarla?","Facturación","Hola, "&amp;B47&amp;", su unidad ya está en proceso de facturación. En breve le comparto los datos para su confirmación.","Programación de entrega","Hola, "&amp;B47&amp;", con gusto le comparto que ya podemos programar la entrega de su *"&amp;D47&amp;"*. ¿Qué día y hora le acomodan mejor?","Entregado","Hola, "&amp;B47&amp;", ¡muchas felicidades por estrenar su *"&amp;D47&amp;"*! Fue un gusto acompañarle en este proceso. Quedo pendiente de cualquier duda y con gusto le agendo su próxima cita de servicio cuando lo necesite.","Hola, "&amp;B47&amp;", seguimos en contacto para avanzar con el proceso de su próximo Toyota.")&amp;CHAR(10)&amp;CHAR(10)&amp;Config!$B$1)</f>
        <v/>
      </c>
      <c r="V47" s="11">
        <f>IF(U47="","",HYPERLINK("https://wa.me/52"&amp;C47&amp;"?text="&amp;_xlfn.ENCODEURL(U47),"Enviar aviso de etapa"))</f>
        <v/>
      </c>
      <c r="W47" s="10">
        <f>IF(OR(B47="",O47=""),"","Hola, "&amp;B47&amp;", ¡feliz cumpleaños! Le deseo un excelente día rodeado de quienes más quiere. Ha sido un placer acompañarle desde que estrenó su Toyota. ¡Un abrazo!"&amp;CHAR(10)&amp;CHAR(10)&amp;Config!$B$1)</f>
        <v/>
      </c>
      <c r="X47" s="11">
        <f>IF(W47="","",HYPERLINK("https://wa.me/52"&amp;C47&amp;"?text="&amp;_xlfn.ENCODEURL(W47),"Enviar felicitación"))</f>
        <v/>
      </c>
      <c r="Y47" s="10">
        <f>IF(OR(B47="",P47=""),"","Hola, "&amp;B47&amp;", hoy se cumple un año más desde que estrenó su *"&amp;D47&amp;"*. Espero que haya sido un gran compañero de camino. Cualquier cosa que necesite, aquí estoy para apoyarle."&amp;CHAR(10)&amp;CHAR(10)&amp;Config!$B$1)</f>
        <v/>
      </c>
      <c r="Z47" s="11">
        <f>IF(Y47="","",HYPERLINK("https://wa.me/52"&amp;C47&amp;"?text="&amp;_xlfn.ENCODEURL(Y47),"Enviar aniversario"))</f>
        <v/>
      </c>
      <c r="AA47" s="11" t="n"/>
      <c r="AB47" s="11">
        <f>IF(OR(B47="",AA47=""),"",HYPERLINK("https://wa.me/52"&amp;C47&amp;"?text="&amp;_xlfn.ENCODEURL(_xlfn.SWITCH(AA47,"Bienvenida (primera visita)",Q47,"Seguimiento",S47,"Aviso de Etapa",U47,"Requisitos",AC47,"Datos de Facturación",AD47,"Cumpleaños",W47,"Aniversario",Y47,"")),"Enviar mensaje seleccionado"))</f>
        <v/>
      </c>
      <c r="AC47" s="10">
        <f>IF(B47="","",_xlfn.SWITCH(F47&amp;"|"&amp;G47,"Crédito|Persona física","Hola, "&amp;B47&amp;", para continuar con el proceso de tu *"&amp;D47&amp;"* por "&amp;F47&amp;",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"&amp;B47&amp;", para continuar con el proceso de tu *"&amp;D47&amp;"* por "&amp;F47&amp;",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"&amp;B47&amp;", para continuar con el proceso de tu *"&amp;D47&amp;"* por "&amp;F47&amp;",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"&amp;B47&amp;", para continuar con el proceso de tu *"&amp;D47&amp;"* por "&amp;F47&amp;", estos son los documentos que necesitamos:"&amp;CHAR(10)&amp;CHAR(10)&amp;"- INE"&amp;CHAR(10)&amp;"- Comprobante de domicilio"&amp;CHAR(10)&amp;"- Constancia de situación fiscal (no mayor a 3 meses)","Contado|Persona física con actividad empresarial","Hola, "&amp;B47&amp;", para continuar con el proceso de tu *"&amp;D47&amp;"* por "&amp;F47&amp;", estos son los documentos que necesitamos:"&amp;CHAR(10)&amp;CHAR(10)&amp;"- INE"&amp;CHAR(10)&amp;"- Comprobante de domicilio"&amp;CHAR(10)&amp;"- Constancia de situación fiscal (no mayor a 3 meses)","Contado|Persona moral","Hola, "&amp;B47&amp;", para continuar con el proceso de tu *"&amp;D47&amp;"* por "&amp;F47&amp;",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47" s="10">
        <f>IFERROR(INDEX(Facturación!$Q:$Q,MATCH(B47,Facturación!$A:$A,0)),"")</f>
        <v/>
      </c>
    </row>
    <row r="48" ht="15" customHeight="1" s="1">
      <c r="A48" s="11">
        <f>IF(B48="","",ROW()-1)</f>
        <v/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0">
        <f>IF(OR(B48="",L48&lt;&gt;"Sí"),"","Hola, "&amp;B48&amp;", excelente día. Le saluda *Alejandro Estrada* de Toyota Corregidora."&amp;CHAR(10)&amp;"Muchas gracias por visitarnos y conocer la *"&amp;D48&amp;"*.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48" s="11">
        <f>IF(Q48="","",HYPERLINK("https://wa.me/52"&amp;C48&amp;"?text="&amp;_xlfn.ENCODEURL(Q48),"Enviar Bienvenida"))</f>
        <v/>
      </c>
      <c r="S48" s="10">
        <f>IF(B48="","","Hola, "&amp;B48&amp;", muy buen día."&amp;CHAR(10)&amp;"Espero que esté teniendo una excelente semana. Le escribo para saber si tiene alguna duda sobre la oferta del *"&amp;D48&amp;"*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48" s="11">
        <f>IF(S48="","",HYPERLINK("https://wa.me/52"&amp;C48&amp;"?text="&amp;_xlfn.ENCODEURL(S48),"Enviar Seguimiento"))</f>
        <v/>
      </c>
      <c r="U48" s="10">
        <f>IF(B48="","",_xlfn.SWITCH(M48,"Apartado","Hola, "&amp;B48&amp;", buen día. Le confirmo que su apartado por el *"&amp;D48&amp;"* quedó registrado correctamente. Seguimos con el proceso y le mantendré informado(a) de cada paso.","Toma de vehículo","Hola, "&amp;B48&amp;", le comparto que estamos en el proceso de toma de su vehículo actual. En cuanto tengamos el resultado le aviso para continuar con el siguiente paso.","Pago vehículo a cuenta","Hola, "&amp;B48&amp;", quedamos en proceso de pago del vehículo que se toma a cuenta. Cualquier documento o aclaración que se requiera se lo haré saber por este medio.","Firma de contrato","Hola, "&amp;B48&amp;", ya estamos listos para agendar la firma de su contrato. ¿Qué día y hora se le facilita para realizarla?","Facturación","Hola, "&amp;B48&amp;", su unidad ya está en proceso de facturación. En breve le comparto los datos para su confirmación.","Programación de entrega","Hola, "&amp;B48&amp;", con gusto le comparto que ya podemos programar la entrega de su *"&amp;D48&amp;"*. ¿Qué día y hora le acomodan mejor?","Entregado","Hola, "&amp;B48&amp;", ¡muchas felicidades por estrenar su *"&amp;D48&amp;"*! Fue un gusto acompañarle en este proceso. Quedo pendiente de cualquier duda y con gusto le agendo su próxima cita de servicio cuando lo necesite.","Hola, "&amp;B48&amp;", seguimos en contacto para avanzar con el proceso de su próximo Toyota.")&amp;CHAR(10)&amp;CHAR(10)&amp;Config!$B$1)</f>
        <v/>
      </c>
      <c r="V48" s="11">
        <f>IF(U48="","",HYPERLINK("https://wa.me/52"&amp;C48&amp;"?text="&amp;_xlfn.ENCODEURL(U48),"Enviar aviso de etapa"))</f>
        <v/>
      </c>
      <c r="W48" s="10">
        <f>IF(OR(B48="",O48=""),"","Hola, "&amp;B48&amp;", ¡feliz cumpleaños! Le deseo un excelente día rodeado de quienes más quiere. Ha sido un placer acompañarle desde que estrenó su Toyota. ¡Un abrazo!"&amp;CHAR(10)&amp;CHAR(10)&amp;Config!$B$1)</f>
        <v/>
      </c>
      <c r="X48" s="11">
        <f>IF(W48="","",HYPERLINK("https://wa.me/52"&amp;C48&amp;"?text="&amp;_xlfn.ENCODEURL(W48),"Enviar felicitación"))</f>
        <v/>
      </c>
      <c r="Y48" s="10">
        <f>IF(OR(B48="",P48=""),"","Hola, "&amp;B48&amp;", hoy se cumple un año más desde que estrenó su *"&amp;D48&amp;"*. Espero que haya sido un gran compañero de camino. Cualquier cosa que necesite, aquí estoy para apoyarle."&amp;CHAR(10)&amp;CHAR(10)&amp;Config!$B$1)</f>
        <v/>
      </c>
      <c r="Z48" s="11">
        <f>IF(Y48="","",HYPERLINK("https://wa.me/52"&amp;C48&amp;"?text="&amp;_xlfn.ENCODEURL(Y48),"Enviar aniversario"))</f>
        <v/>
      </c>
      <c r="AA48" s="11" t="n"/>
      <c r="AB48" s="11">
        <f>IF(OR(B48="",AA48=""),"",HYPERLINK("https://wa.me/52"&amp;C48&amp;"?text="&amp;_xlfn.ENCODEURL(_xlfn.SWITCH(AA48,"Bienvenida (primera visita)",Q48,"Seguimiento",S48,"Aviso de Etapa",U48,"Requisitos",AC48,"Datos de Facturación",AD48,"Cumpleaños",W48,"Aniversario",Y48,"")),"Enviar mensaje seleccionado"))</f>
        <v/>
      </c>
      <c r="AC48" s="10">
        <f>IF(B48="","",_xlfn.SWITCH(F48&amp;"|"&amp;G48,"Crédito|Persona física","Hola, "&amp;B48&amp;", para continuar con el proceso de tu *"&amp;D48&amp;"* por "&amp;F48&amp;",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"&amp;B48&amp;", para continuar con el proceso de tu *"&amp;D48&amp;"* por "&amp;F48&amp;",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"&amp;B48&amp;", para continuar con el proceso de tu *"&amp;D48&amp;"* por "&amp;F48&amp;",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"&amp;B48&amp;", para continuar con el proceso de tu *"&amp;D48&amp;"* por "&amp;F48&amp;", estos son los documentos que necesitamos:"&amp;CHAR(10)&amp;CHAR(10)&amp;"- INE"&amp;CHAR(10)&amp;"- Comprobante de domicilio"&amp;CHAR(10)&amp;"- Constancia de situación fiscal (no mayor a 3 meses)","Contado|Persona física con actividad empresarial","Hola, "&amp;B48&amp;", para continuar con el proceso de tu *"&amp;D48&amp;"* por "&amp;F48&amp;", estos son los documentos que necesitamos:"&amp;CHAR(10)&amp;CHAR(10)&amp;"- INE"&amp;CHAR(10)&amp;"- Comprobante de domicilio"&amp;CHAR(10)&amp;"- Constancia de situación fiscal (no mayor a 3 meses)","Contado|Persona moral","Hola, "&amp;B48&amp;", para continuar con el proceso de tu *"&amp;D48&amp;"* por "&amp;F48&amp;",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48" s="10">
        <f>IFERROR(INDEX(Facturación!$Q:$Q,MATCH(B48,Facturación!$A:$A,0)),"")</f>
        <v/>
      </c>
    </row>
    <row r="49" ht="15" customHeight="1" s="1">
      <c r="A49" s="11">
        <f>IF(B49="","",ROW()-1)</f>
        <v/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0">
        <f>IF(OR(B49="",L49&lt;&gt;"Sí"),"","Hola, "&amp;B49&amp;", excelente día. Le saluda *Alejandro Estrada* de Toyota Corregidora."&amp;CHAR(10)&amp;"Muchas gracias por visitarnos y conocer la *"&amp;D49&amp;"*.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49" s="11">
        <f>IF(Q49="","",HYPERLINK("https://wa.me/52"&amp;C49&amp;"?text="&amp;_xlfn.ENCODEURL(Q49),"Enviar Bienvenida"))</f>
        <v/>
      </c>
      <c r="S49" s="10">
        <f>IF(B49="","","Hola, "&amp;B49&amp;", muy buen día."&amp;CHAR(10)&amp;"Espero que esté teniendo una excelente semana. Le escribo para saber si tiene alguna duda sobre la oferta del *"&amp;D49&amp;"*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49" s="11">
        <f>IF(S49="","",HYPERLINK("https://wa.me/52"&amp;C49&amp;"?text="&amp;_xlfn.ENCODEURL(S49),"Enviar Seguimiento"))</f>
        <v/>
      </c>
      <c r="U49" s="10">
        <f>IF(B49="","",_xlfn.SWITCH(M49,"Apartado","Hola, "&amp;B49&amp;", buen día. Le confirmo que su apartado por el *"&amp;D49&amp;"* quedó registrado correctamente. Seguimos con el proceso y le mantendré informado(a) de cada paso.","Toma de vehículo","Hola, "&amp;B49&amp;", le comparto que estamos en el proceso de toma de su vehículo actual. En cuanto tengamos el resultado le aviso para continuar con el siguiente paso.","Pago vehículo a cuenta","Hola, "&amp;B49&amp;", quedamos en proceso de pago del vehículo que se toma a cuenta. Cualquier documento o aclaración que se requiera se lo haré saber por este medio.","Firma de contrato","Hola, "&amp;B49&amp;", ya estamos listos para agendar la firma de su contrato. ¿Qué día y hora se le facilita para realizarla?","Facturación","Hola, "&amp;B49&amp;", su unidad ya está en proceso de facturación. En breve le comparto los datos para su confirmación.","Programación de entrega","Hola, "&amp;B49&amp;", con gusto le comparto que ya podemos programar la entrega de su *"&amp;D49&amp;"*. ¿Qué día y hora le acomodan mejor?","Entregado","Hola, "&amp;B49&amp;", ¡muchas felicidades por estrenar su *"&amp;D49&amp;"*! Fue un gusto acompañarle en este proceso. Quedo pendiente de cualquier duda y con gusto le agendo su próxima cita de servicio cuando lo necesite.","Hola, "&amp;B49&amp;", seguimos en contacto para avanzar con el proceso de su próximo Toyota.")&amp;CHAR(10)&amp;CHAR(10)&amp;Config!$B$1)</f>
        <v/>
      </c>
      <c r="V49" s="11">
        <f>IF(U49="","",HYPERLINK("https://wa.me/52"&amp;C49&amp;"?text="&amp;_xlfn.ENCODEURL(U49),"Enviar aviso de etapa"))</f>
        <v/>
      </c>
      <c r="W49" s="10">
        <f>IF(OR(B49="",O49=""),"","Hola, "&amp;B49&amp;", ¡feliz cumpleaños! Le deseo un excelente día rodeado de quienes más quiere. Ha sido un placer acompañarle desde que estrenó su Toyota. ¡Un abrazo!"&amp;CHAR(10)&amp;CHAR(10)&amp;Config!$B$1)</f>
        <v/>
      </c>
      <c r="X49" s="11">
        <f>IF(W49="","",HYPERLINK("https://wa.me/52"&amp;C49&amp;"?text="&amp;_xlfn.ENCODEURL(W49),"Enviar felicitación"))</f>
        <v/>
      </c>
      <c r="Y49" s="10">
        <f>IF(OR(B49="",P49=""),"","Hola, "&amp;B49&amp;", hoy se cumple un año más desde que estrenó su *"&amp;D49&amp;"*. Espero que haya sido un gran compañero de camino. Cualquier cosa que necesite, aquí estoy para apoyarle."&amp;CHAR(10)&amp;CHAR(10)&amp;Config!$B$1)</f>
        <v/>
      </c>
      <c r="Z49" s="11">
        <f>IF(Y49="","",HYPERLINK("https://wa.me/52"&amp;C49&amp;"?text="&amp;_xlfn.ENCODEURL(Y49),"Enviar aniversario"))</f>
        <v/>
      </c>
      <c r="AA49" s="11" t="n"/>
      <c r="AB49" s="11">
        <f>IF(OR(B49="",AA49=""),"",HYPERLINK("https://wa.me/52"&amp;C49&amp;"?text="&amp;_xlfn.ENCODEURL(_xlfn.SWITCH(AA49,"Bienvenida (primera visita)",Q49,"Seguimiento",S49,"Aviso de Etapa",U49,"Requisitos",AC49,"Datos de Facturación",AD49,"Cumpleaños",W49,"Aniversario",Y49,"")),"Enviar mensaje seleccionado"))</f>
        <v/>
      </c>
      <c r="AC49" s="10">
        <f>IF(B49="","",_xlfn.SWITCH(F49&amp;"|"&amp;G49,"Crédito|Persona física","Hola, "&amp;B49&amp;", para continuar con el proceso de tu *"&amp;D49&amp;"* por "&amp;F49&amp;",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"&amp;B49&amp;", para continuar con el proceso de tu *"&amp;D49&amp;"* por "&amp;F49&amp;",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"&amp;B49&amp;", para continuar con el proceso de tu *"&amp;D49&amp;"* por "&amp;F49&amp;",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"&amp;B49&amp;", para continuar con el proceso de tu *"&amp;D49&amp;"* por "&amp;F49&amp;", estos son los documentos que necesitamos:"&amp;CHAR(10)&amp;CHAR(10)&amp;"- INE"&amp;CHAR(10)&amp;"- Comprobante de domicilio"&amp;CHAR(10)&amp;"- Constancia de situación fiscal (no mayor a 3 meses)","Contado|Persona física con actividad empresarial","Hola, "&amp;B49&amp;", para continuar con el proceso de tu *"&amp;D49&amp;"* por "&amp;F49&amp;", estos son los documentos que necesitamos:"&amp;CHAR(10)&amp;CHAR(10)&amp;"- INE"&amp;CHAR(10)&amp;"- Comprobante de domicilio"&amp;CHAR(10)&amp;"- Constancia de situación fiscal (no mayor a 3 meses)","Contado|Persona moral","Hola, "&amp;B49&amp;", para continuar con el proceso de tu *"&amp;D49&amp;"* por "&amp;F49&amp;",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49" s="10">
        <f>IFERROR(INDEX(Facturación!$Q:$Q,MATCH(B49,Facturación!$A:$A,0)),"")</f>
        <v/>
      </c>
    </row>
    <row r="50" ht="15" customHeight="1" s="1">
      <c r="A50" s="11">
        <f>IF(B50="","",ROW()-1)</f>
        <v/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0">
        <f>IF(OR(B50="",L50&lt;&gt;"Sí"),"","Hola, "&amp;B50&amp;", excelente día. Le saluda *Alejandro Estrada* de Toyota Corregidora."&amp;CHAR(10)&amp;"Muchas gracias por visitarnos y conocer la *"&amp;D50&amp;"*.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50" s="11">
        <f>IF(Q50="","",HYPERLINK("https://wa.me/52"&amp;C50&amp;"?text="&amp;_xlfn.ENCODEURL(Q50),"Enviar Bienvenida"))</f>
        <v/>
      </c>
      <c r="S50" s="10">
        <f>IF(B50="","","Hola, "&amp;B50&amp;", muy buen día."&amp;CHAR(10)&amp;"Espero que esté teniendo una excelente semana. Le escribo para saber si tiene alguna duda sobre la oferta del *"&amp;D50&amp;"*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50" s="11">
        <f>IF(S50="","",HYPERLINK("https://wa.me/52"&amp;C50&amp;"?text="&amp;_xlfn.ENCODEURL(S50),"Enviar Seguimiento"))</f>
        <v/>
      </c>
      <c r="U50" s="10">
        <f>IF(B50="","",_xlfn.SWITCH(M50,"Apartado","Hola, "&amp;B50&amp;", buen día. Le confirmo que su apartado por el *"&amp;D50&amp;"* quedó registrado correctamente. Seguimos con el proceso y le mantendré informado(a) de cada paso.","Toma de vehículo","Hola, "&amp;B50&amp;", le comparto que estamos en el proceso de toma de su vehículo actual. En cuanto tengamos el resultado le aviso para continuar con el siguiente paso.","Pago vehículo a cuenta","Hola, "&amp;B50&amp;", quedamos en proceso de pago del vehículo que se toma a cuenta. Cualquier documento o aclaración que se requiera se lo haré saber por este medio.","Firma de contrato","Hola, "&amp;B50&amp;", ya estamos listos para agendar la firma de su contrato. ¿Qué día y hora se le facilita para realizarla?","Facturación","Hola, "&amp;B50&amp;", su unidad ya está en proceso de facturación. En breve le comparto los datos para su confirmación.","Programación de entrega","Hola, "&amp;B50&amp;", con gusto le comparto que ya podemos programar la entrega de su *"&amp;D50&amp;"*. ¿Qué día y hora le acomodan mejor?","Entregado","Hola, "&amp;B50&amp;", ¡muchas felicidades por estrenar su *"&amp;D50&amp;"*! Fue un gusto acompañarle en este proceso. Quedo pendiente de cualquier duda y con gusto le agendo su próxima cita de servicio cuando lo necesite.","Hola, "&amp;B50&amp;", seguimos en contacto para avanzar con el proceso de su próximo Toyota.")&amp;CHAR(10)&amp;CHAR(10)&amp;Config!$B$1)</f>
        <v/>
      </c>
      <c r="V50" s="11">
        <f>IF(U50="","",HYPERLINK("https://wa.me/52"&amp;C50&amp;"?text="&amp;_xlfn.ENCODEURL(U50),"Enviar aviso de etapa"))</f>
        <v/>
      </c>
      <c r="W50" s="10">
        <f>IF(OR(B50="",O50=""),"","Hola, "&amp;B50&amp;", ¡feliz cumpleaños! Le deseo un excelente día rodeado de quienes más quiere. Ha sido un placer acompañarle desde que estrenó su Toyota. ¡Un abrazo!"&amp;CHAR(10)&amp;CHAR(10)&amp;Config!$B$1)</f>
        <v/>
      </c>
      <c r="X50" s="11">
        <f>IF(W50="","",HYPERLINK("https://wa.me/52"&amp;C50&amp;"?text="&amp;_xlfn.ENCODEURL(W50),"Enviar felicitación"))</f>
        <v/>
      </c>
      <c r="Y50" s="10">
        <f>IF(OR(B50="",P50=""),"","Hola, "&amp;B50&amp;", hoy se cumple un año más desde que estrenó su *"&amp;D50&amp;"*. Espero que haya sido un gran compañero de camino. Cualquier cosa que necesite, aquí estoy para apoyarle."&amp;CHAR(10)&amp;CHAR(10)&amp;Config!$B$1)</f>
        <v/>
      </c>
      <c r="Z50" s="11">
        <f>IF(Y50="","",HYPERLINK("https://wa.me/52"&amp;C50&amp;"?text="&amp;_xlfn.ENCODEURL(Y50),"Enviar aniversario"))</f>
        <v/>
      </c>
      <c r="AA50" s="11" t="n"/>
      <c r="AB50" s="11">
        <f>IF(OR(B50="",AA50=""),"",HYPERLINK("https://wa.me/52"&amp;C50&amp;"?text="&amp;_xlfn.ENCODEURL(_xlfn.SWITCH(AA50,"Bienvenida (primera visita)",Q50,"Seguimiento",S50,"Aviso de Etapa",U50,"Requisitos",AC50,"Datos de Facturación",AD50,"Cumpleaños",W50,"Aniversario",Y50,"")),"Enviar mensaje seleccionado"))</f>
        <v/>
      </c>
      <c r="AC50" s="10">
        <f>IF(B50="","",_xlfn.SWITCH(F50&amp;"|"&amp;G50,"Crédito|Persona física","Hola, "&amp;B50&amp;", para continuar con el proceso de tu *"&amp;D50&amp;"* por "&amp;F50&amp;",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"&amp;B50&amp;", para continuar con el proceso de tu *"&amp;D50&amp;"* por "&amp;F50&amp;",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"&amp;B50&amp;", para continuar con el proceso de tu *"&amp;D50&amp;"* por "&amp;F50&amp;",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"&amp;B50&amp;", para continuar con el proceso de tu *"&amp;D50&amp;"* por "&amp;F50&amp;", estos son los documentos que necesitamos:"&amp;CHAR(10)&amp;CHAR(10)&amp;"- INE"&amp;CHAR(10)&amp;"- Comprobante de domicilio"&amp;CHAR(10)&amp;"- Constancia de situación fiscal (no mayor a 3 meses)","Contado|Persona física con actividad empresarial","Hola, "&amp;B50&amp;", para continuar con el proceso de tu *"&amp;D50&amp;"* por "&amp;F50&amp;", estos son los documentos que necesitamos:"&amp;CHAR(10)&amp;CHAR(10)&amp;"- INE"&amp;CHAR(10)&amp;"- Comprobante de domicilio"&amp;CHAR(10)&amp;"- Constancia de situación fiscal (no mayor a 3 meses)","Contado|Persona moral","Hola, "&amp;B50&amp;", para continuar con el proceso de tu *"&amp;D50&amp;"* por "&amp;F50&amp;",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50" s="10">
        <f>IFERROR(INDEX(Facturación!$Q:$Q,MATCH(B50,Facturación!$A:$A,0)),"")</f>
        <v/>
      </c>
    </row>
    <row r="51" ht="15" customHeight="1" s="1">
      <c r="A51" s="11">
        <f>IF(B51="","",ROW()-1)</f>
        <v/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0">
        <f>IF(OR(B51="",L51&lt;&gt;"Sí"),"","Hola, "&amp;B51&amp;", excelente día. Le saluda *Alejandro Estrada* de Toyota Corregidora."&amp;CHAR(10)&amp;"Muchas gracias por visitarnos y conocer la *"&amp;D51&amp;"*.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51" s="11">
        <f>IF(Q51="","",HYPERLINK("https://wa.me/52"&amp;C51&amp;"?text="&amp;_xlfn.ENCODEURL(Q51),"Enviar Bienvenida"))</f>
        <v/>
      </c>
      <c r="S51" s="10">
        <f>IF(B51="","","Hola, "&amp;B51&amp;", muy buen día."&amp;CHAR(10)&amp;"Espero que esté teniendo una excelente semana. Le escribo para saber si tiene alguna duda sobre la oferta del *"&amp;D51&amp;"*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51" s="11">
        <f>IF(S51="","",HYPERLINK("https://wa.me/52"&amp;C51&amp;"?text="&amp;_xlfn.ENCODEURL(S51),"Enviar Seguimiento"))</f>
        <v/>
      </c>
      <c r="U51" s="10">
        <f>IF(B51="","",_xlfn.SWITCH(M51,"Apartado","Hola, "&amp;B51&amp;", buen día. Le confirmo que su apartado por el *"&amp;D51&amp;"* quedó registrado correctamente. Seguimos con el proceso y le mantendré informado(a) de cada paso.","Toma de vehículo","Hola, "&amp;B51&amp;", le comparto que estamos en el proceso de toma de su vehículo actual. En cuanto tengamos el resultado le aviso para continuar con el siguiente paso.","Pago vehículo a cuenta","Hola, "&amp;B51&amp;", quedamos en proceso de pago del vehículo que se toma a cuenta. Cualquier documento o aclaración que se requiera se lo haré saber por este medio.","Firma de contrato","Hola, "&amp;B51&amp;", ya estamos listos para agendar la firma de su contrato. ¿Qué día y hora se le facilita para realizarla?","Facturación","Hola, "&amp;B51&amp;", su unidad ya está en proceso de facturación. En breve le comparto los datos para su confirmación.","Programación de entrega","Hola, "&amp;B51&amp;", con gusto le comparto que ya podemos programar la entrega de su *"&amp;D51&amp;"*. ¿Qué día y hora le acomodan mejor?","Entregado","Hola, "&amp;B51&amp;", ¡muchas felicidades por estrenar su *"&amp;D51&amp;"*! Fue un gusto acompañarle en este proceso. Quedo pendiente de cualquier duda y con gusto le agendo su próxima cita de servicio cuando lo necesite.","Hola, "&amp;B51&amp;", seguimos en contacto para avanzar con el proceso de su próximo Toyota.")&amp;CHAR(10)&amp;CHAR(10)&amp;Config!$B$1)</f>
        <v/>
      </c>
      <c r="V51" s="11">
        <f>IF(U51="","",HYPERLINK("https://wa.me/52"&amp;C51&amp;"?text="&amp;_xlfn.ENCODEURL(U51),"Enviar aviso de etapa"))</f>
        <v/>
      </c>
      <c r="W51" s="10">
        <f>IF(OR(B51="",O51=""),"","Hola, "&amp;B51&amp;", ¡feliz cumpleaños! Le deseo un excelente día rodeado de quienes más quiere. Ha sido un placer acompañarle desde que estrenó su Toyota. ¡Un abrazo!"&amp;CHAR(10)&amp;CHAR(10)&amp;Config!$B$1)</f>
        <v/>
      </c>
      <c r="X51" s="11">
        <f>IF(W51="","",HYPERLINK("https://wa.me/52"&amp;C51&amp;"?text="&amp;_xlfn.ENCODEURL(W51),"Enviar felicitación"))</f>
        <v/>
      </c>
      <c r="Y51" s="10">
        <f>IF(OR(B51="",P51=""),"","Hola, "&amp;B51&amp;", hoy se cumple un año más desde que estrenó su *"&amp;D51&amp;"*. Espero que haya sido un gran compañero de camino. Cualquier cosa que necesite, aquí estoy para apoyarle."&amp;CHAR(10)&amp;CHAR(10)&amp;Config!$B$1)</f>
        <v/>
      </c>
      <c r="Z51" s="11">
        <f>IF(Y51="","",HYPERLINK("https://wa.me/52"&amp;C51&amp;"?text="&amp;_xlfn.ENCODEURL(Y51),"Enviar aniversario"))</f>
        <v/>
      </c>
      <c r="AA51" s="11" t="n"/>
      <c r="AB51" s="11">
        <f>IF(OR(B51="",AA51=""),"",HYPERLINK("https://wa.me/52"&amp;C51&amp;"?text="&amp;_xlfn.ENCODEURL(_xlfn.SWITCH(AA51,"Bienvenida (primera visita)",Q51,"Seguimiento",S51,"Aviso de Etapa",U51,"Requisitos",AC51,"Datos de Facturación",AD51,"Cumpleaños",W51,"Aniversario",Y51,"")),"Enviar mensaje seleccionado"))</f>
        <v/>
      </c>
      <c r="AC51" s="10">
        <f>IF(B51="","",_xlfn.SWITCH(F51&amp;"|"&amp;G51,"Crédito|Persona física","Hola, "&amp;B51&amp;", para continuar con el proceso de tu *"&amp;D51&amp;"* por "&amp;F51&amp;",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"&amp;B51&amp;", para continuar con el proceso de tu *"&amp;D51&amp;"* por "&amp;F51&amp;",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"&amp;B51&amp;", para continuar con el proceso de tu *"&amp;D51&amp;"* por "&amp;F51&amp;",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"&amp;B51&amp;", para continuar con el proceso de tu *"&amp;D51&amp;"* por "&amp;F51&amp;", estos son los documentos que necesitamos:"&amp;CHAR(10)&amp;CHAR(10)&amp;"- INE"&amp;CHAR(10)&amp;"- Comprobante de domicilio"&amp;CHAR(10)&amp;"- Constancia de situación fiscal (no mayor a 3 meses)","Contado|Persona física con actividad empresarial","Hola, "&amp;B51&amp;", para continuar con el proceso de tu *"&amp;D51&amp;"* por "&amp;F51&amp;", estos son los documentos que necesitamos:"&amp;CHAR(10)&amp;CHAR(10)&amp;"- INE"&amp;CHAR(10)&amp;"- Comprobante de domicilio"&amp;CHAR(10)&amp;"- Constancia de situación fiscal (no mayor a 3 meses)","Contado|Persona moral","Hola, "&amp;B51&amp;", para continuar con el proceso de tu *"&amp;D51&amp;"* por "&amp;F51&amp;",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51" s="10">
        <f>IFERROR(INDEX(Facturación!$Q:$Q,MATCH(B51,Facturación!$A:$A,0)),"")</f>
        <v/>
      </c>
    </row>
    <row r="52" ht="15" customHeight="1" s="1">
      <c r="A52" s="11">
        <f>IF(B52="","",ROW()-1)</f>
        <v/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0">
        <f>IF(OR(B52="",L52&lt;&gt;"Sí"),"","Hola, "&amp;B52&amp;", excelente día. Le saluda *Alejandro Estrada* de Toyota Corregidora."&amp;CHAR(10)&amp;"Muchas gracias por visitarnos y conocer la *"&amp;D52&amp;"*.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52" s="11">
        <f>IF(Q52="","",HYPERLINK("https://wa.me/52"&amp;C52&amp;"?text="&amp;_xlfn.ENCODEURL(Q52),"Enviar Bienvenida"))</f>
        <v/>
      </c>
      <c r="S52" s="10">
        <f>IF(B52="","","Hola, "&amp;B52&amp;", muy buen día."&amp;CHAR(10)&amp;"Espero que esté teniendo una excelente semana. Le escribo para saber si tiene alguna duda sobre la oferta del *"&amp;D52&amp;"*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52" s="11">
        <f>IF(S52="","",HYPERLINK("https://wa.me/52"&amp;C52&amp;"?text="&amp;_xlfn.ENCODEURL(S52),"Enviar Seguimiento"))</f>
        <v/>
      </c>
      <c r="U52" s="10">
        <f>IF(B52="","",_xlfn.SWITCH(M52,"Apartado","Hola, "&amp;B52&amp;", buen día. Le confirmo que su apartado por el *"&amp;D52&amp;"* quedó registrado correctamente. Seguimos con el proceso y le mantendré informado(a) de cada paso.","Toma de vehículo","Hola, "&amp;B52&amp;", le comparto que estamos en el proceso de toma de su vehículo actual. En cuanto tengamos el resultado le aviso para continuar con el siguiente paso.","Pago vehículo a cuenta","Hola, "&amp;B52&amp;", quedamos en proceso de pago del vehículo que se toma a cuenta. Cualquier documento o aclaración que se requiera se lo haré saber por este medio.","Firma de contrato","Hola, "&amp;B52&amp;", ya estamos listos para agendar la firma de su contrato. ¿Qué día y hora se le facilita para realizarla?","Facturación","Hola, "&amp;B52&amp;", su unidad ya está en proceso de facturación. En breve le comparto los datos para su confirmación.","Programación de entrega","Hola, "&amp;B52&amp;", con gusto le comparto que ya podemos programar la entrega de su *"&amp;D52&amp;"*. ¿Qué día y hora le acomodan mejor?","Entregado","Hola, "&amp;B52&amp;", ¡muchas felicidades por estrenar su *"&amp;D52&amp;"*! Fue un gusto acompañarle en este proceso. Quedo pendiente de cualquier duda y con gusto le agendo su próxima cita de servicio cuando lo necesite.","Hola, "&amp;B52&amp;", seguimos en contacto para avanzar con el proceso de su próximo Toyota.")&amp;CHAR(10)&amp;CHAR(10)&amp;Config!$B$1)</f>
        <v/>
      </c>
      <c r="V52" s="11">
        <f>IF(U52="","",HYPERLINK("https://wa.me/52"&amp;C52&amp;"?text="&amp;_xlfn.ENCODEURL(U52),"Enviar aviso de etapa"))</f>
        <v/>
      </c>
      <c r="W52" s="10">
        <f>IF(OR(B52="",O52=""),"","Hola, "&amp;B52&amp;", ¡feliz cumpleaños! Le deseo un excelente día rodeado de quienes más quiere. Ha sido un placer acompañarle desde que estrenó su Toyota. ¡Un abrazo!"&amp;CHAR(10)&amp;CHAR(10)&amp;Config!$B$1)</f>
        <v/>
      </c>
      <c r="X52" s="11">
        <f>IF(W52="","",HYPERLINK("https://wa.me/52"&amp;C52&amp;"?text="&amp;_xlfn.ENCODEURL(W52),"Enviar felicitación"))</f>
        <v/>
      </c>
      <c r="Y52" s="10">
        <f>IF(OR(B52="",P52=""),"","Hola, "&amp;B52&amp;", hoy se cumple un año más desde que estrenó su *"&amp;D52&amp;"*. Espero que haya sido un gran compañero de camino. Cualquier cosa que necesite, aquí estoy para apoyarle."&amp;CHAR(10)&amp;CHAR(10)&amp;Config!$B$1)</f>
        <v/>
      </c>
      <c r="Z52" s="11">
        <f>IF(Y52="","",HYPERLINK("https://wa.me/52"&amp;C52&amp;"?text="&amp;_xlfn.ENCODEURL(Y52),"Enviar aniversario"))</f>
        <v/>
      </c>
      <c r="AA52" s="11" t="n"/>
      <c r="AB52" s="11">
        <f>IF(OR(B52="",AA52=""),"",HYPERLINK("https://wa.me/52"&amp;C52&amp;"?text="&amp;_xlfn.ENCODEURL(_xlfn.SWITCH(AA52,"Bienvenida (primera visita)",Q52,"Seguimiento",S52,"Aviso de Etapa",U52,"Requisitos",AC52,"Datos de Facturación",AD52,"Cumpleaños",W52,"Aniversario",Y52,"")),"Enviar mensaje seleccionado"))</f>
        <v/>
      </c>
      <c r="AC52" s="10">
        <f>IF(B52="","",_xlfn.SWITCH(F52&amp;"|"&amp;G52,"Crédito|Persona física","Hola, "&amp;B52&amp;", para continuar con el proceso de tu *"&amp;D52&amp;"* por "&amp;F52&amp;",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"&amp;B52&amp;", para continuar con el proceso de tu *"&amp;D52&amp;"* por "&amp;F52&amp;",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"&amp;B52&amp;", para continuar con el proceso de tu *"&amp;D52&amp;"* por "&amp;F52&amp;",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"&amp;B52&amp;", para continuar con el proceso de tu *"&amp;D52&amp;"* por "&amp;F52&amp;", estos son los documentos que necesitamos:"&amp;CHAR(10)&amp;CHAR(10)&amp;"- INE"&amp;CHAR(10)&amp;"- Comprobante de domicilio"&amp;CHAR(10)&amp;"- Constancia de situación fiscal (no mayor a 3 meses)","Contado|Persona física con actividad empresarial","Hola, "&amp;B52&amp;", para continuar con el proceso de tu *"&amp;D52&amp;"* por "&amp;F52&amp;", estos son los documentos que necesitamos:"&amp;CHAR(10)&amp;CHAR(10)&amp;"- INE"&amp;CHAR(10)&amp;"- Comprobante de domicilio"&amp;CHAR(10)&amp;"- Constancia de situación fiscal (no mayor a 3 meses)","Contado|Persona moral","Hola, "&amp;B52&amp;", para continuar con el proceso de tu *"&amp;D52&amp;"* por "&amp;F52&amp;",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52" s="10">
        <f>IFERROR(INDEX(Facturación!$Q:$Q,MATCH(B52,Facturación!$A:$A,0)),"")</f>
        <v/>
      </c>
    </row>
    <row r="53" ht="15" customHeight="1" s="1">
      <c r="A53" s="11">
        <f>IF(B53="","",ROW()-1)</f>
        <v/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0">
        <f>IF(OR(B53="",L53&lt;&gt;"Sí"),"","Hola, "&amp;B53&amp;", excelente día. Le saluda *Alejandro Estrada* de Toyota Corregidora."&amp;CHAR(10)&amp;"Muchas gracias por visitarnos y conocer la *"&amp;D53&amp;"*.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53" s="11">
        <f>IF(Q53="","",HYPERLINK("https://wa.me/52"&amp;C53&amp;"?text="&amp;_xlfn.ENCODEURL(Q53),"Enviar Bienvenida"))</f>
        <v/>
      </c>
      <c r="S53" s="10">
        <f>IF(B53="","","Hola, "&amp;B53&amp;", muy buen día."&amp;CHAR(10)&amp;"Espero que esté teniendo una excelente semana. Le escribo para saber si tiene alguna duda sobre la oferta del *"&amp;D53&amp;"*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53" s="11">
        <f>IF(S53="","",HYPERLINK("https://wa.me/52"&amp;C53&amp;"?text="&amp;_xlfn.ENCODEURL(S53),"Enviar Seguimiento"))</f>
        <v/>
      </c>
      <c r="U53" s="10">
        <f>IF(B53="","",_xlfn.SWITCH(M53,"Apartado","Hola, "&amp;B53&amp;", buen día. Le confirmo que su apartado por el *"&amp;D53&amp;"* quedó registrado correctamente. Seguimos con el proceso y le mantendré informado(a) de cada paso.","Toma de vehículo","Hola, "&amp;B53&amp;", le comparto que estamos en el proceso de toma de su vehículo actual. En cuanto tengamos el resultado le aviso para continuar con el siguiente paso.","Pago vehículo a cuenta","Hola, "&amp;B53&amp;", quedamos en proceso de pago del vehículo que se toma a cuenta. Cualquier documento o aclaración que se requiera se lo haré saber por este medio.","Firma de contrato","Hola, "&amp;B53&amp;", ya estamos listos para agendar la firma de su contrato. ¿Qué día y hora se le facilita para realizarla?","Facturación","Hola, "&amp;B53&amp;", su unidad ya está en proceso de facturación. En breve le comparto los datos para su confirmación.","Programación de entrega","Hola, "&amp;B53&amp;", con gusto le comparto que ya podemos programar la entrega de su *"&amp;D53&amp;"*. ¿Qué día y hora le acomodan mejor?","Entregado","Hola, "&amp;B53&amp;", ¡muchas felicidades por estrenar su *"&amp;D53&amp;"*! Fue un gusto acompañarle en este proceso. Quedo pendiente de cualquier duda y con gusto le agendo su próxima cita de servicio cuando lo necesite.","Hola, "&amp;B53&amp;", seguimos en contacto para avanzar con el proceso de su próximo Toyota.")&amp;CHAR(10)&amp;CHAR(10)&amp;Config!$B$1)</f>
        <v/>
      </c>
      <c r="V53" s="11">
        <f>IF(U53="","",HYPERLINK("https://wa.me/52"&amp;C53&amp;"?text="&amp;_xlfn.ENCODEURL(U53),"Enviar aviso de etapa"))</f>
        <v/>
      </c>
      <c r="W53" s="10">
        <f>IF(OR(B53="",O53=""),"","Hola, "&amp;B53&amp;", ¡feliz cumpleaños! Le deseo un excelente día rodeado de quienes más quiere. Ha sido un placer acompañarle desde que estrenó su Toyota. ¡Un abrazo!"&amp;CHAR(10)&amp;CHAR(10)&amp;Config!$B$1)</f>
        <v/>
      </c>
      <c r="X53" s="11">
        <f>IF(W53="","",HYPERLINK("https://wa.me/52"&amp;C53&amp;"?text="&amp;_xlfn.ENCODEURL(W53),"Enviar felicitación"))</f>
        <v/>
      </c>
      <c r="Y53" s="10">
        <f>IF(OR(B53="",P53=""),"","Hola, "&amp;B53&amp;", hoy se cumple un año más desde que estrenó su *"&amp;D53&amp;"*. Espero que haya sido un gran compañero de camino. Cualquier cosa que necesite, aquí estoy para apoyarle."&amp;CHAR(10)&amp;CHAR(10)&amp;Config!$B$1)</f>
        <v/>
      </c>
      <c r="Z53" s="11">
        <f>IF(Y53="","",HYPERLINK("https://wa.me/52"&amp;C53&amp;"?text="&amp;_xlfn.ENCODEURL(Y53),"Enviar aniversario"))</f>
        <v/>
      </c>
      <c r="AA53" s="11" t="n"/>
      <c r="AB53" s="11">
        <f>IF(OR(B53="",AA53=""),"",HYPERLINK("https://wa.me/52"&amp;C53&amp;"?text="&amp;_xlfn.ENCODEURL(_xlfn.SWITCH(AA53,"Bienvenida (primera visita)",Q53,"Seguimiento",S53,"Aviso de Etapa",U53,"Requisitos",AC53,"Datos de Facturación",AD53,"Cumpleaños",W53,"Aniversario",Y53,"")),"Enviar mensaje seleccionado"))</f>
        <v/>
      </c>
      <c r="AC53" s="10">
        <f>IF(B53="","",_xlfn.SWITCH(F53&amp;"|"&amp;G53,"Crédito|Persona física","Hola, "&amp;B53&amp;", para continuar con el proceso de tu *"&amp;D53&amp;"* por "&amp;F53&amp;",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"&amp;B53&amp;", para continuar con el proceso de tu *"&amp;D53&amp;"* por "&amp;F53&amp;",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"&amp;B53&amp;", para continuar con el proceso de tu *"&amp;D53&amp;"* por "&amp;F53&amp;",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"&amp;B53&amp;", para continuar con el proceso de tu *"&amp;D53&amp;"* por "&amp;F53&amp;", estos son los documentos que necesitamos:"&amp;CHAR(10)&amp;CHAR(10)&amp;"- INE"&amp;CHAR(10)&amp;"- Comprobante de domicilio"&amp;CHAR(10)&amp;"- Constancia de situación fiscal (no mayor a 3 meses)","Contado|Persona física con actividad empresarial","Hola, "&amp;B53&amp;", para continuar con el proceso de tu *"&amp;D53&amp;"* por "&amp;F53&amp;", estos son los documentos que necesitamos:"&amp;CHAR(10)&amp;CHAR(10)&amp;"- INE"&amp;CHAR(10)&amp;"- Comprobante de domicilio"&amp;CHAR(10)&amp;"- Constancia de situación fiscal (no mayor a 3 meses)","Contado|Persona moral","Hola, "&amp;B53&amp;", para continuar con el proceso de tu *"&amp;D53&amp;"* por "&amp;F53&amp;",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53" s="10">
        <f>IFERROR(INDEX(Facturación!$Q:$Q,MATCH(B53,Facturación!$A:$A,0)),"")</f>
        <v/>
      </c>
    </row>
    <row r="54" ht="15" customHeight="1" s="1">
      <c r="A54" s="11">
        <f>IF(B54="","",ROW()-1)</f>
        <v/>
      </c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0">
        <f>IF(OR(B54="",L54&lt;&gt;"Sí"),"","Hola, "&amp;B54&amp;", excelente día. Le saluda *Alejandro Estrada* de Toyota Corregidora."&amp;CHAR(10)&amp;"Muchas gracias por visitarnos y conocer la *"&amp;D54&amp;"*.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54" s="11">
        <f>IF(Q54="","",HYPERLINK("https://wa.me/52"&amp;C54&amp;"?text="&amp;_xlfn.ENCODEURL(Q54),"Enviar Bienvenida"))</f>
        <v/>
      </c>
      <c r="S54" s="10">
        <f>IF(B54="","","Hola, "&amp;B54&amp;", muy buen día."&amp;CHAR(10)&amp;"Espero que esté teniendo una excelente semana. Le escribo para saber si tiene alguna duda sobre la oferta del *"&amp;D54&amp;"*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54" s="11">
        <f>IF(S54="","",HYPERLINK("https://wa.me/52"&amp;C54&amp;"?text="&amp;_xlfn.ENCODEURL(S54),"Enviar Seguimiento"))</f>
        <v/>
      </c>
      <c r="U54" s="10">
        <f>IF(B54="","",_xlfn.SWITCH(M54,"Apartado","Hola, "&amp;B54&amp;", buen día. Le confirmo que su apartado por el *"&amp;D54&amp;"* quedó registrado correctamente. Seguimos con el proceso y le mantendré informado(a) de cada paso.","Toma de vehículo","Hola, "&amp;B54&amp;", le comparto que estamos en el proceso de toma de su vehículo actual. En cuanto tengamos el resultado le aviso para continuar con el siguiente paso.","Pago vehículo a cuenta","Hola, "&amp;B54&amp;", quedamos en proceso de pago del vehículo que se toma a cuenta. Cualquier documento o aclaración que se requiera se lo haré saber por este medio.","Firma de contrato","Hola, "&amp;B54&amp;", ya estamos listos para agendar la firma de su contrato. ¿Qué día y hora se le facilita para realizarla?","Facturación","Hola, "&amp;B54&amp;", su unidad ya está en proceso de facturación. En breve le comparto los datos para su confirmación.","Programación de entrega","Hola, "&amp;B54&amp;", con gusto le comparto que ya podemos programar la entrega de su *"&amp;D54&amp;"*. ¿Qué día y hora le acomodan mejor?","Entregado","Hola, "&amp;B54&amp;", ¡muchas felicidades por estrenar su *"&amp;D54&amp;"*! Fue un gusto acompañarle en este proceso. Quedo pendiente de cualquier duda y con gusto le agendo su próxima cita de servicio cuando lo necesite.","Hola, "&amp;B54&amp;", seguimos en contacto para avanzar con el proceso de su próximo Toyota.")&amp;CHAR(10)&amp;CHAR(10)&amp;Config!$B$1)</f>
        <v/>
      </c>
      <c r="V54" s="11">
        <f>IF(U54="","",HYPERLINK("https://wa.me/52"&amp;C54&amp;"?text="&amp;_xlfn.ENCODEURL(U54),"Enviar aviso de etapa"))</f>
        <v/>
      </c>
      <c r="W54" s="10">
        <f>IF(OR(B54="",O54=""),"","Hola, "&amp;B54&amp;", ¡feliz cumpleaños! Le deseo un excelente día rodeado de quienes más quiere. Ha sido un placer acompañarle desde que estrenó su Toyota. ¡Un abrazo!"&amp;CHAR(10)&amp;CHAR(10)&amp;Config!$B$1)</f>
        <v/>
      </c>
      <c r="X54" s="11">
        <f>IF(W54="","",HYPERLINK("https://wa.me/52"&amp;C54&amp;"?text="&amp;_xlfn.ENCODEURL(W54),"Enviar felicitación"))</f>
        <v/>
      </c>
      <c r="Y54" s="10">
        <f>IF(OR(B54="",P54=""),"","Hola, "&amp;B54&amp;", hoy se cumple un año más desde que estrenó su *"&amp;D54&amp;"*. Espero que haya sido un gran compañero de camino. Cualquier cosa que necesite, aquí estoy para apoyarle."&amp;CHAR(10)&amp;CHAR(10)&amp;Config!$B$1)</f>
        <v/>
      </c>
      <c r="Z54" s="11">
        <f>IF(Y54="","",HYPERLINK("https://wa.me/52"&amp;C54&amp;"?text="&amp;_xlfn.ENCODEURL(Y54),"Enviar aniversario"))</f>
        <v/>
      </c>
      <c r="AA54" s="11" t="n"/>
      <c r="AB54" s="11">
        <f>IF(OR(B54="",AA54=""),"",HYPERLINK("https://wa.me/52"&amp;C54&amp;"?text="&amp;_xlfn.ENCODEURL(_xlfn.SWITCH(AA54,"Bienvenida (primera visita)",Q54,"Seguimiento",S54,"Aviso de Etapa",U54,"Requisitos",AC54,"Datos de Facturación",AD54,"Cumpleaños",W54,"Aniversario",Y54,"")),"Enviar mensaje seleccionado"))</f>
        <v/>
      </c>
      <c r="AC54" s="10">
        <f>IF(B54="","",_xlfn.SWITCH(F54&amp;"|"&amp;G54,"Crédito|Persona física","Hola, "&amp;B54&amp;", para continuar con el proceso de tu *"&amp;D54&amp;"* por "&amp;F54&amp;",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"&amp;B54&amp;", para continuar con el proceso de tu *"&amp;D54&amp;"* por "&amp;F54&amp;",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"&amp;B54&amp;", para continuar con el proceso de tu *"&amp;D54&amp;"* por "&amp;F54&amp;",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"&amp;B54&amp;", para continuar con el proceso de tu *"&amp;D54&amp;"* por "&amp;F54&amp;", estos son los documentos que necesitamos:"&amp;CHAR(10)&amp;CHAR(10)&amp;"- INE"&amp;CHAR(10)&amp;"- Comprobante de domicilio"&amp;CHAR(10)&amp;"- Constancia de situación fiscal (no mayor a 3 meses)","Contado|Persona física con actividad empresarial","Hola, "&amp;B54&amp;", para continuar con el proceso de tu *"&amp;D54&amp;"* por "&amp;F54&amp;", estos son los documentos que necesitamos:"&amp;CHAR(10)&amp;CHAR(10)&amp;"- INE"&amp;CHAR(10)&amp;"- Comprobante de domicilio"&amp;CHAR(10)&amp;"- Constancia de situación fiscal (no mayor a 3 meses)","Contado|Persona moral","Hola, "&amp;B54&amp;", para continuar con el proceso de tu *"&amp;D54&amp;"* por "&amp;F54&amp;",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54" s="10">
        <f>IFERROR(INDEX(Facturación!$Q:$Q,MATCH(B54,Facturación!$A:$A,0)),"")</f>
        <v/>
      </c>
    </row>
    <row r="55" ht="15" customHeight="1" s="1">
      <c r="A55" s="11">
        <f>IF(B55="","",ROW()-1)</f>
        <v/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0">
        <f>IF(OR(B55="",L55&lt;&gt;"Sí"),"","Hola, "&amp;B55&amp;", excelente día. Le saluda *Alejandro Estrada* de Toyota Corregidora."&amp;CHAR(10)&amp;"Muchas gracias por visitarnos y conocer la *"&amp;D55&amp;"*.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55" s="11">
        <f>IF(Q55="","",HYPERLINK("https://wa.me/52"&amp;C55&amp;"?text="&amp;_xlfn.ENCODEURL(Q55),"Enviar Bienvenida"))</f>
        <v/>
      </c>
      <c r="S55" s="10">
        <f>IF(B55="","","Hola, "&amp;B55&amp;", muy buen día."&amp;CHAR(10)&amp;"Espero que esté teniendo una excelente semana. Le escribo para saber si tiene alguna duda sobre la oferta del *"&amp;D55&amp;"*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55" s="11">
        <f>IF(S55="","",HYPERLINK("https://wa.me/52"&amp;C55&amp;"?text="&amp;_xlfn.ENCODEURL(S55),"Enviar Seguimiento"))</f>
        <v/>
      </c>
      <c r="U55" s="10">
        <f>IF(B55="","",_xlfn.SWITCH(M55,"Apartado","Hola, "&amp;B55&amp;", buen día. Le confirmo que su apartado por el *"&amp;D55&amp;"* quedó registrado correctamente. Seguimos con el proceso y le mantendré informado(a) de cada paso.","Toma de vehículo","Hola, "&amp;B55&amp;", le comparto que estamos en el proceso de toma de su vehículo actual. En cuanto tengamos el resultado le aviso para continuar con el siguiente paso.","Pago vehículo a cuenta","Hola, "&amp;B55&amp;", quedamos en proceso de pago del vehículo que se toma a cuenta. Cualquier documento o aclaración que se requiera se lo haré saber por este medio.","Firma de contrato","Hola, "&amp;B55&amp;", ya estamos listos para agendar la firma de su contrato. ¿Qué día y hora se le facilita para realizarla?","Facturación","Hola, "&amp;B55&amp;", su unidad ya está en proceso de facturación. En breve le comparto los datos para su confirmación.","Programación de entrega","Hola, "&amp;B55&amp;", con gusto le comparto que ya podemos programar la entrega de su *"&amp;D55&amp;"*. ¿Qué día y hora le acomodan mejor?","Entregado","Hola, "&amp;B55&amp;", ¡muchas felicidades por estrenar su *"&amp;D55&amp;"*! Fue un gusto acompañarle en este proceso. Quedo pendiente de cualquier duda y con gusto le agendo su próxima cita de servicio cuando lo necesite.","Hola, "&amp;B55&amp;", seguimos en contacto para avanzar con el proceso de su próximo Toyota.")&amp;CHAR(10)&amp;CHAR(10)&amp;Config!$B$1)</f>
        <v/>
      </c>
      <c r="V55" s="11">
        <f>IF(U55="","",HYPERLINK("https://wa.me/52"&amp;C55&amp;"?text="&amp;_xlfn.ENCODEURL(U55),"Enviar aviso de etapa"))</f>
        <v/>
      </c>
      <c r="W55" s="10">
        <f>IF(OR(B55="",O55=""),"","Hola, "&amp;B55&amp;", ¡feliz cumpleaños! Le deseo un excelente día rodeado de quienes más quiere. Ha sido un placer acompañarle desde que estrenó su Toyota. ¡Un abrazo!"&amp;CHAR(10)&amp;CHAR(10)&amp;Config!$B$1)</f>
        <v/>
      </c>
      <c r="X55" s="11">
        <f>IF(W55="","",HYPERLINK("https://wa.me/52"&amp;C55&amp;"?text="&amp;_xlfn.ENCODEURL(W55),"Enviar felicitación"))</f>
        <v/>
      </c>
      <c r="Y55" s="10">
        <f>IF(OR(B55="",P55=""),"","Hola, "&amp;B55&amp;", hoy se cumple un año más desde que estrenó su *"&amp;D55&amp;"*. Espero que haya sido un gran compañero de camino. Cualquier cosa que necesite, aquí estoy para apoyarle."&amp;CHAR(10)&amp;CHAR(10)&amp;Config!$B$1)</f>
        <v/>
      </c>
      <c r="Z55" s="11">
        <f>IF(Y55="","",HYPERLINK("https://wa.me/52"&amp;C55&amp;"?text="&amp;_xlfn.ENCODEURL(Y55),"Enviar aniversario"))</f>
        <v/>
      </c>
      <c r="AA55" s="11" t="n"/>
      <c r="AB55" s="11">
        <f>IF(OR(B55="",AA55=""),"",HYPERLINK("https://wa.me/52"&amp;C55&amp;"?text="&amp;_xlfn.ENCODEURL(_xlfn.SWITCH(AA55,"Bienvenida (primera visita)",Q55,"Seguimiento",S55,"Aviso de Etapa",U55,"Requisitos",AC55,"Datos de Facturación",AD55,"Cumpleaños",W55,"Aniversario",Y55,"")),"Enviar mensaje seleccionado"))</f>
        <v/>
      </c>
      <c r="AC55" s="10">
        <f>IF(B55="","",_xlfn.SWITCH(F55&amp;"|"&amp;G55,"Crédito|Persona física","Hola, "&amp;B55&amp;", para continuar con el proceso de tu *"&amp;D55&amp;"* por "&amp;F55&amp;",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"&amp;B55&amp;", para continuar con el proceso de tu *"&amp;D55&amp;"* por "&amp;F55&amp;",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"&amp;B55&amp;", para continuar con el proceso de tu *"&amp;D55&amp;"* por "&amp;F55&amp;",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"&amp;B55&amp;", para continuar con el proceso de tu *"&amp;D55&amp;"* por "&amp;F55&amp;", estos son los documentos que necesitamos:"&amp;CHAR(10)&amp;CHAR(10)&amp;"- INE"&amp;CHAR(10)&amp;"- Comprobante de domicilio"&amp;CHAR(10)&amp;"- Constancia de situación fiscal (no mayor a 3 meses)","Contado|Persona física con actividad empresarial","Hola, "&amp;B55&amp;", para continuar con el proceso de tu *"&amp;D55&amp;"* por "&amp;F55&amp;", estos son los documentos que necesitamos:"&amp;CHAR(10)&amp;CHAR(10)&amp;"- INE"&amp;CHAR(10)&amp;"- Comprobante de domicilio"&amp;CHAR(10)&amp;"- Constancia de situación fiscal (no mayor a 3 meses)","Contado|Persona moral","Hola, "&amp;B55&amp;", para continuar con el proceso de tu *"&amp;D55&amp;"* por "&amp;F55&amp;",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55" s="10">
        <f>IFERROR(INDEX(Facturación!$Q:$Q,MATCH(B55,Facturación!$A:$A,0)),"")</f>
        <v/>
      </c>
    </row>
    <row r="56" ht="15" customHeight="1" s="1">
      <c r="A56" s="11">
        <f>IF(B56="","",ROW()-1)</f>
        <v/>
      </c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0">
        <f>IF(OR(B56="",L56&lt;&gt;"Sí"),"","Hola, "&amp;B56&amp;", excelente día. Le saluda *Alejandro Estrada* de Toyota Corregidora."&amp;CHAR(10)&amp;"Muchas gracias por visitarnos y conocer la *"&amp;D56&amp;"*.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56" s="11">
        <f>IF(Q56="","",HYPERLINK("https://wa.me/52"&amp;C56&amp;"?text="&amp;_xlfn.ENCODEURL(Q56),"Enviar Bienvenida"))</f>
        <v/>
      </c>
      <c r="S56" s="10">
        <f>IF(B56="","","Hola, "&amp;B56&amp;", muy buen día."&amp;CHAR(10)&amp;"Espero que esté teniendo una excelente semana. Le escribo para saber si tiene alguna duda sobre la oferta del *"&amp;D56&amp;"*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56" s="11">
        <f>IF(S56="","",HYPERLINK("https://wa.me/52"&amp;C56&amp;"?text="&amp;_xlfn.ENCODEURL(S56),"Enviar Seguimiento"))</f>
        <v/>
      </c>
      <c r="U56" s="10">
        <f>IF(B56="","",_xlfn.SWITCH(M56,"Apartado","Hola, "&amp;B56&amp;", buen día. Le confirmo que su apartado por el *"&amp;D56&amp;"* quedó registrado correctamente. Seguimos con el proceso y le mantendré informado(a) de cada paso.","Toma de vehículo","Hola, "&amp;B56&amp;", le comparto que estamos en el proceso de toma de su vehículo actual. En cuanto tengamos el resultado le aviso para continuar con el siguiente paso.","Pago vehículo a cuenta","Hola, "&amp;B56&amp;", quedamos en proceso de pago del vehículo que se toma a cuenta. Cualquier documento o aclaración que se requiera se lo haré saber por este medio.","Firma de contrato","Hola, "&amp;B56&amp;", ya estamos listos para agendar la firma de su contrato. ¿Qué día y hora se le facilita para realizarla?","Facturación","Hola, "&amp;B56&amp;", su unidad ya está en proceso de facturación. En breve le comparto los datos para su confirmación.","Programación de entrega","Hola, "&amp;B56&amp;", con gusto le comparto que ya podemos programar la entrega de su *"&amp;D56&amp;"*. ¿Qué día y hora le acomodan mejor?","Entregado","Hola, "&amp;B56&amp;", ¡muchas felicidades por estrenar su *"&amp;D56&amp;"*! Fue un gusto acompañarle en este proceso. Quedo pendiente de cualquier duda y con gusto le agendo su próxima cita de servicio cuando lo necesite.","Hola, "&amp;B56&amp;", seguimos en contacto para avanzar con el proceso de su próximo Toyota.")&amp;CHAR(10)&amp;CHAR(10)&amp;Config!$B$1)</f>
        <v/>
      </c>
      <c r="V56" s="11">
        <f>IF(U56="","",HYPERLINK("https://wa.me/52"&amp;C56&amp;"?text="&amp;_xlfn.ENCODEURL(U56),"Enviar aviso de etapa"))</f>
        <v/>
      </c>
      <c r="W56" s="10">
        <f>IF(OR(B56="",O56=""),"","Hola, "&amp;B56&amp;", ¡feliz cumpleaños! Le deseo un excelente día rodeado de quienes más quiere. Ha sido un placer acompañarle desde que estrenó su Toyota. ¡Un abrazo!"&amp;CHAR(10)&amp;CHAR(10)&amp;Config!$B$1)</f>
        <v/>
      </c>
      <c r="X56" s="11">
        <f>IF(W56="","",HYPERLINK("https://wa.me/52"&amp;C56&amp;"?text="&amp;_xlfn.ENCODEURL(W56),"Enviar felicitación"))</f>
        <v/>
      </c>
      <c r="Y56" s="10">
        <f>IF(OR(B56="",P56=""),"","Hola, "&amp;B56&amp;", hoy se cumple un año más desde que estrenó su *"&amp;D56&amp;"*. Espero que haya sido un gran compañero de camino. Cualquier cosa que necesite, aquí estoy para apoyarle."&amp;CHAR(10)&amp;CHAR(10)&amp;Config!$B$1)</f>
        <v/>
      </c>
      <c r="Z56" s="11">
        <f>IF(Y56="","",HYPERLINK("https://wa.me/52"&amp;C56&amp;"?text="&amp;_xlfn.ENCODEURL(Y56),"Enviar aniversario"))</f>
        <v/>
      </c>
      <c r="AA56" s="11" t="n"/>
      <c r="AB56" s="11">
        <f>IF(OR(B56="",AA56=""),"",HYPERLINK("https://wa.me/52"&amp;C56&amp;"?text="&amp;_xlfn.ENCODEURL(_xlfn.SWITCH(AA56,"Bienvenida (primera visita)",Q56,"Seguimiento",S56,"Aviso de Etapa",U56,"Requisitos",AC56,"Datos de Facturación",AD56,"Cumpleaños",W56,"Aniversario",Y56,"")),"Enviar mensaje seleccionado"))</f>
        <v/>
      </c>
      <c r="AC56" s="10">
        <f>IF(B56="","",_xlfn.SWITCH(F56&amp;"|"&amp;G56,"Crédito|Persona física","Hola, "&amp;B56&amp;", para continuar con el proceso de tu *"&amp;D56&amp;"* por "&amp;F56&amp;",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"&amp;B56&amp;", para continuar con el proceso de tu *"&amp;D56&amp;"* por "&amp;F56&amp;",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"&amp;B56&amp;", para continuar con el proceso de tu *"&amp;D56&amp;"* por "&amp;F56&amp;",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"&amp;B56&amp;", para continuar con el proceso de tu *"&amp;D56&amp;"* por "&amp;F56&amp;", estos son los documentos que necesitamos:"&amp;CHAR(10)&amp;CHAR(10)&amp;"- INE"&amp;CHAR(10)&amp;"- Comprobante de domicilio"&amp;CHAR(10)&amp;"- Constancia de situación fiscal (no mayor a 3 meses)","Contado|Persona física con actividad empresarial","Hola, "&amp;B56&amp;", para continuar con el proceso de tu *"&amp;D56&amp;"* por "&amp;F56&amp;", estos son los documentos que necesitamos:"&amp;CHAR(10)&amp;CHAR(10)&amp;"- INE"&amp;CHAR(10)&amp;"- Comprobante de domicilio"&amp;CHAR(10)&amp;"- Constancia de situación fiscal (no mayor a 3 meses)","Contado|Persona moral","Hola, "&amp;B56&amp;", para continuar con el proceso de tu *"&amp;D56&amp;"* por "&amp;F56&amp;",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56" s="10">
        <f>IFERROR(INDEX(Facturación!$Q:$Q,MATCH(B56,Facturación!$A:$A,0)),"")</f>
        <v/>
      </c>
    </row>
    <row r="57" ht="15" customHeight="1" s="1">
      <c r="A57" s="11">
        <f>IF(B57="","",ROW()-1)</f>
        <v/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0">
        <f>IF(OR(B57="",L57&lt;&gt;"Sí"),"","Hola, "&amp;B57&amp;", excelente día. Le saluda *Alejandro Estrada* de Toyota Corregidora."&amp;CHAR(10)&amp;"Muchas gracias por visitarnos y conocer la *"&amp;D57&amp;"*.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57" s="11">
        <f>IF(Q57="","",HYPERLINK("https://wa.me/52"&amp;C57&amp;"?text="&amp;_xlfn.ENCODEURL(Q57),"Enviar Bienvenida"))</f>
        <v/>
      </c>
      <c r="S57" s="10">
        <f>IF(B57="","","Hola, "&amp;B57&amp;", muy buen día."&amp;CHAR(10)&amp;"Espero que esté teniendo una excelente semana. Le escribo para saber si tiene alguna duda sobre la oferta del *"&amp;D57&amp;"*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57" s="11">
        <f>IF(S57="","",HYPERLINK("https://wa.me/52"&amp;C57&amp;"?text="&amp;_xlfn.ENCODEURL(S57),"Enviar Seguimiento"))</f>
        <v/>
      </c>
      <c r="U57" s="10">
        <f>IF(B57="","",_xlfn.SWITCH(M57,"Apartado","Hola, "&amp;B57&amp;", buen día. Le confirmo que su apartado por el *"&amp;D57&amp;"* quedó registrado correctamente. Seguimos con el proceso y le mantendré informado(a) de cada paso.","Toma de vehículo","Hola, "&amp;B57&amp;", le comparto que estamos en el proceso de toma de su vehículo actual. En cuanto tengamos el resultado le aviso para continuar con el siguiente paso.","Pago vehículo a cuenta","Hola, "&amp;B57&amp;", quedamos en proceso de pago del vehículo que se toma a cuenta. Cualquier documento o aclaración que se requiera se lo haré saber por este medio.","Firma de contrato","Hola, "&amp;B57&amp;", ya estamos listos para agendar la firma de su contrato. ¿Qué día y hora se le facilita para realizarla?","Facturación","Hola, "&amp;B57&amp;", su unidad ya está en proceso de facturación. En breve le comparto los datos para su confirmación.","Programación de entrega","Hola, "&amp;B57&amp;", con gusto le comparto que ya podemos programar la entrega de su *"&amp;D57&amp;"*. ¿Qué día y hora le acomodan mejor?","Entregado","Hola, "&amp;B57&amp;", ¡muchas felicidades por estrenar su *"&amp;D57&amp;"*! Fue un gusto acompañarle en este proceso. Quedo pendiente de cualquier duda y con gusto le agendo su próxima cita de servicio cuando lo necesite.","Hola, "&amp;B57&amp;", seguimos en contacto para avanzar con el proceso de su próximo Toyota.")&amp;CHAR(10)&amp;CHAR(10)&amp;Config!$B$1)</f>
        <v/>
      </c>
      <c r="V57" s="11">
        <f>IF(U57="","",HYPERLINK("https://wa.me/52"&amp;C57&amp;"?text="&amp;_xlfn.ENCODEURL(U57),"Enviar aviso de etapa"))</f>
        <v/>
      </c>
      <c r="W57" s="10">
        <f>IF(OR(B57="",O57=""),"","Hola, "&amp;B57&amp;", ¡feliz cumpleaños! Le deseo un excelente día rodeado de quienes más quiere. Ha sido un placer acompañarle desde que estrenó su Toyota. ¡Un abrazo!"&amp;CHAR(10)&amp;CHAR(10)&amp;Config!$B$1)</f>
        <v/>
      </c>
      <c r="X57" s="11">
        <f>IF(W57="","",HYPERLINK("https://wa.me/52"&amp;C57&amp;"?text="&amp;_xlfn.ENCODEURL(W57),"Enviar felicitación"))</f>
        <v/>
      </c>
      <c r="Y57" s="10">
        <f>IF(OR(B57="",P57=""),"","Hola, "&amp;B57&amp;", hoy se cumple un año más desde que estrenó su *"&amp;D57&amp;"*. Espero que haya sido un gran compañero de camino. Cualquier cosa que necesite, aquí estoy para apoyarle."&amp;CHAR(10)&amp;CHAR(10)&amp;Config!$B$1)</f>
        <v/>
      </c>
      <c r="Z57" s="11">
        <f>IF(Y57="","",HYPERLINK("https://wa.me/52"&amp;C57&amp;"?text="&amp;_xlfn.ENCODEURL(Y57),"Enviar aniversario"))</f>
        <v/>
      </c>
      <c r="AA57" s="11" t="n"/>
      <c r="AB57" s="11">
        <f>IF(OR(B57="",AA57=""),"",HYPERLINK("https://wa.me/52"&amp;C57&amp;"?text="&amp;_xlfn.ENCODEURL(_xlfn.SWITCH(AA57,"Bienvenida (primera visita)",Q57,"Seguimiento",S57,"Aviso de Etapa",U57,"Requisitos",AC57,"Datos de Facturación",AD57,"Cumpleaños",W57,"Aniversario",Y57,"")),"Enviar mensaje seleccionado"))</f>
        <v/>
      </c>
      <c r="AC57" s="10">
        <f>IF(B57="","",_xlfn.SWITCH(F57&amp;"|"&amp;G57,"Crédito|Persona física","Hola, "&amp;B57&amp;", para continuar con el proceso de tu *"&amp;D57&amp;"* por "&amp;F57&amp;",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"&amp;B57&amp;", para continuar con el proceso de tu *"&amp;D57&amp;"* por "&amp;F57&amp;",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"&amp;B57&amp;", para continuar con el proceso de tu *"&amp;D57&amp;"* por "&amp;F57&amp;",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"&amp;B57&amp;", para continuar con el proceso de tu *"&amp;D57&amp;"* por "&amp;F57&amp;", estos son los documentos que necesitamos:"&amp;CHAR(10)&amp;CHAR(10)&amp;"- INE"&amp;CHAR(10)&amp;"- Comprobante de domicilio"&amp;CHAR(10)&amp;"- Constancia de situación fiscal (no mayor a 3 meses)","Contado|Persona física con actividad empresarial","Hola, "&amp;B57&amp;", para continuar con el proceso de tu *"&amp;D57&amp;"* por "&amp;F57&amp;", estos son los documentos que necesitamos:"&amp;CHAR(10)&amp;CHAR(10)&amp;"- INE"&amp;CHAR(10)&amp;"- Comprobante de domicilio"&amp;CHAR(10)&amp;"- Constancia de situación fiscal (no mayor a 3 meses)","Contado|Persona moral","Hola, "&amp;B57&amp;", para continuar con el proceso de tu *"&amp;D57&amp;"* por "&amp;F57&amp;",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57" s="10">
        <f>IFERROR(INDEX(Facturación!$Q:$Q,MATCH(B57,Facturación!$A:$A,0)),"")</f>
        <v/>
      </c>
    </row>
    <row r="58" ht="15" customHeight="1" s="1">
      <c r="A58" s="11">
        <f>IF(B58="","",ROW()-1)</f>
        <v/>
      </c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0">
        <f>IF(OR(B58="",L58&lt;&gt;"Sí"),"","Hola, "&amp;B58&amp;", excelente día. Le saluda *Alejandro Estrada* de Toyota Corregidora."&amp;CHAR(10)&amp;"Muchas gracias por visitarnos y conocer la *"&amp;D58&amp;"*.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58" s="11">
        <f>IF(Q58="","",HYPERLINK("https://wa.me/52"&amp;C58&amp;"?text="&amp;_xlfn.ENCODEURL(Q58),"Enviar Bienvenida"))</f>
        <v/>
      </c>
      <c r="S58" s="10">
        <f>IF(B58="","","Hola, "&amp;B58&amp;", muy buen día."&amp;CHAR(10)&amp;"Espero que esté teniendo una excelente semana. Le escribo para saber si tiene alguna duda sobre la oferta del *"&amp;D58&amp;"*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58" s="11">
        <f>IF(S58="","",HYPERLINK("https://wa.me/52"&amp;C58&amp;"?text="&amp;_xlfn.ENCODEURL(S58),"Enviar Seguimiento"))</f>
        <v/>
      </c>
      <c r="U58" s="10">
        <f>IF(B58="","",_xlfn.SWITCH(M58,"Apartado","Hola, "&amp;B58&amp;", buen día. Le confirmo que su apartado por el *"&amp;D58&amp;"* quedó registrado correctamente. Seguimos con el proceso y le mantendré informado(a) de cada paso.","Toma de vehículo","Hola, "&amp;B58&amp;", le comparto que estamos en el proceso de toma de su vehículo actual. En cuanto tengamos el resultado le aviso para continuar con el siguiente paso.","Pago vehículo a cuenta","Hola, "&amp;B58&amp;", quedamos en proceso de pago del vehículo que se toma a cuenta. Cualquier documento o aclaración que se requiera se lo haré saber por este medio.","Firma de contrato","Hola, "&amp;B58&amp;", ya estamos listos para agendar la firma de su contrato. ¿Qué día y hora se le facilita para realizarla?","Facturación","Hola, "&amp;B58&amp;", su unidad ya está en proceso de facturación. En breve le comparto los datos para su confirmación.","Programación de entrega","Hola, "&amp;B58&amp;", con gusto le comparto que ya podemos programar la entrega de su *"&amp;D58&amp;"*. ¿Qué día y hora le acomodan mejor?","Entregado","Hola, "&amp;B58&amp;", ¡muchas felicidades por estrenar su *"&amp;D58&amp;"*! Fue un gusto acompañarle en este proceso. Quedo pendiente de cualquier duda y con gusto le agendo su próxima cita de servicio cuando lo necesite.","Hola, "&amp;B58&amp;", seguimos en contacto para avanzar con el proceso de su próximo Toyota.")&amp;CHAR(10)&amp;CHAR(10)&amp;Config!$B$1)</f>
        <v/>
      </c>
      <c r="V58" s="11">
        <f>IF(U58="","",HYPERLINK("https://wa.me/52"&amp;C58&amp;"?text="&amp;_xlfn.ENCODEURL(U58),"Enviar aviso de etapa"))</f>
        <v/>
      </c>
      <c r="W58" s="10">
        <f>IF(OR(B58="",O58=""),"","Hola, "&amp;B58&amp;", ¡feliz cumpleaños! Le deseo un excelente día rodeado de quienes más quiere. Ha sido un placer acompañarle desde que estrenó su Toyota. ¡Un abrazo!"&amp;CHAR(10)&amp;CHAR(10)&amp;Config!$B$1)</f>
        <v/>
      </c>
      <c r="X58" s="11">
        <f>IF(W58="","",HYPERLINK("https://wa.me/52"&amp;C58&amp;"?text="&amp;_xlfn.ENCODEURL(W58),"Enviar felicitación"))</f>
        <v/>
      </c>
      <c r="Y58" s="10">
        <f>IF(OR(B58="",P58=""),"","Hola, "&amp;B58&amp;", hoy se cumple un año más desde que estrenó su *"&amp;D58&amp;"*. Espero que haya sido un gran compañero de camino. Cualquier cosa que necesite, aquí estoy para apoyarle."&amp;CHAR(10)&amp;CHAR(10)&amp;Config!$B$1)</f>
        <v/>
      </c>
      <c r="Z58" s="11">
        <f>IF(Y58="","",HYPERLINK("https://wa.me/52"&amp;C58&amp;"?text="&amp;_xlfn.ENCODEURL(Y58),"Enviar aniversario"))</f>
        <v/>
      </c>
      <c r="AA58" s="11" t="n"/>
      <c r="AB58" s="11">
        <f>IF(OR(B58="",AA58=""),"",HYPERLINK("https://wa.me/52"&amp;C58&amp;"?text="&amp;_xlfn.ENCODEURL(_xlfn.SWITCH(AA58,"Bienvenida (primera visita)",Q58,"Seguimiento",S58,"Aviso de Etapa",U58,"Requisitos",AC58,"Datos de Facturación",AD58,"Cumpleaños",W58,"Aniversario",Y58,"")),"Enviar mensaje seleccionado"))</f>
        <v/>
      </c>
      <c r="AC58" s="10">
        <f>IF(B58="","",_xlfn.SWITCH(F58&amp;"|"&amp;G58,"Crédito|Persona física","Hola, "&amp;B58&amp;", para continuar con el proceso de tu *"&amp;D58&amp;"* por "&amp;F58&amp;",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"&amp;B58&amp;", para continuar con el proceso de tu *"&amp;D58&amp;"* por "&amp;F58&amp;",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"&amp;B58&amp;", para continuar con el proceso de tu *"&amp;D58&amp;"* por "&amp;F58&amp;",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"&amp;B58&amp;", para continuar con el proceso de tu *"&amp;D58&amp;"* por "&amp;F58&amp;", estos son los documentos que necesitamos:"&amp;CHAR(10)&amp;CHAR(10)&amp;"- INE"&amp;CHAR(10)&amp;"- Comprobante de domicilio"&amp;CHAR(10)&amp;"- Constancia de situación fiscal (no mayor a 3 meses)","Contado|Persona física con actividad empresarial","Hola, "&amp;B58&amp;", para continuar con el proceso de tu *"&amp;D58&amp;"* por "&amp;F58&amp;", estos son los documentos que necesitamos:"&amp;CHAR(10)&amp;CHAR(10)&amp;"- INE"&amp;CHAR(10)&amp;"- Comprobante de domicilio"&amp;CHAR(10)&amp;"- Constancia de situación fiscal (no mayor a 3 meses)","Contado|Persona moral","Hola, "&amp;B58&amp;", para continuar con el proceso de tu *"&amp;D58&amp;"* por "&amp;F58&amp;",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58" s="10">
        <f>IFERROR(INDEX(Facturación!$Q:$Q,MATCH(B58,Facturación!$A:$A,0)),"")</f>
        <v/>
      </c>
    </row>
    <row r="59" ht="15" customHeight="1" s="1">
      <c r="A59" s="11">
        <f>IF(B59="","",ROW()-1)</f>
        <v/>
      </c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0">
        <f>IF(OR(B59="",L59&lt;&gt;"Sí"),"","Hola, "&amp;B59&amp;", excelente día. Le saluda *Alejandro Estrada* de Toyota Corregidora."&amp;CHAR(10)&amp;"Muchas gracias por visitarnos y conocer la *"&amp;D59&amp;"*.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59" s="11">
        <f>IF(Q59="","",HYPERLINK("https://wa.me/52"&amp;C59&amp;"?text="&amp;_xlfn.ENCODEURL(Q59),"Enviar Bienvenida"))</f>
        <v/>
      </c>
      <c r="S59" s="10">
        <f>IF(B59="","","Hola, "&amp;B59&amp;", muy buen día."&amp;CHAR(10)&amp;"Espero que esté teniendo una excelente semana. Le escribo para saber si tiene alguna duda sobre la oferta del *"&amp;D59&amp;"*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59" s="11">
        <f>IF(S59="","",HYPERLINK("https://wa.me/52"&amp;C59&amp;"?text="&amp;_xlfn.ENCODEURL(S59),"Enviar Seguimiento"))</f>
        <v/>
      </c>
      <c r="U59" s="10">
        <f>IF(B59="","",_xlfn.SWITCH(M59,"Apartado","Hola, "&amp;B59&amp;", buen día. Le confirmo que su apartado por el *"&amp;D59&amp;"* quedó registrado correctamente. Seguimos con el proceso y le mantendré informado(a) de cada paso.","Toma de vehículo","Hola, "&amp;B59&amp;", le comparto que estamos en el proceso de toma de su vehículo actual. En cuanto tengamos el resultado le aviso para continuar con el siguiente paso.","Pago vehículo a cuenta","Hola, "&amp;B59&amp;", quedamos en proceso de pago del vehículo que se toma a cuenta. Cualquier documento o aclaración que se requiera se lo haré saber por este medio.","Firma de contrato","Hola, "&amp;B59&amp;", ya estamos listos para agendar la firma de su contrato. ¿Qué día y hora se le facilita para realizarla?","Facturación","Hola, "&amp;B59&amp;", su unidad ya está en proceso de facturación. En breve le comparto los datos para su confirmación.","Programación de entrega","Hola, "&amp;B59&amp;", con gusto le comparto que ya podemos programar la entrega de su *"&amp;D59&amp;"*. ¿Qué día y hora le acomodan mejor?","Entregado","Hola, "&amp;B59&amp;", ¡muchas felicidades por estrenar su *"&amp;D59&amp;"*! Fue un gusto acompañarle en este proceso. Quedo pendiente de cualquier duda y con gusto le agendo su próxima cita de servicio cuando lo necesite.","Hola, "&amp;B59&amp;", seguimos en contacto para avanzar con el proceso de su próximo Toyota.")&amp;CHAR(10)&amp;CHAR(10)&amp;Config!$B$1)</f>
        <v/>
      </c>
      <c r="V59" s="11">
        <f>IF(U59="","",HYPERLINK("https://wa.me/52"&amp;C59&amp;"?text="&amp;_xlfn.ENCODEURL(U59),"Enviar aviso de etapa"))</f>
        <v/>
      </c>
      <c r="W59" s="10">
        <f>IF(OR(B59="",O59=""),"","Hola, "&amp;B59&amp;", ¡feliz cumpleaños! Le deseo un excelente día rodeado de quienes más quiere. Ha sido un placer acompañarle desde que estrenó su Toyota. ¡Un abrazo!"&amp;CHAR(10)&amp;CHAR(10)&amp;Config!$B$1)</f>
        <v/>
      </c>
      <c r="X59" s="11">
        <f>IF(W59="","",HYPERLINK("https://wa.me/52"&amp;C59&amp;"?text="&amp;_xlfn.ENCODEURL(W59),"Enviar felicitación"))</f>
        <v/>
      </c>
      <c r="Y59" s="10">
        <f>IF(OR(B59="",P59=""),"","Hola, "&amp;B59&amp;", hoy se cumple un año más desde que estrenó su *"&amp;D59&amp;"*. Espero que haya sido un gran compañero de camino. Cualquier cosa que necesite, aquí estoy para apoyarle."&amp;CHAR(10)&amp;CHAR(10)&amp;Config!$B$1)</f>
        <v/>
      </c>
      <c r="Z59" s="11">
        <f>IF(Y59="","",HYPERLINK("https://wa.me/52"&amp;C59&amp;"?text="&amp;_xlfn.ENCODEURL(Y59),"Enviar aniversario"))</f>
        <v/>
      </c>
      <c r="AA59" s="11" t="n"/>
      <c r="AB59" s="11">
        <f>IF(OR(B59="",AA59=""),"",HYPERLINK("https://wa.me/52"&amp;C59&amp;"?text="&amp;_xlfn.ENCODEURL(_xlfn.SWITCH(AA59,"Bienvenida (primera visita)",Q59,"Seguimiento",S59,"Aviso de Etapa",U59,"Requisitos",AC59,"Datos de Facturación",AD59,"Cumpleaños",W59,"Aniversario",Y59,"")),"Enviar mensaje seleccionado"))</f>
        <v/>
      </c>
      <c r="AC59" s="10">
        <f>IF(B59="","",_xlfn.SWITCH(F59&amp;"|"&amp;G59,"Crédito|Persona física","Hola, "&amp;B59&amp;", para continuar con el proceso de tu *"&amp;D59&amp;"* por "&amp;F59&amp;",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"&amp;B59&amp;", para continuar con el proceso de tu *"&amp;D59&amp;"* por "&amp;F59&amp;",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"&amp;B59&amp;", para continuar con el proceso de tu *"&amp;D59&amp;"* por "&amp;F59&amp;",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"&amp;B59&amp;", para continuar con el proceso de tu *"&amp;D59&amp;"* por "&amp;F59&amp;", estos son los documentos que necesitamos:"&amp;CHAR(10)&amp;CHAR(10)&amp;"- INE"&amp;CHAR(10)&amp;"- Comprobante de domicilio"&amp;CHAR(10)&amp;"- Constancia de situación fiscal (no mayor a 3 meses)","Contado|Persona física con actividad empresarial","Hola, "&amp;B59&amp;", para continuar con el proceso de tu *"&amp;D59&amp;"* por "&amp;F59&amp;", estos son los documentos que necesitamos:"&amp;CHAR(10)&amp;CHAR(10)&amp;"- INE"&amp;CHAR(10)&amp;"- Comprobante de domicilio"&amp;CHAR(10)&amp;"- Constancia de situación fiscal (no mayor a 3 meses)","Contado|Persona moral","Hola, "&amp;B59&amp;", para continuar con el proceso de tu *"&amp;D59&amp;"* por "&amp;F59&amp;",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59" s="10">
        <f>IFERROR(INDEX(Facturación!$Q:$Q,MATCH(B59,Facturación!$A:$A,0)),"")</f>
        <v/>
      </c>
    </row>
    <row r="60" ht="15" customHeight="1" s="1">
      <c r="A60" s="11">
        <f>IF(B60="","",ROW()-1)</f>
        <v/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0">
        <f>IF(OR(B60="",L60&lt;&gt;"Sí"),"","Hola, "&amp;B60&amp;", excelente día. Le saluda *Alejandro Estrada* de Toyota Corregidora."&amp;CHAR(10)&amp;"Muchas gracias por visitarnos y conocer la *"&amp;D60&amp;"*.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60" s="11">
        <f>IF(Q60="","",HYPERLINK("https://wa.me/52"&amp;C60&amp;"?text="&amp;_xlfn.ENCODEURL(Q60),"Enviar Bienvenida"))</f>
        <v/>
      </c>
      <c r="S60" s="10">
        <f>IF(B60="","","Hola, "&amp;B60&amp;", muy buen día."&amp;CHAR(10)&amp;"Espero que esté teniendo una excelente semana. Le escribo para saber si tiene alguna duda sobre la oferta del *"&amp;D60&amp;"*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60" s="11">
        <f>IF(S60="","",HYPERLINK("https://wa.me/52"&amp;C60&amp;"?text="&amp;_xlfn.ENCODEURL(S60),"Enviar Seguimiento"))</f>
        <v/>
      </c>
      <c r="U60" s="10">
        <f>IF(B60="","",_xlfn.SWITCH(M60,"Apartado","Hola, "&amp;B60&amp;", buen día. Le confirmo que su apartado por el *"&amp;D60&amp;"* quedó registrado correctamente. Seguimos con el proceso y le mantendré informado(a) de cada paso.","Toma de vehículo","Hola, "&amp;B60&amp;", le comparto que estamos en el proceso de toma de su vehículo actual. En cuanto tengamos el resultado le aviso para continuar con el siguiente paso.","Pago vehículo a cuenta","Hola, "&amp;B60&amp;", quedamos en proceso de pago del vehículo que se toma a cuenta. Cualquier documento o aclaración que se requiera se lo haré saber por este medio.","Firma de contrato","Hola, "&amp;B60&amp;", ya estamos listos para agendar la firma de su contrato. ¿Qué día y hora se le facilita para realizarla?","Facturación","Hola, "&amp;B60&amp;", su unidad ya está en proceso de facturación. En breve le comparto los datos para su confirmación.","Programación de entrega","Hola, "&amp;B60&amp;", con gusto le comparto que ya podemos programar la entrega de su *"&amp;D60&amp;"*. ¿Qué día y hora le acomodan mejor?","Entregado","Hola, "&amp;B60&amp;", ¡muchas felicidades por estrenar su *"&amp;D60&amp;"*! Fue un gusto acompañarle en este proceso. Quedo pendiente de cualquier duda y con gusto le agendo su próxima cita de servicio cuando lo necesite.","Hola, "&amp;B60&amp;", seguimos en contacto para avanzar con el proceso de su próximo Toyota.")&amp;CHAR(10)&amp;CHAR(10)&amp;Config!$B$1)</f>
        <v/>
      </c>
      <c r="V60" s="11">
        <f>IF(U60="","",HYPERLINK("https://wa.me/52"&amp;C60&amp;"?text="&amp;_xlfn.ENCODEURL(U60),"Enviar aviso de etapa"))</f>
        <v/>
      </c>
      <c r="W60" s="10">
        <f>IF(OR(B60="",O60=""),"","Hola, "&amp;B60&amp;", ¡feliz cumpleaños! Le deseo un excelente día rodeado de quienes más quiere. Ha sido un placer acompañarle desde que estrenó su Toyota. ¡Un abrazo!"&amp;CHAR(10)&amp;CHAR(10)&amp;Config!$B$1)</f>
        <v/>
      </c>
      <c r="X60" s="11">
        <f>IF(W60="","",HYPERLINK("https://wa.me/52"&amp;C60&amp;"?text="&amp;_xlfn.ENCODEURL(W60),"Enviar felicitación"))</f>
        <v/>
      </c>
      <c r="Y60" s="10">
        <f>IF(OR(B60="",P60=""),"","Hola, "&amp;B60&amp;", hoy se cumple un año más desde que estrenó su *"&amp;D60&amp;"*. Espero que haya sido un gran compañero de camino. Cualquier cosa que necesite, aquí estoy para apoyarle."&amp;CHAR(10)&amp;CHAR(10)&amp;Config!$B$1)</f>
        <v/>
      </c>
      <c r="Z60" s="11">
        <f>IF(Y60="","",HYPERLINK("https://wa.me/52"&amp;C60&amp;"?text="&amp;_xlfn.ENCODEURL(Y60),"Enviar aniversario"))</f>
        <v/>
      </c>
      <c r="AA60" s="11" t="n"/>
      <c r="AB60" s="11">
        <f>IF(OR(B60="",AA60=""),"",HYPERLINK("https://wa.me/52"&amp;C60&amp;"?text="&amp;_xlfn.ENCODEURL(_xlfn.SWITCH(AA60,"Bienvenida (primera visita)",Q60,"Seguimiento",S60,"Aviso de Etapa",U60,"Requisitos",AC60,"Datos de Facturación",AD60,"Cumpleaños",W60,"Aniversario",Y60,"")),"Enviar mensaje seleccionado"))</f>
        <v/>
      </c>
      <c r="AC60" s="10">
        <f>IF(B60="","",_xlfn.SWITCH(F60&amp;"|"&amp;G60,"Crédito|Persona física","Hola, "&amp;B60&amp;", para continuar con el proceso de tu *"&amp;D60&amp;"* por "&amp;F60&amp;",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"&amp;B60&amp;", para continuar con el proceso de tu *"&amp;D60&amp;"* por "&amp;F60&amp;",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"&amp;B60&amp;", para continuar con el proceso de tu *"&amp;D60&amp;"* por "&amp;F60&amp;",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"&amp;B60&amp;", para continuar con el proceso de tu *"&amp;D60&amp;"* por "&amp;F60&amp;", estos son los documentos que necesitamos:"&amp;CHAR(10)&amp;CHAR(10)&amp;"- INE"&amp;CHAR(10)&amp;"- Comprobante de domicilio"&amp;CHAR(10)&amp;"- Constancia de situación fiscal (no mayor a 3 meses)","Contado|Persona física con actividad empresarial","Hola, "&amp;B60&amp;", para continuar con el proceso de tu *"&amp;D60&amp;"* por "&amp;F60&amp;", estos son los documentos que necesitamos:"&amp;CHAR(10)&amp;CHAR(10)&amp;"- INE"&amp;CHAR(10)&amp;"- Comprobante de domicilio"&amp;CHAR(10)&amp;"- Constancia de situación fiscal (no mayor a 3 meses)","Contado|Persona moral","Hola, "&amp;B60&amp;", para continuar con el proceso de tu *"&amp;D60&amp;"* por "&amp;F60&amp;",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60" s="10">
        <f>IFERROR(INDEX(Facturación!$Q:$Q,MATCH(B60,Facturación!$A:$A,0)),"")</f>
        <v/>
      </c>
    </row>
    <row r="61" ht="15" customHeight="1" s="1">
      <c r="A61" s="11">
        <f>IF(B61="","",ROW()-1)</f>
        <v/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0">
        <f>IF(OR(B61="",L61&lt;&gt;"Sí"),"","Hola, "&amp;B61&amp;", excelente día. Le saluda *Alejandro Estrada* de Toyota Corregidora."&amp;CHAR(10)&amp;"Muchas gracias por visitarnos y conocer la *"&amp;D61&amp;"*.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61" s="11">
        <f>IF(Q61="","",HYPERLINK("https://wa.me/52"&amp;C61&amp;"?text="&amp;_xlfn.ENCODEURL(Q61),"Enviar Bienvenida"))</f>
        <v/>
      </c>
      <c r="S61" s="10">
        <f>IF(B61="","","Hola, "&amp;B61&amp;", muy buen día."&amp;CHAR(10)&amp;"Espero que esté teniendo una excelente semana. Le escribo para saber si tiene alguna duda sobre la oferta del *"&amp;D61&amp;"*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61" s="11">
        <f>IF(S61="","",HYPERLINK("https://wa.me/52"&amp;C61&amp;"?text="&amp;_xlfn.ENCODEURL(S61),"Enviar Seguimiento"))</f>
        <v/>
      </c>
      <c r="U61" s="10">
        <f>IF(B61="","",_xlfn.SWITCH(M61,"Apartado","Hola, "&amp;B61&amp;", buen día. Le confirmo que su apartado por el *"&amp;D61&amp;"* quedó registrado correctamente. Seguimos con el proceso y le mantendré informado(a) de cada paso.","Toma de vehículo","Hola, "&amp;B61&amp;", le comparto que estamos en el proceso de toma de su vehículo actual. En cuanto tengamos el resultado le aviso para continuar con el siguiente paso.","Pago vehículo a cuenta","Hola, "&amp;B61&amp;", quedamos en proceso de pago del vehículo que se toma a cuenta. Cualquier documento o aclaración que se requiera se lo haré saber por este medio.","Firma de contrato","Hola, "&amp;B61&amp;", ya estamos listos para agendar la firma de su contrato. ¿Qué día y hora se le facilita para realizarla?","Facturación","Hola, "&amp;B61&amp;", su unidad ya está en proceso de facturación. En breve le comparto los datos para su confirmación.","Programación de entrega","Hola, "&amp;B61&amp;", con gusto le comparto que ya podemos programar la entrega de su *"&amp;D61&amp;"*. ¿Qué día y hora le acomodan mejor?","Entregado","Hola, "&amp;B61&amp;", ¡muchas felicidades por estrenar su *"&amp;D61&amp;"*! Fue un gusto acompañarle en este proceso. Quedo pendiente de cualquier duda y con gusto le agendo su próxima cita de servicio cuando lo necesite.","Hola, "&amp;B61&amp;", seguimos en contacto para avanzar con el proceso de su próximo Toyota.")&amp;CHAR(10)&amp;CHAR(10)&amp;Config!$B$1)</f>
        <v/>
      </c>
      <c r="V61" s="11">
        <f>IF(U61="","",HYPERLINK("https://wa.me/52"&amp;C61&amp;"?text="&amp;_xlfn.ENCODEURL(U61),"Enviar aviso de etapa"))</f>
        <v/>
      </c>
      <c r="W61" s="10">
        <f>IF(OR(B61="",O61=""),"","Hola, "&amp;B61&amp;", ¡feliz cumpleaños! Le deseo un excelente día rodeado de quienes más quiere. Ha sido un placer acompañarle desde que estrenó su Toyota. ¡Un abrazo!"&amp;CHAR(10)&amp;CHAR(10)&amp;Config!$B$1)</f>
        <v/>
      </c>
      <c r="X61" s="11">
        <f>IF(W61="","",HYPERLINK("https://wa.me/52"&amp;C61&amp;"?text="&amp;_xlfn.ENCODEURL(W61),"Enviar felicitación"))</f>
        <v/>
      </c>
      <c r="Y61" s="10">
        <f>IF(OR(B61="",P61=""),"","Hola, "&amp;B61&amp;", hoy se cumple un año más desde que estrenó su *"&amp;D61&amp;"*. Espero que haya sido un gran compañero de camino. Cualquier cosa que necesite, aquí estoy para apoyarle."&amp;CHAR(10)&amp;CHAR(10)&amp;Config!$B$1)</f>
        <v/>
      </c>
      <c r="Z61" s="11">
        <f>IF(Y61="","",HYPERLINK("https://wa.me/52"&amp;C61&amp;"?text="&amp;_xlfn.ENCODEURL(Y61),"Enviar aniversario"))</f>
        <v/>
      </c>
      <c r="AA61" s="11" t="n"/>
      <c r="AB61" s="11">
        <f>IF(OR(B61="",AA61=""),"",HYPERLINK("https://wa.me/52"&amp;C61&amp;"?text="&amp;_xlfn.ENCODEURL(_xlfn.SWITCH(AA61,"Bienvenida (primera visita)",Q61,"Seguimiento",S61,"Aviso de Etapa",U61,"Requisitos",AC61,"Datos de Facturación",AD61,"Cumpleaños",W61,"Aniversario",Y61,"")),"Enviar mensaje seleccionado"))</f>
        <v/>
      </c>
      <c r="AC61" s="10">
        <f>IF(B61="","",_xlfn.SWITCH(F61&amp;"|"&amp;G61,"Crédito|Persona física","Hola, "&amp;B61&amp;", para continuar con el proceso de tu *"&amp;D61&amp;"* por "&amp;F61&amp;",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"&amp;B61&amp;", para continuar con el proceso de tu *"&amp;D61&amp;"* por "&amp;F61&amp;",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"&amp;B61&amp;", para continuar con el proceso de tu *"&amp;D61&amp;"* por "&amp;F61&amp;",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"&amp;B61&amp;", para continuar con el proceso de tu *"&amp;D61&amp;"* por "&amp;F61&amp;", estos son los documentos que necesitamos:"&amp;CHAR(10)&amp;CHAR(10)&amp;"- INE"&amp;CHAR(10)&amp;"- Comprobante de domicilio"&amp;CHAR(10)&amp;"- Constancia de situación fiscal (no mayor a 3 meses)","Contado|Persona física con actividad empresarial","Hola, "&amp;B61&amp;", para continuar con el proceso de tu *"&amp;D61&amp;"* por "&amp;F61&amp;", estos son los documentos que necesitamos:"&amp;CHAR(10)&amp;CHAR(10)&amp;"- INE"&amp;CHAR(10)&amp;"- Comprobante de domicilio"&amp;CHAR(10)&amp;"- Constancia de situación fiscal (no mayor a 3 meses)","Contado|Persona moral","Hola, "&amp;B61&amp;", para continuar con el proceso de tu *"&amp;D61&amp;"* por "&amp;F61&amp;",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61" s="10">
        <f>IFERROR(INDEX(Facturación!$Q:$Q,MATCH(B61,Facturación!$A:$A,0)),"")</f>
        <v/>
      </c>
    </row>
    <row r="62" ht="15" customHeight="1" s="1">
      <c r="A62" s="11">
        <f>IF(B62="","",ROW()-1)</f>
        <v/>
      </c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0">
        <f>IF(OR(B62="",L62&lt;&gt;"Sí"),"","Hola, "&amp;B62&amp;", excelente día. Le saluda *Alejandro Estrada* de Toyota Corregidora."&amp;CHAR(10)&amp;"Muchas gracias por visitarnos y conocer la *"&amp;D62&amp;"*.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62" s="11">
        <f>IF(Q62="","",HYPERLINK("https://wa.me/52"&amp;C62&amp;"?text="&amp;_xlfn.ENCODEURL(Q62),"Enviar Bienvenida"))</f>
        <v/>
      </c>
      <c r="S62" s="10">
        <f>IF(B62="","","Hola, "&amp;B62&amp;", muy buen día."&amp;CHAR(10)&amp;"Espero que esté teniendo una excelente semana. Le escribo para saber si tiene alguna duda sobre la oferta del *"&amp;D62&amp;"*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62" s="11">
        <f>IF(S62="","",HYPERLINK("https://wa.me/52"&amp;C62&amp;"?text="&amp;_xlfn.ENCODEURL(S62),"Enviar Seguimiento"))</f>
        <v/>
      </c>
      <c r="U62" s="10">
        <f>IF(B62="","",_xlfn.SWITCH(M62,"Apartado","Hola, "&amp;B62&amp;", buen día. Le confirmo que su apartado por el *"&amp;D62&amp;"* quedó registrado correctamente. Seguimos con el proceso y le mantendré informado(a) de cada paso.","Toma de vehículo","Hola, "&amp;B62&amp;", le comparto que estamos en el proceso de toma de su vehículo actual. En cuanto tengamos el resultado le aviso para continuar con el siguiente paso.","Pago vehículo a cuenta","Hola, "&amp;B62&amp;", quedamos en proceso de pago del vehículo que se toma a cuenta. Cualquier documento o aclaración que se requiera se lo haré saber por este medio.","Firma de contrato","Hola, "&amp;B62&amp;", ya estamos listos para agendar la firma de su contrato. ¿Qué día y hora se le facilita para realizarla?","Facturación","Hola, "&amp;B62&amp;", su unidad ya está en proceso de facturación. En breve le comparto los datos para su confirmación.","Programación de entrega","Hola, "&amp;B62&amp;", con gusto le comparto que ya podemos programar la entrega de su *"&amp;D62&amp;"*. ¿Qué día y hora le acomodan mejor?","Entregado","Hola, "&amp;B62&amp;", ¡muchas felicidades por estrenar su *"&amp;D62&amp;"*! Fue un gusto acompañarle en este proceso. Quedo pendiente de cualquier duda y con gusto le agendo su próxima cita de servicio cuando lo necesite.","Hola, "&amp;B62&amp;", seguimos en contacto para avanzar con el proceso de su próximo Toyota.")&amp;CHAR(10)&amp;CHAR(10)&amp;Config!$B$1)</f>
        <v/>
      </c>
      <c r="V62" s="11">
        <f>IF(U62="","",HYPERLINK("https://wa.me/52"&amp;C62&amp;"?text="&amp;_xlfn.ENCODEURL(U62),"Enviar aviso de etapa"))</f>
        <v/>
      </c>
      <c r="W62" s="10">
        <f>IF(OR(B62="",O62=""),"","Hola, "&amp;B62&amp;", ¡feliz cumpleaños! Le deseo un excelente día rodeado de quienes más quiere. Ha sido un placer acompañarle desde que estrenó su Toyota. ¡Un abrazo!"&amp;CHAR(10)&amp;CHAR(10)&amp;Config!$B$1)</f>
        <v/>
      </c>
      <c r="X62" s="11">
        <f>IF(W62="","",HYPERLINK("https://wa.me/52"&amp;C62&amp;"?text="&amp;_xlfn.ENCODEURL(W62),"Enviar felicitación"))</f>
        <v/>
      </c>
      <c r="Y62" s="10">
        <f>IF(OR(B62="",P62=""),"","Hola, "&amp;B62&amp;", hoy se cumple un año más desde que estrenó su *"&amp;D62&amp;"*. Espero que haya sido un gran compañero de camino. Cualquier cosa que necesite, aquí estoy para apoyarle."&amp;CHAR(10)&amp;CHAR(10)&amp;Config!$B$1)</f>
        <v/>
      </c>
      <c r="Z62" s="11">
        <f>IF(Y62="","",HYPERLINK("https://wa.me/52"&amp;C62&amp;"?text="&amp;_xlfn.ENCODEURL(Y62),"Enviar aniversario"))</f>
        <v/>
      </c>
      <c r="AA62" s="11" t="n"/>
      <c r="AB62" s="11">
        <f>IF(OR(B62="",AA62=""),"",HYPERLINK("https://wa.me/52"&amp;C62&amp;"?text="&amp;_xlfn.ENCODEURL(_xlfn.SWITCH(AA62,"Bienvenida (primera visita)",Q62,"Seguimiento",S62,"Aviso de Etapa",U62,"Requisitos",AC62,"Datos de Facturación",AD62,"Cumpleaños",W62,"Aniversario",Y62,"")),"Enviar mensaje seleccionado"))</f>
        <v/>
      </c>
      <c r="AC62" s="10">
        <f>IF(B62="","",_xlfn.SWITCH(F62&amp;"|"&amp;G62,"Crédito|Persona física","Hola, "&amp;B62&amp;", para continuar con el proceso de tu *"&amp;D62&amp;"* por "&amp;F62&amp;",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"&amp;B62&amp;", para continuar con el proceso de tu *"&amp;D62&amp;"* por "&amp;F62&amp;",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"&amp;B62&amp;", para continuar con el proceso de tu *"&amp;D62&amp;"* por "&amp;F62&amp;",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"&amp;B62&amp;", para continuar con el proceso de tu *"&amp;D62&amp;"* por "&amp;F62&amp;", estos son los documentos que necesitamos:"&amp;CHAR(10)&amp;CHAR(10)&amp;"- INE"&amp;CHAR(10)&amp;"- Comprobante de domicilio"&amp;CHAR(10)&amp;"- Constancia de situación fiscal (no mayor a 3 meses)","Contado|Persona física con actividad empresarial","Hola, "&amp;B62&amp;", para continuar con el proceso de tu *"&amp;D62&amp;"* por "&amp;F62&amp;", estos son los documentos que necesitamos:"&amp;CHAR(10)&amp;CHAR(10)&amp;"- INE"&amp;CHAR(10)&amp;"- Comprobante de domicilio"&amp;CHAR(10)&amp;"- Constancia de situación fiscal (no mayor a 3 meses)","Contado|Persona moral","Hola, "&amp;B62&amp;", para continuar con el proceso de tu *"&amp;D62&amp;"* por "&amp;F62&amp;",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62" s="10">
        <f>IFERROR(INDEX(Facturación!$Q:$Q,MATCH(B62,Facturación!$A:$A,0)),"")</f>
        <v/>
      </c>
    </row>
    <row r="63" ht="15" customHeight="1" s="1">
      <c r="A63" s="11">
        <f>IF(B63="","",ROW()-1)</f>
        <v/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0">
        <f>IF(OR(B63="",L63&lt;&gt;"Sí"),"","Hola, "&amp;B63&amp;", excelente día. Le saluda *Alejandro Estrada* de Toyota Corregidora."&amp;CHAR(10)&amp;"Muchas gracias por visitarnos y conocer la *"&amp;D63&amp;"*.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63" s="11">
        <f>IF(Q63="","",HYPERLINK("https://wa.me/52"&amp;C63&amp;"?text="&amp;_xlfn.ENCODEURL(Q63),"Enviar Bienvenida"))</f>
        <v/>
      </c>
      <c r="S63" s="10">
        <f>IF(B63="","","Hola, "&amp;B63&amp;", muy buen día."&amp;CHAR(10)&amp;"Espero que esté teniendo una excelente semana. Le escribo para saber si tiene alguna duda sobre la oferta del *"&amp;D63&amp;"*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63" s="11">
        <f>IF(S63="","",HYPERLINK("https://wa.me/52"&amp;C63&amp;"?text="&amp;_xlfn.ENCODEURL(S63),"Enviar Seguimiento"))</f>
        <v/>
      </c>
      <c r="U63" s="10">
        <f>IF(B63="","",_xlfn.SWITCH(M63,"Apartado","Hola, "&amp;B63&amp;", buen día. Le confirmo que su apartado por el *"&amp;D63&amp;"* quedó registrado correctamente. Seguimos con el proceso y le mantendré informado(a) de cada paso.","Toma de vehículo","Hola, "&amp;B63&amp;", le comparto que estamos en el proceso de toma de su vehículo actual. En cuanto tengamos el resultado le aviso para continuar con el siguiente paso.","Pago vehículo a cuenta","Hola, "&amp;B63&amp;", quedamos en proceso de pago del vehículo que se toma a cuenta. Cualquier documento o aclaración que se requiera se lo haré saber por este medio.","Firma de contrato","Hola, "&amp;B63&amp;", ya estamos listos para agendar la firma de su contrato. ¿Qué día y hora se le facilita para realizarla?","Facturación","Hola, "&amp;B63&amp;", su unidad ya está en proceso de facturación. En breve le comparto los datos para su confirmación.","Programación de entrega","Hola, "&amp;B63&amp;", con gusto le comparto que ya podemos programar la entrega de su *"&amp;D63&amp;"*. ¿Qué día y hora le acomodan mejor?","Entregado","Hola, "&amp;B63&amp;", ¡muchas felicidades por estrenar su *"&amp;D63&amp;"*! Fue un gusto acompañarle en este proceso. Quedo pendiente de cualquier duda y con gusto le agendo su próxima cita de servicio cuando lo necesite.","Hola, "&amp;B63&amp;", seguimos en contacto para avanzar con el proceso de su próximo Toyota.")&amp;CHAR(10)&amp;CHAR(10)&amp;Config!$B$1)</f>
        <v/>
      </c>
      <c r="V63" s="11">
        <f>IF(U63="","",HYPERLINK("https://wa.me/52"&amp;C63&amp;"?text="&amp;_xlfn.ENCODEURL(U63),"Enviar aviso de etapa"))</f>
        <v/>
      </c>
      <c r="W63" s="10">
        <f>IF(OR(B63="",O63=""),"","Hola, "&amp;B63&amp;", ¡feliz cumpleaños! Le deseo un excelente día rodeado de quienes más quiere. Ha sido un placer acompañarle desde que estrenó su Toyota. ¡Un abrazo!"&amp;CHAR(10)&amp;CHAR(10)&amp;Config!$B$1)</f>
        <v/>
      </c>
      <c r="X63" s="11">
        <f>IF(W63="","",HYPERLINK("https://wa.me/52"&amp;C63&amp;"?text="&amp;_xlfn.ENCODEURL(W63),"Enviar felicitación"))</f>
        <v/>
      </c>
      <c r="Y63" s="10">
        <f>IF(OR(B63="",P63=""),"","Hola, "&amp;B63&amp;", hoy se cumple un año más desde que estrenó su *"&amp;D63&amp;"*. Espero que haya sido un gran compañero de camino. Cualquier cosa que necesite, aquí estoy para apoyarle."&amp;CHAR(10)&amp;CHAR(10)&amp;Config!$B$1)</f>
        <v/>
      </c>
      <c r="Z63" s="11">
        <f>IF(Y63="","",HYPERLINK("https://wa.me/52"&amp;C63&amp;"?text="&amp;_xlfn.ENCODEURL(Y63),"Enviar aniversario"))</f>
        <v/>
      </c>
      <c r="AA63" s="11" t="n"/>
      <c r="AB63" s="11">
        <f>IF(OR(B63="",AA63=""),"",HYPERLINK("https://wa.me/52"&amp;C63&amp;"?text="&amp;_xlfn.ENCODEURL(_xlfn.SWITCH(AA63,"Bienvenida (primera visita)",Q63,"Seguimiento",S63,"Aviso de Etapa",U63,"Requisitos",AC63,"Datos de Facturación",AD63,"Cumpleaños",W63,"Aniversario",Y63,"")),"Enviar mensaje seleccionado"))</f>
        <v/>
      </c>
      <c r="AC63" s="10">
        <f>IF(B63="","",_xlfn.SWITCH(F63&amp;"|"&amp;G63,"Crédito|Persona física","Hola, "&amp;B63&amp;", para continuar con el proceso de tu *"&amp;D63&amp;"* por "&amp;F63&amp;",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"&amp;B63&amp;", para continuar con el proceso de tu *"&amp;D63&amp;"* por "&amp;F63&amp;",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"&amp;B63&amp;", para continuar con el proceso de tu *"&amp;D63&amp;"* por "&amp;F63&amp;",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"&amp;B63&amp;", para continuar con el proceso de tu *"&amp;D63&amp;"* por "&amp;F63&amp;", estos son los documentos que necesitamos:"&amp;CHAR(10)&amp;CHAR(10)&amp;"- INE"&amp;CHAR(10)&amp;"- Comprobante de domicilio"&amp;CHAR(10)&amp;"- Constancia de situación fiscal (no mayor a 3 meses)","Contado|Persona física con actividad empresarial","Hola, "&amp;B63&amp;", para continuar con el proceso de tu *"&amp;D63&amp;"* por "&amp;F63&amp;", estos son los documentos que necesitamos:"&amp;CHAR(10)&amp;CHAR(10)&amp;"- INE"&amp;CHAR(10)&amp;"- Comprobante de domicilio"&amp;CHAR(10)&amp;"- Constancia de situación fiscal (no mayor a 3 meses)","Contado|Persona moral","Hola, "&amp;B63&amp;", para continuar con el proceso de tu *"&amp;D63&amp;"* por "&amp;F63&amp;",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63" s="10">
        <f>IFERROR(INDEX(Facturación!$Q:$Q,MATCH(B63,Facturación!$A:$A,0)),"")</f>
        <v/>
      </c>
    </row>
    <row r="64" ht="15" customHeight="1" s="1">
      <c r="A64" s="11">
        <f>IF(B64="","",ROW()-1)</f>
        <v/>
      </c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0">
        <f>IF(OR(B64="",L64&lt;&gt;"Sí"),"","Hola, "&amp;B64&amp;", excelente día. Le saluda *Alejandro Estrada* de Toyota Corregidora."&amp;CHAR(10)&amp;"Muchas gracias por visitarnos y conocer la *"&amp;D64&amp;"*.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64" s="11">
        <f>IF(Q64="","",HYPERLINK("https://wa.me/52"&amp;C64&amp;"?text="&amp;_xlfn.ENCODEURL(Q64),"Enviar Bienvenida"))</f>
        <v/>
      </c>
      <c r="S64" s="10">
        <f>IF(B64="","","Hola, "&amp;B64&amp;", muy buen día."&amp;CHAR(10)&amp;"Espero que esté teniendo una excelente semana. Le escribo para saber si tiene alguna duda sobre la oferta del *"&amp;D64&amp;"*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64" s="11">
        <f>IF(S64="","",HYPERLINK("https://wa.me/52"&amp;C64&amp;"?text="&amp;_xlfn.ENCODEURL(S64),"Enviar Seguimiento"))</f>
        <v/>
      </c>
      <c r="U64" s="10">
        <f>IF(B64="","",_xlfn.SWITCH(M64,"Apartado","Hola, "&amp;B64&amp;", buen día. Le confirmo que su apartado por el *"&amp;D64&amp;"* quedó registrado correctamente. Seguimos con el proceso y le mantendré informado(a) de cada paso.","Toma de vehículo","Hola, "&amp;B64&amp;", le comparto que estamos en el proceso de toma de su vehículo actual. En cuanto tengamos el resultado le aviso para continuar con el siguiente paso.","Pago vehículo a cuenta","Hola, "&amp;B64&amp;", quedamos en proceso de pago del vehículo que se toma a cuenta. Cualquier documento o aclaración que se requiera se lo haré saber por este medio.","Firma de contrato","Hola, "&amp;B64&amp;", ya estamos listos para agendar la firma de su contrato. ¿Qué día y hora se le facilita para realizarla?","Facturación","Hola, "&amp;B64&amp;", su unidad ya está en proceso de facturación. En breve le comparto los datos para su confirmación.","Programación de entrega","Hola, "&amp;B64&amp;", con gusto le comparto que ya podemos programar la entrega de su *"&amp;D64&amp;"*. ¿Qué día y hora le acomodan mejor?","Entregado","Hola, "&amp;B64&amp;", ¡muchas felicidades por estrenar su *"&amp;D64&amp;"*! Fue un gusto acompañarle en este proceso. Quedo pendiente de cualquier duda y con gusto le agendo su próxima cita de servicio cuando lo necesite.","Hola, "&amp;B64&amp;", seguimos en contacto para avanzar con el proceso de su próximo Toyota.")&amp;CHAR(10)&amp;CHAR(10)&amp;Config!$B$1)</f>
        <v/>
      </c>
      <c r="V64" s="11">
        <f>IF(U64="","",HYPERLINK("https://wa.me/52"&amp;C64&amp;"?text="&amp;_xlfn.ENCODEURL(U64),"Enviar aviso de etapa"))</f>
        <v/>
      </c>
      <c r="W64" s="10">
        <f>IF(OR(B64="",O64=""),"","Hola, "&amp;B64&amp;", ¡feliz cumpleaños! Le deseo un excelente día rodeado de quienes más quiere. Ha sido un placer acompañarle desde que estrenó su Toyota. ¡Un abrazo!"&amp;CHAR(10)&amp;CHAR(10)&amp;Config!$B$1)</f>
        <v/>
      </c>
      <c r="X64" s="11">
        <f>IF(W64="","",HYPERLINK("https://wa.me/52"&amp;C64&amp;"?text="&amp;_xlfn.ENCODEURL(W64),"Enviar felicitación"))</f>
        <v/>
      </c>
      <c r="Y64" s="10">
        <f>IF(OR(B64="",P64=""),"","Hola, "&amp;B64&amp;", hoy se cumple un año más desde que estrenó su *"&amp;D64&amp;"*. Espero que haya sido un gran compañero de camino. Cualquier cosa que necesite, aquí estoy para apoyarle."&amp;CHAR(10)&amp;CHAR(10)&amp;Config!$B$1)</f>
        <v/>
      </c>
      <c r="Z64" s="11">
        <f>IF(Y64="","",HYPERLINK("https://wa.me/52"&amp;C64&amp;"?text="&amp;_xlfn.ENCODEURL(Y64),"Enviar aniversario"))</f>
        <v/>
      </c>
      <c r="AA64" s="11" t="n"/>
      <c r="AB64" s="11">
        <f>IF(OR(B64="",AA64=""),"",HYPERLINK("https://wa.me/52"&amp;C64&amp;"?text="&amp;_xlfn.ENCODEURL(_xlfn.SWITCH(AA64,"Bienvenida (primera visita)",Q64,"Seguimiento",S64,"Aviso de Etapa",U64,"Requisitos",AC64,"Datos de Facturación",AD64,"Cumpleaños",W64,"Aniversario",Y64,"")),"Enviar mensaje seleccionado"))</f>
        <v/>
      </c>
      <c r="AC64" s="10">
        <f>IF(B64="","",_xlfn.SWITCH(F64&amp;"|"&amp;G64,"Crédito|Persona física","Hola, "&amp;B64&amp;", para continuar con el proceso de tu *"&amp;D64&amp;"* por "&amp;F64&amp;",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"&amp;B64&amp;", para continuar con el proceso de tu *"&amp;D64&amp;"* por "&amp;F64&amp;",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"&amp;B64&amp;", para continuar con el proceso de tu *"&amp;D64&amp;"* por "&amp;F64&amp;",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"&amp;B64&amp;", para continuar con el proceso de tu *"&amp;D64&amp;"* por "&amp;F64&amp;", estos son los documentos que necesitamos:"&amp;CHAR(10)&amp;CHAR(10)&amp;"- INE"&amp;CHAR(10)&amp;"- Comprobante de domicilio"&amp;CHAR(10)&amp;"- Constancia de situación fiscal (no mayor a 3 meses)","Contado|Persona física con actividad empresarial","Hola, "&amp;B64&amp;", para continuar con el proceso de tu *"&amp;D64&amp;"* por "&amp;F64&amp;", estos son los documentos que necesitamos:"&amp;CHAR(10)&amp;CHAR(10)&amp;"- INE"&amp;CHAR(10)&amp;"- Comprobante de domicilio"&amp;CHAR(10)&amp;"- Constancia de situación fiscal (no mayor a 3 meses)","Contado|Persona moral","Hola, "&amp;B64&amp;", para continuar con el proceso de tu *"&amp;D64&amp;"* por "&amp;F64&amp;",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64" s="10">
        <f>IFERROR(INDEX(Facturación!$Q:$Q,MATCH(B64,Facturación!$A:$A,0)),"")</f>
        <v/>
      </c>
    </row>
    <row r="65" ht="15" customHeight="1" s="1">
      <c r="A65" s="11">
        <f>IF(B65="","",ROW()-1)</f>
        <v/>
      </c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0">
        <f>IF(OR(B65="",L65&lt;&gt;"Sí"),"","Hola, "&amp;B65&amp;", excelente día. Le saluda *Alejandro Estrada* de Toyota Corregidora."&amp;CHAR(10)&amp;"Muchas gracias por visitarnos y conocer la *"&amp;D65&amp;"*.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65" s="11">
        <f>IF(Q65="","",HYPERLINK("https://wa.me/52"&amp;C65&amp;"?text="&amp;_xlfn.ENCODEURL(Q65),"Enviar Bienvenida"))</f>
        <v/>
      </c>
      <c r="S65" s="10">
        <f>IF(B65="","","Hola, "&amp;B65&amp;", muy buen día."&amp;CHAR(10)&amp;"Espero que esté teniendo una excelente semana. Le escribo para saber si tiene alguna duda sobre la oferta del *"&amp;D65&amp;"*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65" s="11">
        <f>IF(S65="","",HYPERLINK("https://wa.me/52"&amp;C65&amp;"?text="&amp;_xlfn.ENCODEURL(S65),"Enviar Seguimiento"))</f>
        <v/>
      </c>
      <c r="U65" s="10">
        <f>IF(B65="","",_xlfn.SWITCH(M65,"Apartado","Hola, "&amp;B65&amp;", buen día. Le confirmo que su apartado por el *"&amp;D65&amp;"* quedó registrado correctamente. Seguimos con el proceso y le mantendré informado(a) de cada paso.","Toma de vehículo","Hola, "&amp;B65&amp;", le comparto que estamos en el proceso de toma de su vehículo actual. En cuanto tengamos el resultado le aviso para continuar con el siguiente paso.","Pago vehículo a cuenta","Hola, "&amp;B65&amp;", quedamos en proceso de pago del vehículo que se toma a cuenta. Cualquier documento o aclaración que se requiera se lo haré saber por este medio.","Firma de contrato","Hola, "&amp;B65&amp;", ya estamos listos para agendar la firma de su contrato. ¿Qué día y hora se le facilita para realizarla?","Facturación","Hola, "&amp;B65&amp;", su unidad ya está en proceso de facturación. En breve le comparto los datos para su confirmación.","Programación de entrega","Hola, "&amp;B65&amp;", con gusto le comparto que ya podemos programar la entrega de su *"&amp;D65&amp;"*. ¿Qué día y hora le acomodan mejor?","Entregado","Hola, "&amp;B65&amp;", ¡muchas felicidades por estrenar su *"&amp;D65&amp;"*! Fue un gusto acompañarle en este proceso. Quedo pendiente de cualquier duda y con gusto le agendo su próxima cita de servicio cuando lo necesite.","Hola, "&amp;B65&amp;", seguimos en contacto para avanzar con el proceso de su próximo Toyota.")&amp;CHAR(10)&amp;CHAR(10)&amp;Config!$B$1)</f>
        <v/>
      </c>
      <c r="V65" s="11">
        <f>IF(U65="","",HYPERLINK("https://wa.me/52"&amp;C65&amp;"?text="&amp;_xlfn.ENCODEURL(U65),"Enviar aviso de etapa"))</f>
        <v/>
      </c>
      <c r="W65" s="10">
        <f>IF(OR(B65="",O65=""),"","Hola, "&amp;B65&amp;", ¡feliz cumpleaños! Le deseo un excelente día rodeado de quienes más quiere. Ha sido un placer acompañarle desde que estrenó su Toyota. ¡Un abrazo!"&amp;CHAR(10)&amp;CHAR(10)&amp;Config!$B$1)</f>
        <v/>
      </c>
      <c r="X65" s="11">
        <f>IF(W65="","",HYPERLINK("https://wa.me/52"&amp;C65&amp;"?text="&amp;_xlfn.ENCODEURL(W65),"Enviar felicitación"))</f>
        <v/>
      </c>
      <c r="Y65" s="10">
        <f>IF(OR(B65="",P65=""),"","Hola, "&amp;B65&amp;", hoy se cumple un año más desde que estrenó su *"&amp;D65&amp;"*. Espero que haya sido un gran compañero de camino. Cualquier cosa que necesite, aquí estoy para apoyarle."&amp;CHAR(10)&amp;CHAR(10)&amp;Config!$B$1)</f>
        <v/>
      </c>
      <c r="Z65" s="11">
        <f>IF(Y65="","",HYPERLINK("https://wa.me/52"&amp;C65&amp;"?text="&amp;_xlfn.ENCODEURL(Y65),"Enviar aniversario"))</f>
        <v/>
      </c>
      <c r="AA65" s="11" t="n"/>
      <c r="AB65" s="11">
        <f>IF(OR(B65="",AA65=""),"",HYPERLINK("https://wa.me/52"&amp;C65&amp;"?text="&amp;_xlfn.ENCODEURL(_xlfn.SWITCH(AA65,"Bienvenida (primera visita)",Q65,"Seguimiento",S65,"Aviso de Etapa",U65,"Requisitos",AC65,"Datos de Facturación",AD65,"Cumpleaños",W65,"Aniversario",Y65,"")),"Enviar mensaje seleccionado"))</f>
        <v/>
      </c>
      <c r="AC65" s="10">
        <f>IF(B65="","",_xlfn.SWITCH(F65&amp;"|"&amp;G65,"Crédito|Persona física","Hola, "&amp;B65&amp;", para continuar con el proceso de tu *"&amp;D65&amp;"* por "&amp;F65&amp;",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"&amp;B65&amp;", para continuar con el proceso de tu *"&amp;D65&amp;"* por "&amp;F65&amp;",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"&amp;B65&amp;", para continuar con el proceso de tu *"&amp;D65&amp;"* por "&amp;F65&amp;",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"&amp;B65&amp;", para continuar con el proceso de tu *"&amp;D65&amp;"* por "&amp;F65&amp;", estos son los documentos que necesitamos:"&amp;CHAR(10)&amp;CHAR(10)&amp;"- INE"&amp;CHAR(10)&amp;"- Comprobante de domicilio"&amp;CHAR(10)&amp;"- Constancia de situación fiscal (no mayor a 3 meses)","Contado|Persona física con actividad empresarial","Hola, "&amp;B65&amp;", para continuar con el proceso de tu *"&amp;D65&amp;"* por "&amp;F65&amp;", estos son los documentos que necesitamos:"&amp;CHAR(10)&amp;CHAR(10)&amp;"- INE"&amp;CHAR(10)&amp;"- Comprobante de domicilio"&amp;CHAR(10)&amp;"- Constancia de situación fiscal (no mayor a 3 meses)","Contado|Persona moral","Hola, "&amp;B65&amp;", para continuar con el proceso de tu *"&amp;D65&amp;"* por "&amp;F65&amp;",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65" s="10">
        <f>IFERROR(INDEX(Facturación!$Q:$Q,MATCH(B65,Facturación!$A:$A,0)),"")</f>
        <v/>
      </c>
    </row>
    <row r="66" ht="15" customHeight="1" s="1">
      <c r="A66" s="11">
        <f>IF(B66="","",ROW()-1)</f>
        <v/>
      </c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0">
        <f>IF(OR(B66="",L66&lt;&gt;"Sí"),"","Hola, "&amp;B66&amp;", excelente día. Le saluda *Alejandro Estrada* de Toyota Corregidora."&amp;CHAR(10)&amp;"Muchas gracias por visitarnos y conocer la *"&amp;D66&amp;"*.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66" s="11">
        <f>IF(Q66="","",HYPERLINK("https://wa.me/52"&amp;C66&amp;"?text="&amp;_xlfn.ENCODEURL(Q66),"Enviar Bienvenida"))</f>
        <v/>
      </c>
      <c r="S66" s="10">
        <f>IF(B66="","","Hola, "&amp;B66&amp;", muy buen día."&amp;CHAR(10)&amp;"Espero que esté teniendo una excelente semana. Le escribo para saber si tiene alguna duda sobre la oferta del *"&amp;D66&amp;"*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66" s="11">
        <f>IF(S66="","",HYPERLINK("https://wa.me/52"&amp;C66&amp;"?text="&amp;_xlfn.ENCODEURL(S66),"Enviar Seguimiento"))</f>
        <v/>
      </c>
      <c r="U66" s="10">
        <f>IF(B66="","",_xlfn.SWITCH(M66,"Apartado","Hola, "&amp;B66&amp;", buen día. Le confirmo que su apartado por el *"&amp;D66&amp;"* quedó registrado correctamente. Seguimos con el proceso y le mantendré informado(a) de cada paso.","Toma de vehículo","Hola, "&amp;B66&amp;", le comparto que estamos en el proceso de toma de su vehículo actual. En cuanto tengamos el resultado le aviso para continuar con el siguiente paso.","Pago vehículo a cuenta","Hola, "&amp;B66&amp;", quedamos en proceso de pago del vehículo que se toma a cuenta. Cualquier documento o aclaración que se requiera se lo haré saber por este medio.","Firma de contrato","Hola, "&amp;B66&amp;", ya estamos listos para agendar la firma de su contrato. ¿Qué día y hora se le facilita para realizarla?","Facturación","Hola, "&amp;B66&amp;", su unidad ya está en proceso de facturación. En breve le comparto los datos para su confirmación.","Programación de entrega","Hola, "&amp;B66&amp;", con gusto le comparto que ya podemos programar la entrega de su *"&amp;D66&amp;"*. ¿Qué día y hora le acomodan mejor?","Entregado","Hola, "&amp;B66&amp;", ¡muchas felicidades por estrenar su *"&amp;D66&amp;"*! Fue un gusto acompañarle en este proceso. Quedo pendiente de cualquier duda y con gusto le agendo su próxima cita de servicio cuando lo necesite.","Hola, "&amp;B66&amp;", seguimos en contacto para avanzar con el proceso de su próximo Toyota.")&amp;CHAR(10)&amp;CHAR(10)&amp;Config!$B$1)</f>
        <v/>
      </c>
      <c r="V66" s="11">
        <f>IF(U66="","",HYPERLINK("https://wa.me/52"&amp;C66&amp;"?text="&amp;_xlfn.ENCODEURL(U66),"Enviar aviso de etapa"))</f>
        <v/>
      </c>
      <c r="W66" s="10">
        <f>IF(OR(B66="",O66=""),"","Hola, "&amp;B66&amp;", ¡feliz cumpleaños! Le deseo un excelente día rodeado de quienes más quiere. Ha sido un placer acompañarle desde que estrenó su Toyota. ¡Un abrazo!"&amp;CHAR(10)&amp;CHAR(10)&amp;Config!$B$1)</f>
        <v/>
      </c>
      <c r="X66" s="11">
        <f>IF(W66="","",HYPERLINK("https://wa.me/52"&amp;C66&amp;"?text="&amp;_xlfn.ENCODEURL(W66),"Enviar felicitación"))</f>
        <v/>
      </c>
      <c r="Y66" s="10">
        <f>IF(OR(B66="",P66=""),"","Hola, "&amp;B66&amp;", hoy se cumple un año más desde que estrenó su *"&amp;D66&amp;"*. Espero que haya sido un gran compañero de camino. Cualquier cosa que necesite, aquí estoy para apoyarle."&amp;CHAR(10)&amp;CHAR(10)&amp;Config!$B$1)</f>
        <v/>
      </c>
      <c r="Z66" s="11">
        <f>IF(Y66="","",HYPERLINK("https://wa.me/52"&amp;C66&amp;"?text="&amp;_xlfn.ENCODEURL(Y66),"Enviar aniversario"))</f>
        <v/>
      </c>
      <c r="AA66" s="11" t="n"/>
      <c r="AB66" s="11">
        <f>IF(OR(B66="",AA66=""),"",HYPERLINK("https://wa.me/52"&amp;C66&amp;"?text="&amp;_xlfn.ENCODEURL(_xlfn.SWITCH(AA66,"Bienvenida (primera visita)",Q66,"Seguimiento",S66,"Aviso de Etapa",U66,"Requisitos",AC66,"Datos de Facturación",AD66,"Cumpleaños",W66,"Aniversario",Y66,"")),"Enviar mensaje seleccionado"))</f>
        <v/>
      </c>
      <c r="AC66" s="10">
        <f>IF(B66="","",_xlfn.SWITCH(F66&amp;"|"&amp;G66,"Crédito|Persona física","Hola, "&amp;B66&amp;", para continuar con el proceso de tu *"&amp;D66&amp;"* por "&amp;F66&amp;",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"&amp;B66&amp;", para continuar con el proceso de tu *"&amp;D66&amp;"* por "&amp;F66&amp;",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"&amp;B66&amp;", para continuar con el proceso de tu *"&amp;D66&amp;"* por "&amp;F66&amp;",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"&amp;B66&amp;", para continuar con el proceso de tu *"&amp;D66&amp;"* por "&amp;F66&amp;", estos son los documentos que necesitamos:"&amp;CHAR(10)&amp;CHAR(10)&amp;"- INE"&amp;CHAR(10)&amp;"- Comprobante de domicilio"&amp;CHAR(10)&amp;"- Constancia de situación fiscal (no mayor a 3 meses)","Contado|Persona física con actividad empresarial","Hola, "&amp;B66&amp;", para continuar con el proceso de tu *"&amp;D66&amp;"* por "&amp;F66&amp;", estos son los documentos que necesitamos:"&amp;CHAR(10)&amp;CHAR(10)&amp;"- INE"&amp;CHAR(10)&amp;"- Comprobante de domicilio"&amp;CHAR(10)&amp;"- Constancia de situación fiscal (no mayor a 3 meses)","Contado|Persona moral","Hola, "&amp;B66&amp;", para continuar con el proceso de tu *"&amp;D66&amp;"* por "&amp;F66&amp;",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66" s="10">
        <f>IFERROR(INDEX(Facturación!$Q:$Q,MATCH(B66,Facturación!$A:$A,0)),"")</f>
        <v/>
      </c>
    </row>
    <row r="67" ht="15" customHeight="1" s="1">
      <c r="A67" s="11">
        <f>IF(B67="","",ROW()-1)</f>
        <v/>
      </c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0">
        <f>IF(OR(B67="",L67&lt;&gt;"Sí"),"","Hola, "&amp;B67&amp;", excelente día. Le saluda *Alejandro Estrada* de Toyota Corregidora."&amp;CHAR(10)&amp;"Muchas gracias por visitarnos y conocer la *"&amp;D67&amp;"*.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67" s="11">
        <f>IF(Q67="","",HYPERLINK("https://wa.me/52"&amp;C67&amp;"?text="&amp;_xlfn.ENCODEURL(Q67),"Enviar Bienvenida"))</f>
        <v/>
      </c>
      <c r="S67" s="10">
        <f>IF(B67="","","Hola, "&amp;B67&amp;", muy buen día."&amp;CHAR(10)&amp;"Espero que esté teniendo una excelente semana. Le escribo para saber si tiene alguna duda sobre la oferta del *"&amp;D67&amp;"*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67" s="11">
        <f>IF(S67="","",HYPERLINK("https://wa.me/52"&amp;C67&amp;"?text="&amp;_xlfn.ENCODEURL(S67),"Enviar Seguimiento"))</f>
        <v/>
      </c>
      <c r="U67" s="10">
        <f>IF(B67="","",_xlfn.SWITCH(M67,"Apartado","Hola, "&amp;B67&amp;", buen día. Le confirmo que su apartado por el *"&amp;D67&amp;"* quedó registrado correctamente. Seguimos con el proceso y le mantendré informado(a) de cada paso.","Toma de vehículo","Hola, "&amp;B67&amp;", le comparto que estamos en el proceso de toma de su vehículo actual. En cuanto tengamos el resultado le aviso para continuar con el siguiente paso.","Pago vehículo a cuenta","Hola, "&amp;B67&amp;", quedamos en proceso de pago del vehículo que se toma a cuenta. Cualquier documento o aclaración que se requiera se lo haré saber por este medio.","Firma de contrato","Hola, "&amp;B67&amp;", ya estamos listos para agendar la firma de su contrato. ¿Qué día y hora se le facilita para realizarla?","Facturación","Hola, "&amp;B67&amp;", su unidad ya está en proceso de facturación. En breve le comparto los datos para su confirmación.","Programación de entrega","Hola, "&amp;B67&amp;", con gusto le comparto que ya podemos programar la entrega de su *"&amp;D67&amp;"*. ¿Qué día y hora le acomodan mejor?","Entregado","Hola, "&amp;B67&amp;", ¡muchas felicidades por estrenar su *"&amp;D67&amp;"*! Fue un gusto acompañarle en este proceso. Quedo pendiente de cualquier duda y con gusto le agendo su próxima cita de servicio cuando lo necesite.","Hola, "&amp;B67&amp;", seguimos en contacto para avanzar con el proceso de su próximo Toyota.")&amp;CHAR(10)&amp;CHAR(10)&amp;Config!$B$1)</f>
        <v/>
      </c>
      <c r="V67" s="11">
        <f>IF(U67="","",HYPERLINK("https://wa.me/52"&amp;C67&amp;"?text="&amp;_xlfn.ENCODEURL(U67),"Enviar aviso de etapa"))</f>
        <v/>
      </c>
      <c r="W67" s="10">
        <f>IF(OR(B67="",O67=""),"","Hola, "&amp;B67&amp;", ¡feliz cumpleaños! Le deseo un excelente día rodeado de quienes más quiere. Ha sido un placer acompañarle desde que estrenó su Toyota. ¡Un abrazo!"&amp;CHAR(10)&amp;CHAR(10)&amp;Config!$B$1)</f>
        <v/>
      </c>
      <c r="X67" s="11">
        <f>IF(W67="","",HYPERLINK("https://wa.me/52"&amp;C67&amp;"?text="&amp;_xlfn.ENCODEURL(W67),"Enviar felicitación"))</f>
        <v/>
      </c>
      <c r="Y67" s="10">
        <f>IF(OR(B67="",P67=""),"","Hola, "&amp;B67&amp;", hoy se cumple un año más desde que estrenó su *"&amp;D67&amp;"*. Espero que haya sido un gran compañero de camino. Cualquier cosa que necesite, aquí estoy para apoyarle."&amp;CHAR(10)&amp;CHAR(10)&amp;Config!$B$1)</f>
        <v/>
      </c>
      <c r="Z67" s="11">
        <f>IF(Y67="","",HYPERLINK("https://wa.me/52"&amp;C67&amp;"?text="&amp;_xlfn.ENCODEURL(Y67),"Enviar aniversario"))</f>
        <v/>
      </c>
      <c r="AA67" s="11" t="n"/>
      <c r="AB67" s="11">
        <f>IF(OR(B67="",AA67=""),"",HYPERLINK("https://wa.me/52"&amp;C67&amp;"?text="&amp;_xlfn.ENCODEURL(_xlfn.SWITCH(AA67,"Bienvenida (primera visita)",Q67,"Seguimiento",S67,"Aviso de Etapa",U67,"Requisitos",AC67,"Datos de Facturación",AD67,"Cumpleaños",W67,"Aniversario",Y67,"")),"Enviar mensaje seleccionado"))</f>
        <v/>
      </c>
      <c r="AC67" s="10">
        <f>IF(B67="","",_xlfn.SWITCH(F67&amp;"|"&amp;G67,"Crédito|Persona física","Hola, "&amp;B67&amp;", para continuar con el proceso de tu *"&amp;D67&amp;"* por "&amp;F67&amp;",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"&amp;B67&amp;", para continuar con el proceso de tu *"&amp;D67&amp;"* por "&amp;F67&amp;",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"&amp;B67&amp;", para continuar con el proceso de tu *"&amp;D67&amp;"* por "&amp;F67&amp;",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"&amp;B67&amp;", para continuar con el proceso de tu *"&amp;D67&amp;"* por "&amp;F67&amp;", estos son los documentos que necesitamos:"&amp;CHAR(10)&amp;CHAR(10)&amp;"- INE"&amp;CHAR(10)&amp;"- Comprobante de domicilio"&amp;CHAR(10)&amp;"- Constancia de situación fiscal (no mayor a 3 meses)","Contado|Persona física con actividad empresarial","Hola, "&amp;B67&amp;", para continuar con el proceso de tu *"&amp;D67&amp;"* por "&amp;F67&amp;", estos son los documentos que necesitamos:"&amp;CHAR(10)&amp;CHAR(10)&amp;"- INE"&amp;CHAR(10)&amp;"- Comprobante de domicilio"&amp;CHAR(10)&amp;"- Constancia de situación fiscal (no mayor a 3 meses)","Contado|Persona moral","Hola, "&amp;B67&amp;", para continuar con el proceso de tu *"&amp;D67&amp;"* por "&amp;F67&amp;",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67" s="10">
        <f>IFERROR(INDEX(Facturación!$Q:$Q,MATCH(B67,Facturación!$A:$A,0)),"")</f>
        <v/>
      </c>
    </row>
    <row r="68" ht="15" customHeight="1" s="1">
      <c r="A68" s="11">
        <f>IF(B68="","",ROW()-1)</f>
        <v/>
      </c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0">
        <f>IF(OR(B68="",L68&lt;&gt;"Sí"),"","Hola, "&amp;B68&amp;", excelente día. Le saluda *Alejandro Estrada* de Toyota Corregidora."&amp;CHAR(10)&amp;"Muchas gracias por visitarnos y conocer la *"&amp;D68&amp;"*.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68" s="11">
        <f>IF(Q68="","",HYPERLINK("https://wa.me/52"&amp;C68&amp;"?text="&amp;_xlfn.ENCODEURL(Q68),"Enviar Bienvenida"))</f>
        <v/>
      </c>
      <c r="S68" s="10">
        <f>IF(B68="","","Hola, "&amp;B68&amp;", muy buen día."&amp;CHAR(10)&amp;"Espero que esté teniendo una excelente semana. Le escribo para saber si tiene alguna duda sobre la oferta del *"&amp;D68&amp;"*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68" s="11">
        <f>IF(S68="","",HYPERLINK("https://wa.me/52"&amp;C68&amp;"?text="&amp;_xlfn.ENCODEURL(S68),"Enviar Seguimiento"))</f>
        <v/>
      </c>
      <c r="U68" s="10">
        <f>IF(B68="","",_xlfn.SWITCH(M68,"Apartado","Hola, "&amp;B68&amp;", buen día. Le confirmo que su apartado por el *"&amp;D68&amp;"* quedó registrado correctamente. Seguimos con el proceso y le mantendré informado(a) de cada paso.","Toma de vehículo","Hola, "&amp;B68&amp;", le comparto que estamos en el proceso de toma de su vehículo actual. En cuanto tengamos el resultado le aviso para continuar con el siguiente paso.","Pago vehículo a cuenta","Hola, "&amp;B68&amp;", quedamos en proceso de pago del vehículo que se toma a cuenta. Cualquier documento o aclaración que se requiera se lo haré saber por este medio.","Firma de contrato","Hola, "&amp;B68&amp;", ya estamos listos para agendar la firma de su contrato. ¿Qué día y hora se le facilita para realizarla?","Facturación","Hola, "&amp;B68&amp;", su unidad ya está en proceso de facturación. En breve le comparto los datos para su confirmación.","Programación de entrega","Hola, "&amp;B68&amp;", con gusto le comparto que ya podemos programar la entrega de su *"&amp;D68&amp;"*. ¿Qué día y hora le acomodan mejor?","Entregado","Hola, "&amp;B68&amp;", ¡muchas felicidades por estrenar su *"&amp;D68&amp;"*! Fue un gusto acompañarle en este proceso. Quedo pendiente de cualquier duda y con gusto le agendo su próxima cita de servicio cuando lo necesite.","Hola, "&amp;B68&amp;", seguimos en contacto para avanzar con el proceso de su próximo Toyota.")&amp;CHAR(10)&amp;CHAR(10)&amp;Config!$B$1)</f>
        <v/>
      </c>
      <c r="V68" s="11">
        <f>IF(U68="","",HYPERLINK("https://wa.me/52"&amp;C68&amp;"?text="&amp;_xlfn.ENCODEURL(U68),"Enviar aviso de etapa"))</f>
        <v/>
      </c>
      <c r="W68" s="10">
        <f>IF(OR(B68="",O68=""),"","Hola, "&amp;B68&amp;", ¡feliz cumpleaños! Le deseo un excelente día rodeado de quienes más quiere. Ha sido un placer acompañarle desde que estrenó su Toyota. ¡Un abrazo!"&amp;CHAR(10)&amp;CHAR(10)&amp;Config!$B$1)</f>
        <v/>
      </c>
      <c r="X68" s="11">
        <f>IF(W68="","",HYPERLINK("https://wa.me/52"&amp;C68&amp;"?text="&amp;_xlfn.ENCODEURL(W68),"Enviar felicitación"))</f>
        <v/>
      </c>
      <c r="Y68" s="10">
        <f>IF(OR(B68="",P68=""),"","Hola, "&amp;B68&amp;", hoy se cumple un año más desde que estrenó su *"&amp;D68&amp;"*. Espero que haya sido un gran compañero de camino. Cualquier cosa que necesite, aquí estoy para apoyarle."&amp;CHAR(10)&amp;CHAR(10)&amp;Config!$B$1)</f>
        <v/>
      </c>
      <c r="Z68" s="11">
        <f>IF(Y68="","",HYPERLINK("https://wa.me/52"&amp;C68&amp;"?text="&amp;_xlfn.ENCODEURL(Y68),"Enviar aniversario"))</f>
        <v/>
      </c>
      <c r="AA68" s="11" t="n"/>
      <c r="AB68" s="11">
        <f>IF(OR(B68="",AA68=""),"",HYPERLINK("https://wa.me/52"&amp;C68&amp;"?text="&amp;_xlfn.ENCODEURL(_xlfn.SWITCH(AA68,"Bienvenida (primera visita)",Q68,"Seguimiento",S68,"Aviso de Etapa",U68,"Requisitos",AC68,"Datos de Facturación",AD68,"Cumpleaños",W68,"Aniversario",Y68,"")),"Enviar mensaje seleccionado"))</f>
        <v/>
      </c>
      <c r="AC68" s="10">
        <f>IF(B68="","",_xlfn.SWITCH(F68&amp;"|"&amp;G68,"Crédito|Persona física","Hola, "&amp;B68&amp;", para continuar con el proceso de tu *"&amp;D68&amp;"* por "&amp;F68&amp;",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"&amp;B68&amp;", para continuar con el proceso de tu *"&amp;D68&amp;"* por "&amp;F68&amp;",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"&amp;B68&amp;", para continuar con el proceso de tu *"&amp;D68&amp;"* por "&amp;F68&amp;",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"&amp;B68&amp;", para continuar con el proceso de tu *"&amp;D68&amp;"* por "&amp;F68&amp;", estos son los documentos que necesitamos:"&amp;CHAR(10)&amp;CHAR(10)&amp;"- INE"&amp;CHAR(10)&amp;"- Comprobante de domicilio"&amp;CHAR(10)&amp;"- Constancia de situación fiscal (no mayor a 3 meses)","Contado|Persona física con actividad empresarial","Hola, "&amp;B68&amp;", para continuar con el proceso de tu *"&amp;D68&amp;"* por "&amp;F68&amp;", estos son los documentos que necesitamos:"&amp;CHAR(10)&amp;CHAR(10)&amp;"- INE"&amp;CHAR(10)&amp;"- Comprobante de domicilio"&amp;CHAR(10)&amp;"- Constancia de situación fiscal (no mayor a 3 meses)","Contado|Persona moral","Hola, "&amp;B68&amp;", para continuar con el proceso de tu *"&amp;D68&amp;"* por "&amp;F68&amp;",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68" s="10">
        <f>IFERROR(INDEX(Facturación!$Q:$Q,MATCH(B68,Facturación!$A:$A,0)),"")</f>
        <v/>
      </c>
    </row>
    <row r="69" ht="15" customHeight="1" s="1">
      <c r="A69" s="11">
        <f>IF(B69="","",ROW()-1)</f>
        <v/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0">
        <f>IF(OR(B69="",L69&lt;&gt;"Sí"),"","Hola, "&amp;B69&amp;", excelente día. Le saluda *Alejandro Estrada* de Toyota Corregidora."&amp;CHAR(10)&amp;"Muchas gracias por visitarnos y conocer la *"&amp;D69&amp;"*.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69" s="11">
        <f>IF(Q69="","",HYPERLINK("https://wa.me/52"&amp;C69&amp;"?text="&amp;_xlfn.ENCODEURL(Q69),"Enviar Bienvenida"))</f>
        <v/>
      </c>
      <c r="S69" s="10">
        <f>IF(B69="","","Hola, "&amp;B69&amp;", muy buen día."&amp;CHAR(10)&amp;"Espero que esté teniendo una excelente semana. Le escribo para saber si tiene alguna duda sobre la oferta del *"&amp;D69&amp;"*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69" s="11">
        <f>IF(S69="","",HYPERLINK("https://wa.me/52"&amp;C69&amp;"?text="&amp;_xlfn.ENCODEURL(S69),"Enviar Seguimiento"))</f>
        <v/>
      </c>
      <c r="U69" s="10">
        <f>IF(B69="","",_xlfn.SWITCH(M69,"Apartado","Hola, "&amp;B69&amp;", buen día. Le confirmo que su apartado por el *"&amp;D69&amp;"* quedó registrado correctamente. Seguimos con el proceso y le mantendré informado(a) de cada paso.","Toma de vehículo","Hola, "&amp;B69&amp;", le comparto que estamos en el proceso de toma de su vehículo actual. En cuanto tengamos el resultado le aviso para continuar con el siguiente paso.","Pago vehículo a cuenta","Hola, "&amp;B69&amp;", quedamos en proceso de pago del vehículo que se toma a cuenta. Cualquier documento o aclaración que se requiera se lo haré saber por este medio.","Firma de contrato","Hola, "&amp;B69&amp;", ya estamos listos para agendar la firma de su contrato. ¿Qué día y hora se le facilita para realizarla?","Facturación","Hola, "&amp;B69&amp;", su unidad ya está en proceso de facturación. En breve le comparto los datos para su confirmación.","Programación de entrega","Hola, "&amp;B69&amp;", con gusto le comparto que ya podemos programar la entrega de su *"&amp;D69&amp;"*. ¿Qué día y hora le acomodan mejor?","Entregado","Hola, "&amp;B69&amp;", ¡muchas felicidades por estrenar su *"&amp;D69&amp;"*! Fue un gusto acompañarle en este proceso. Quedo pendiente de cualquier duda y con gusto le agendo su próxima cita de servicio cuando lo necesite.","Hola, "&amp;B69&amp;", seguimos en contacto para avanzar con el proceso de su próximo Toyota.")&amp;CHAR(10)&amp;CHAR(10)&amp;Config!$B$1)</f>
        <v/>
      </c>
      <c r="V69" s="11">
        <f>IF(U69="","",HYPERLINK("https://wa.me/52"&amp;C69&amp;"?text="&amp;_xlfn.ENCODEURL(U69),"Enviar aviso de etapa"))</f>
        <v/>
      </c>
      <c r="W69" s="10">
        <f>IF(OR(B69="",O69=""),"","Hola, "&amp;B69&amp;", ¡feliz cumpleaños! Le deseo un excelente día rodeado de quienes más quiere. Ha sido un placer acompañarle desde que estrenó su Toyota. ¡Un abrazo!"&amp;CHAR(10)&amp;CHAR(10)&amp;Config!$B$1)</f>
        <v/>
      </c>
      <c r="X69" s="11">
        <f>IF(W69="","",HYPERLINK("https://wa.me/52"&amp;C69&amp;"?text="&amp;_xlfn.ENCODEURL(W69),"Enviar felicitación"))</f>
        <v/>
      </c>
      <c r="Y69" s="10">
        <f>IF(OR(B69="",P69=""),"","Hola, "&amp;B69&amp;", hoy se cumple un año más desde que estrenó su *"&amp;D69&amp;"*. Espero que haya sido un gran compañero de camino. Cualquier cosa que necesite, aquí estoy para apoyarle."&amp;CHAR(10)&amp;CHAR(10)&amp;Config!$B$1)</f>
        <v/>
      </c>
      <c r="Z69" s="11">
        <f>IF(Y69="","",HYPERLINK("https://wa.me/52"&amp;C69&amp;"?text="&amp;_xlfn.ENCODEURL(Y69),"Enviar aniversario"))</f>
        <v/>
      </c>
      <c r="AA69" s="11" t="n"/>
      <c r="AB69" s="11">
        <f>IF(OR(B69="",AA69=""),"",HYPERLINK("https://wa.me/52"&amp;C69&amp;"?text="&amp;_xlfn.ENCODEURL(_xlfn.SWITCH(AA69,"Bienvenida (primera visita)",Q69,"Seguimiento",S69,"Aviso de Etapa",U69,"Requisitos",AC69,"Datos de Facturación",AD69,"Cumpleaños",W69,"Aniversario",Y69,"")),"Enviar mensaje seleccionado"))</f>
        <v/>
      </c>
      <c r="AC69" s="10">
        <f>IF(B69="","",_xlfn.SWITCH(F69&amp;"|"&amp;G69,"Crédito|Persona física","Hola, "&amp;B69&amp;", para continuar con el proceso de tu *"&amp;D69&amp;"* por "&amp;F69&amp;",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"&amp;B69&amp;", para continuar con el proceso de tu *"&amp;D69&amp;"* por "&amp;F69&amp;",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"&amp;B69&amp;", para continuar con el proceso de tu *"&amp;D69&amp;"* por "&amp;F69&amp;",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"&amp;B69&amp;", para continuar con el proceso de tu *"&amp;D69&amp;"* por "&amp;F69&amp;", estos son los documentos que necesitamos:"&amp;CHAR(10)&amp;CHAR(10)&amp;"- INE"&amp;CHAR(10)&amp;"- Comprobante de domicilio"&amp;CHAR(10)&amp;"- Constancia de situación fiscal (no mayor a 3 meses)","Contado|Persona física con actividad empresarial","Hola, "&amp;B69&amp;", para continuar con el proceso de tu *"&amp;D69&amp;"* por "&amp;F69&amp;", estos son los documentos que necesitamos:"&amp;CHAR(10)&amp;CHAR(10)&amp;"- INE"&amp;CHAR(10)&amp;"- Comprobante de domicilio"&amp;CHAR(10)&amp;"- Constancia de situación fiscal (no mayor a 3 meses)","Contado|Persona moral","Hola, "&amp;B69&amp;", para continuar con el proceso de tu *"&amp;D69&amp;"* por "&amp;F69&amp;",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69" s="10">
        <f>IFERROR(INDEX(Facturación!$Q:$Q,MATCH(B69,Facturación!$A:$A,0)),"")</f>
        <v/>
      </c>
    </row>
    <row r="70" ht="15" customHeight="1" s="1">
      <c r="A70" s="11">
        <f>IF(B70="","",ROW()-1)</f>
        <v/>
      </c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0">
        <f>IF(OR(B70="",L70&lt;&gt;"Sí"),"","Hola, "&amp;B70&amp;", excelente día. Le saluda *Alejandro Estrada* de Toyota Corregidora."&amp;CHAR(10)&amp;"Muchas gracias por visitarnos y conocer la *"&amp;D70&amp;"*.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70" s="11">
        <f>IF(Q70="","",HYPERLINK("https://wa.me/52"&amp;C70&amp;"?text="&amp;_xlfn.ENCODEURL(Q70),"Enviar Bienvenida"))</f>
        <v/>
      </c>
      <c r="S70" s="10">
        <f>IF(B70="","","Hola, "&amp;B70&amp;", muy buen día."&amp;CHAR(10)&amp;"Espero que esté teniendo una excelente semana. Le escribo para saber si tiene alguna duda sobre la oferta del *"&amp;D70&amp;"*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70" s="11">
        <f>IF(S70="","",HYPERLINK("https://wa.me/52"&amp;C70&amp;"?text="&amp;_xlfn.ENCODEURL(S70),"Enviar Seguimiento"))</f>
        <v/>
      </c>
      <c r="U70" s="10">
        <f>IF(B70="","",_xlfn.SWITCH(M70,"Apartado","Hola, "&amp;B70&amp;", buen día. Le confirmo que su apartado por el *"&amp;D70&amp;"* quedó registrado correctamente. Seguimos con el proceso y le mantendré informado(a) de cada paso.","Toma de vehículo","Hola, "&amp;B70&amp;", le comparto que estamos en el proceso de toma de su vehículo actual. En cuanto tengamos el resultado le aviso para continuar con el siguiente paso.","Pago vehículo a cuenta","Hola, "&amp;B70&amp;", quedamos en proceso de pago del vehículo que se toma a cuenta. Cualquier documento o aclaración que se requiera se lo haré saber por este medio.","Firma de contrato","Hola, "&amp;B70&amp;", ya estamos listos para agendar la firma de su contrato. ¿Qué día y hora se le facilita para realizarla?","Facturación","Hola, "&amp;B70&amp;", su unidad ya está en proceso de facturación. En breve le comparto los datos para su confirmación.","Programación de entrega","Hola, "&amp;B70&amp;", con gusto le comparto que ya podemos programar la entrega de su *"&amp;D70&amp;"*. ¿Qué día y hora le acomodan mejor?","Entregado","Hola, "&amp;B70&amp;", ¡muchas felicidades por estrenar su *"&amp;D70&amp;"*! Fue un gusto acompañarle en este proceso. Quedo pendiente de cualquier duda y con gusto le agendo su próxima cita de servicio cuando lo necesite.","Hola, "&amp;B70&amp;", seguimos en contacto para avanzar con el proceso de su próximo Toyota.")&amp;CHAR(10)&amp;CHAR(10)&amp;Config!$B$1)</f>
        <v/>
      </c>
      <c r="V70" s="11">
        <f>IF(U70="","",HYPERLINK("https://wa.me/52"&amp;C70&amp;"?text="&amp;_xlfn.ENCODEURL(U70),"Enviar aviso de etapa"))</f>
        <v/>
      </c>
      <c r="W70" s="10">
        <f>IF(OR(B70="",O70=""),"","Hola, "&amp;B70&amp;", ¡feliz cumpleaños! Le deseo un excelente día rodeado de quienes más quiere. Ha sido un placer acompañarle desde que estrenó su Toyota. ¡Un abrazo!"&amp;CHAR(10)&amp;CHAR(10)&amp;Config!$B$1)</f>
        <v/>
      </c>
      <c r="X70" s="11">
        <f>IF(W70="","",HYPERLINK("https://wa.me/52"&amp;C70&amp;"?text="&amp;_xlfn.ENCODEURL(W70),"Enviar felicitación"))</f>
        <v/>
      </c>
      <c r="Y70" s="10">
        <f>IF(OR(B70="",P70=""),"","Hola, "&amp;B70&amp;", hoy se cumple un año más desde que estrenó su *"&amp;D70&amp;"*. Espero que haya sido un gran compañero de camino. Cualquier cosa que necesite, aquí estoy para apoyarle."&amp;CHAR(10)&amp;CHAR(10)&amp;Config!$B$1)</f>
        <v/>
      </c>
      <c r="Z70" s="11">
        <f>IF(Y70="","",HYPERLINK("https://wa.me/52"&amp;C70&amp;"?text="&amp;_xlfn.ENCODEURL(Y70),"Enviar aniversario"))</f>
        <v/>
      </c>
      <c r="AA70" s="11" t="n"/>
      <c r="AB70" s="11">
        <f>IF(OR(B70="",AA70=""),"",HYPERLINK("https://wa.me/52"&amp;C70&amp;"?text="&amp;_xlfn.ENCODEURL(_xlfn.SWITCH(AA70,"Bienvenida (primera visita)",Q70,"Seguimiento",S70,"Aviso de Etapa",U70,"Requisitos",AC70,"Datos de Facturación",AD70,"Cumpleaños",W70,"Aniversario",Y70,"")),"Enviar mensaje seleccionado"))</f>
        <v/>
      </c>
      <c r="AC70" s="10">
        <f>IF(B70="","",_xlfn.SWITCH(F70&amp;"|"&amp;G70,"Crédito|Persona física","Hola, "&amp;B70&amp;", para continuar con el proceso de tu *"&amp;D70&amp;"* por "&amp;F70&amp;",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"&amp;B70&amp;", para continuar con el proceso de tu *"&amp;D70&amp;"* por "&amp;F70&amp;",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"&amp;B70&amp;", para continuar con el proceso de tu *"&amp;D70&amp;"* por "&amp;F70&amp;",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"&amp;B70&amp;", para continuar con el proceso de tu *"&amp;D70&amp;"* por "&amp;F70&amp;", estos son los documentos que necesitamos:"&amp;CHAR(10)&amp;CHAR(10)&amp;"- INE"&amp;CHAR(10)&amp;"- Comprobante de domicilio"&amp;CHAR(10)&amp;"- Constancia de situación fiscal (no mayor a 3 meses)","Contado|Persona física con actividad empresarial","Hola, "&amp;B70&amp;", para continuar con el proceso de tu *"&amp;D70&amp;"* por "&amp;F70&amp;", estos son los documentos que necesitamos:"&amp;CHAR(10)&amp;CHAR(10)&amp;"- INE"&amp;CHAR(10)&amp;"- Comprobante de domicilio"&amp;CHAR(10)&amp;"- Constancia de situación fiscal (no mayor a 3 meses)","Contado|Persona moral","Hola, "&amp;B70&amp;", para continuar con el proceso de tu *"&amp;D70&amp;"* por "&amp;F70&amp;",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70" s="10">
        <f>IFERROR(INDEX(Facturación!$Q:$Q,MATCH(B70,Facturación!$A:$A,0)),"")</f>
        <v/>
      </c>
    </row>
    <row r="71" ht="15" customHeight="1" s="1">
      <c r="A71" s="11">
        <f>IF(B71="","",ROW()-1)</f>
        <v/>
      </c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0">
        <f>IF(OR(B71="",L71&lt;&gt;"Sí"),"","Hola, "&amp;B71&amp;", excelente día. Le saluda *Alejandro Estrada* de Toyota Corregidora."&amp;CHAR(10)&amp;"Muchas gracias por visitarnos y conocer la *"&amp;D71&amp;"*.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71" s="11">
        <f>IF(Q71="","",HYPERLINK("https://wa.me/52"&amp;C71&amp;"?text="&amp;_xlfn.ENCODEURL(Q71),"Enviar Bienvenida"))</f>
        <v/>
      </c>
      <c r="S71" s="10">
        <f>IF(B71="","","Hola, "&amp;B71&amp;", muy buen día."&amp;CHAR(10)&amp;"Espero que esté teniendo una excelente semana. Le escribo para saber si tiene alguna duda sobre la oferta del *"&amp;D71&amp;"*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71" s="11">
        <f>IF(S71="","",HYPERLINK("https://wa.me/52"&amp;C71&amp;"?text="&amp;_xlfn.ENCODEURL(S71),"Enviar Seguimiento"))</f>
        <v/>
      </c>
      <c r="U71" s="10">
        <f>IF(B71="","",_xlfn.SWITCH(M71,"Apartado","Hola, "&amp;B71&amp;", buen día. Le confirmo que su apartado por el *"&amp;D71&amp;"* quedó registrado correctamente. Seguimos con el proceso y le mantendré informado(a) de cada paso.","Toma de vehículo","Hola, "&amp;B71&amp;", le comparto que estamos en el proceso de toma de su vehículo actual. En cuanto tengamos el resultado le aviso para continuar con el siguiente paso.","Pago vehículo a cuenta","Hola, "&amp;B71&amp;", quedamos en proceso de pago del vehículo que se toma a cuenta. Cualquier documento o aclaración que se requiera se lo haré saber por este medio.","Firma de contrato","Hola, "&amp;B71&amp;", ya estamos listos para agendar la firma de su contrato. ¿Qué día y hora se le facilita para realizarla?","Facturación","Hola, "&amp;B71&amp;", su unidad ya está en proceso de facturación. En breve le comparto los datos para su confirmación.","Programación de entrega","Hola, "&amp;B71&amp;", con gusto le comparto que ya podemos programar la entrega de su *"&amp;D71&amp;"*. ¿Qué día y hora le acomodan mejor?","Entregado","Hola, "&amp;B71&amp;", ¡muchas felicidades por estrenar su *"&amp;D71&amp;"*! Fue un gusto acompañarle en este proceso. Quedo pendiente de cualquier duda y con gusto le agendo su próxima cita de servicio cuando lo necesite.","Hola, "&amp;B71&amp;", seguimos en contacto para avanzar con el proceso de su próximo Toyota.")&amp;CHAR(10)&amp;CHAR(10)&amp;Config!$B$1)</f>
        <v/>
      </c>
      <c r="V71" s="11">
        <f>IF(U71="","",HYPERLINK("https://wa.me/52"&amp;C71&amp;"?text="&amp;_xlfn.ENCODEURL(U71),"Enviar aviso de etapa"))</f>
        <v/>
      </c>
      <c r="W71" s="10">
        <f>IF(OR(B71="",O71=""),"","Hola, "&amp;B71&amp;", ¡feliz cumpleaños! Le deseo un excelente día rodeado de quienes más quiere. Ha sido un placer acompañarle desde que estrenó su Toyota. ¡Un abrazo!"&amp;CHAR(10)&amp;CHAR(10)&amp;Config!$B$1)</f>
        <v/>
      </c>
      <c r="X71" s="11">
        <f>IF(W71="","",HYPERLINK("https://wa.me/52"&amp;C71&amp;"?text="&amp;_xlfn.ENCODEURL(W71),"Enviar felicitación"))</f>
        <v/>
      </c>
      <c r="Y71" s="10">
        <f>IF(OR(B71="",P71=""),"","Hola, "&amp;B71&amp;", hoy se cumple un año más desde que estrenó su *"&amp;D71&amp;"*. Espero que haya sido un gran compañero de camino. Cualquier cosa que necesite, aquí estoy para apoyarle."&amp;CHAR(10)&amp;CHAR(10)&amp;Config!$B$1)</f>
        <v/>
      </c>
      <c r="Z71" s="11">
        <f>IF(Y71="","",HYPERLINK("https://wa.me/52"&amp;C71&amp;"?text="&amp;_xlfn.ENCODEURL(Y71),"Enviar aniversario"))</f>
        <v/>
      </c>
      <c r="AA71" s="11" t="n"/>
      <c r="AB71" s="11">
        <f>IF(OR(B71="",AA71=""),"",HYPERLINK("https://wa.me/52"&amp;C71&amp;"?text="&amp;_xlfn.ENCODEURL(_xlfn.SWITCH(AA71,"Bienvenida (primera visita)",Q71,"Seguimiento",S71,"Aviso de Etapa",U71,"Requisitos",AC71,"Datos de Facturación",AD71,"Cumpleaños",W71,"Aniversario",Y71,"")),"Enviar mensaje seleccionado"))</f>
        <v/>
      </c>
      <c r="AC71" s="10">
        <f>IF(B71="","",_xlfn.SWITCH(F71&amp;"|"&amp;G71,"Crédito|Persona física","Hola, "&amp;B71&amp;", para continuar con el proceso de tu *"&amp;D71&amp;"* por "&amp;F71&amp;",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"&amp;B71&amp;", para continuar con el proceso de tu *"&amp;D71&amp;"* por "&amp;F71&amp;",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"&amp;B71&amp;", para continuar con el proceso de tu *"&amp;D71&amp;"* por "&amp;F71&amp;",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"&amp;B71&amp;", para continuar con el proceso de tu *"&amp;D71&amp;"* por "&amp;F71&amp;", estos son los documentos que necesitamos:"&amp;CHAR(10)&amp;CHAR(10)&amp;"- INE"&amp;CHAR(10)&amp;"- Comprobante de domicilio"&amp;CHAR(10)&amp;"- Constancia de situación fiscal (no mayor a 3 meses)","Contado|Persona física con actividad empresarial","Hola, "&amp;B71&amp;", para continuar con el proceso de tu *"&amp;D71&amp;"* por "&amp;F71&amp;", estos son los documentos que necesitamos:"&amp;CHAR(10)&amp;CHAR(10)&amp;"- INE"&amp;CHAR(10)&amp;"- Comprobante de domicilio"&amp;CHAR(10)&amp;"- Constancia de situación fiscal (no mayor a 3 meses)","Contado|Persona moral","Hola, "&amp;B71&amp;", para continuar con el proceso de tu *"&amp;D71&amp;"* por "&amp;F71&amp;",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71" s="10">
        <f>IFERROR(INDEX(Facturación!$Q:$Q,MATCH(B71,Facturación!$A:$A,0)),"")</f>
        <v/>
      </c>
    </row>
    <row r="72" ht="15" customHeight="1" s="1">
      <c r="A72" s="11">
        <f>IF(B72="","",ROW()-1)</f>
        <v/>
      </c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0">
        <f>IF(OR(B72="",L72&lt;&gt;"Sí"),"","Hola, "&amp;B72&amp;", excelente día. Le saluda *Alejandro Estrada* de Toyota Corregidora."&amp;CHAR(10)&amp;"Muchas gracias por visitarnos y conocer la *"&amp;D72&amp;"*.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72" s="11">
        <f>IF(Q72="","",HYPERLINK("https://wa.me/52"&amp;C72&amp;"?text="&amp;_xlfn.ENCODEURL(Q72),"Enviar Bienvenida"))</f>
        <v/>
      </c>
      <c r="S72" s="10">
        <f>IF(B72="","","Hola, "&amp;B72&amp;", muy buen día."&amp;CHAR(10)&amp;"Espero que esté teniendo una excelente semana. Le escribo para saber si tiene alguna duda sobre la oferta del *"&amp;D72&amp;"*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72" s="11">
        <f>IF(S72="","",HYPERLINK("https://wa.me/52"&amp;C72&amp;"?text="&amp;_xlfn.ENCODEURL(S72),"Enviar Seguimiento"))</f>
        <v/>
      </c>
      <c r="U72" s="10">
        <f>IF(B72="","",_xlfn.SWITCH(M72,"Apartado","Hola, "&amp;B72&amp;", buen día. Le confirmo que su apartado por el *"&amp;D72&amp;"* quedó registrado correctamente. Seguimos con el proceso y le mantendré informado(a) de cada paso.","Toma de vehículo","Hola, "&amp;B72&amp;", le comparto que estamos en el proceso de toma de su vehículo actual. En cuanto tengamos el resultado le aviso para continuar con el siguiente paso.","Pago vehículo a cuenta","Hola, "&amp;B72&amp;", quedamos en proceso de pago del vehículo que se toma a cuenta. Cualquier documento o aclaración que se requiera se lo haré saber por este medio.","Firma de contrato","Hola, "&amp;B72&amp;", ya estamos listos para agendar la firma de su contrato. ¿Qué día y hora se le facilita para realizarla?","Facturación","Hola, "&amp;B72&amp;", su unidad ya está en proceso de facturación. En breve le comparto los datos para su confirmación.","Programación de entrega","Hola, "&amp;B72&amp;", con gusto le comparto que ya podemos programar la entrega de su *"&amp;D72&amp;"*. ¿Qué día y hora le acomodan mejor?","Entregado","Hola, "&amp;B72&amp;", ¡muchas felicidades por estrenar su *"&amp;D72&amp;"*! Fue un gusto acompañarle en este proceso. Quedo pendiente de cualquier duda y con gusto le agendo su próxima cita de servicio cuando lo necesite.","Hola, "&amp;B72&amp;", seguimos en contacto para avanzar con el proceso de su próximo Toyota.")&amp;CHAR(10)&amp;CHAR(10)&amp;Config!$B$1)</f>
        <v/>
      </c>
      <c r="V72" s="11">
        <f>IF(U72="","",HYPERLINK("https://wa.me/52"&amp;C72&amp;"?text="&amp;_xlfn.ENCODEURL(U72),"Enviar aviso de etapa"))</f>
        <v/>
      </c>
      <c r="W72" s="10">
        <f>IF(OR(B72="",O72=""),"","Hola, "&amp;B72&amp;", ¡feliz cumpleaños! Le deseo un excelente día rodeado de quienes más quiere. Ha sido un placer acompañarle desde que estrenó su Toyota. ¡Un abrazo!"&amp;CHAR(10)&amp;CHAR(10)&amp;Config!$B$1)</f>
        <v/>
      </c>
      <c r="X72" s="11">
        <f>IF(W72="","",HYPERLINK("https://wa.me/52"&amp;C72&amp;"?text="&amp;_xlfn.ENCODEURL(W72),"Enviar felicitación"))</f>
        <v/>
      </c>
      <c r="Y72" s="10">
        <f>IF(OR(B72="",P72=""),"","Hola, "&amp;B72&amp;", hoy se cumple un año más desde que estrenó su *"&amp;D72&amp;"*. Espero que haya sido un gran compañero de camino. Cualquier cosa que necesite, aquí estoy para apoyarle."&amp;CHAR(10)&amp;CHAR(10)&amp;Config!$B$1)</f>
        <v/>
      </c>
      <c r="Z72" s="11">
        <f>IF(Y72="","",HYPERLINK("https://wa.me/52"&amp;C72&amp;"?text="&amp;_xlfn.ENCODEURL(Y72),"Enviar aniversario"))</f>
        <v/>
      </c>
      <c r="AA72" s="11" t="n"/>
      <c r="AB72" s="11">
        <f>IF(OR(B72="",AA72=""),"",HYPERLINK("https://wa.me/52"&amp;C72&amp;"?text="&amp;_xlfn.ENCODEURL(_xlfn.SWITCH(AA72,"Bienvenida (primera visita)",Q72,"Seguimiento",S72,"Aviso de Etapa",U72,"Requisitos",AC72,"Datos de Facturación",AD72,"Cumpleaños",W72,"Aniversario",Y72,"")),"Enviar mensaje seleccionado"))</f>
        <v/>
      </c>
      <c r="AC72" s="10">
        <f>IF(B72="","",_xlfn.SWITCH(F72&amp;"|"&amp;G72,"Crédito|Persona física","Hola, "&amp;B72&amp;", para continuar con el proceso de tu *"&amp;D72&amp;"* por "&amp;F72&amp;",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"&amp;B72&amp;", para continuar con el proceso de tu *"&amp;D72&amp;"* por "&amp;F72&amp;",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"&amp;B72&amp;", para continuar con el proceso de tu *"&amp;D72&amp;"* por "&amp;F72&amp;",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"&amp;B72&amp;", para continuar con el proceso de tu *"&amp;D72&amp;"* por "&amp;F72&amp;", estos son los documentos que necesitamos:"&amp;CHAR(10)&amp;CHAR(10)&amp;"- INE"&amp;CHAR(10)&amp;"- Comprobante de domicilio"&amp;CHAR(10)&amp;"- Constancia de situación fiscal (no mayor a 3 meses)","Contado|Persona física con actividad empresarial","Hola, "&amp;B72&amp;", para continuar con el proceso de tu *"&amp;D72&amp;"* por "&amp;F72&amp;", estos son los documentos que necesitamos:"&amp;CHAR(10)&amp;CHAR(10)&amp;"- INE"&amp;CHAR(10)&amp;"- Comprobante de domicilio"&amp;CHAR(10)&amp;"- Constancia de situación fiscal (no mayor a 3 meses)","Contado|Persona moral","Hola, "&amp;B72&amp;", para continuar con el proceso de tu *"&amp;D72&amp;"* por "&amp;F72&amp;",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72" s="10">
        <f>IFERROR(INDEX(Facturación!$Q:$Q,MATCH(B72,Facturación!$A:$A,0)),"")</f>
        <v/>
      </c>
    </row>
    <row r="73" ht="15" customHeight="1" s="1">
      <c r="A73" s="11">
        <f>IF(B73="","",ROW()-1)</f>
        <v/>
      </c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0">
        <f>IF(OR(B73="",L73&lt;&gt;"Sí"),"","Hola, "&amp;B73&amp;", excelente día. Le saluda *Alejandro Estrada* de Toyota Corregidora."&amp;CHAR(10)&amp;"Muchas gracias por visitarnos y conocer la *"&amp;D73&amp;"*.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73" s="11">
        <f>IF(Q73="","",HYPERLINK("https://wa.me/52"&amp;C73&amp;"?text="&amp;_xlfn.ENCODEURL(Q73),"Enviar Bienvenida"))</f>
        <v/>
      </c>
      <c r="S73" s="10">
        <f>IF(B73="","","Hola, "&amp;B73&amp;", muy buen día."&amp;CHAR(10)&amp;"Espero que esté teniendo una excelente semana. Le escribo para saber si tiene alguna duda sobre la oferta del *"&amp;D73&amp;"*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73" s="11">
        <f>IF(S73="","",HYPERLINK("https://wa.me/52"&amp;C73&amp;"?text="&amp;_xlfn.ENCODEURL(S73),"Enviar Seguimiento"))</f>
        <v/>
      </c>
      <c r="U73" s="10">
        <f>IF(B73="","",_xlfn.SWITCH(M73,"Apartado","Hola, "&amp;B73&amp;", buen día. Le confirmo que su apartado por el *"&amp;D73&amp;"* quedó registrado correctamente. Seguimos con el proceso y le mantendré informado(a) de cada paso.","Toma de vehículo","Hola, "&amp;B73&amp;", le comparto que estamos en el proceso de toma de su vehículo actual. En cuanto tengamos el resultado le aviso para continuar con el siguiente paso.","Pago vehículo a cuenta","Hola, "&amp;B73&amp;", quedamos en proceso de pago del vehículo que se toma a cuenta. Cualquier documento o aclaración que se requiera se lo haré saber por este medio.","Firma de contrato","Hola, "&amp;B73&amp;", ya estamos listos para agendar la firma de su contrato. ¿Qué día y hora se le facilita para realizarla?","Facturación","Hola, "&amp;B73&amp;", su unidad ya está en proceso de facturación. En breve le comparto los datos para su confirmación.","Programación de entrega","Hola, "&amp;B73&amp;", con gusto le comparto que ya podemos programar la entrega de su *"&amp;D73&amp;"*. ¿Qué día y hora le acomodan mejor?","Entregado","Hola, "&amp;B73&amp;", ¡muchas felicidades por estrenar su *"&amp;D73&amp;"*! Fue un gusto acompañarle en este proceso. Quedo pendiente de cualquier duda y con gusto le agendo su próxima cita de servicio cuando lo necesite.","Hola, "&amp;B73&amp;", seguimos en contacto para avanzar con el proceso de su próximo Toyota.")&amp;CHAR(10)&amp;CHAR(10)&amp;Config!$B$1)</f>
        <v/>
      </c>
      <c r="V73" s="11">
        <f>IF(U73="","",HYPERLINK("https://wa.me/52"&amp;C73&amp;"?text="&amp;_xlfn.ENCODEURL(U73),"Enviar aviso de etapa"))</f>
        <v/>
      </c>
      <c r="W73" s="10">
        <f>IF(OR(B73="",O73=""),"","Hola, "&amp;B73&amp;", ¡feliz cumpleaños! Le deseo un excelente día rodeado de quienes más quiere. Ha sido un placer acompañarle desde que estrenó su Toyota. ¡Un abrazo!"&amp;CHAR(10)&amp;CHAR(10)&amp;Config!$B$1)</f>
        <v/>
      </c>
      <c r="X73" s="11">
        <f>IF(W73="","",HYPERLINK("https://wa.me/52"&amp;C73&amp;"?text="&amp;_xlfn.ENCODEURL(W73),"Enviar felicitación"))</f>
        <v/>
      </c>
      <c r="Y73" s="10">
        <f>IF(OR(B73="",P73=""),"","Hola, "&amp;B73&amp;", hoy se cumple un año más desde que estrenó su *"&amp;D73&amp;"*. Espero que haya sido un gran compañero de camino. Cualquier cosa que necesite, aquí estoy para apoyarle."&amp;CHAR(10)&amp;CHAR(10)&amp;Config!$B$1)</f>
        <v/>
      </c>
      <c r="Z73" s="11">
        <f>IF(Y73="","",HYPERLINK("https://wa.me/52"&amp;C73&amp;"?text="&amp;_xlfn.ENCODEURL(Y73),"Enviar aniversario"))</f>
        <v/>
      </c>
      <c r="AA73" s="11" t="n"/>
      <c r="AB73" s="11">
        <f>IF(OR(B73="",AA73=""),"",HYPERLINK("https://wa.me/52"&amp;C73&amp;"?text="&amp;_xlfn.ENCODEURL(_xlfn.SWITCH(AA73,"Bienvenida (primera visita)",Q73,"Seguimiento",S73,"Aviso de Etapa",U73,"Requisitos",AC73,"Datos de Facturación",AD73,"Cumpleaños",W73,"Aniversario",Y73,"")),"Enviar mensaje seleccionado"))</f>
        <v/>
      </c>
      <c r="AC73" s="10">
        <f>IF(B73="","",_xlfn.SWITCH(F73&amp;"|"&amp;G73,"Crédito|Persona física","Hola, "&amp;B73&amp;", para continuar con el proceso de tu *"&amp;D73&amp;"* por "&amp;F73&amp;",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"&amp;B73&amp;", para continuar con el proceso de tu *"&amp;D73&amp;"* por "&amp;F73&amp;",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"&amp;B73&amp;", para continuar con el proceso de tu *"&amp;D73&amp;"* por "&amp;F73&amp;",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"&amp;B73&amp;", para continuar con el proceso de tu *"&amp;D73&amp;"* por "&amp;F73&amp;", estos son los documentos que necesitamos:"&amp;CHAR(10)&amp;CHAR(10)&amp;"- INE"&amp;CHAR(10)&amp;"- Comprobante de domicilio"&amp;CHAR(10)&amp;"- Constancia de situación fiscal (no mayor a 3 meses)","Contado|Persona física con actividad empresarial","Hola, "&amp;B73&amp;", para continuar con el proceso de tu *"&amp;D73&amp;"* por "&amp;F73&amp;", estos son los documentos que necesitamos:"&amp;CHAR(10)&amp;CHAR(10)&amp;"- INE"&amp;CHAR(10)&amp;"- Comprobante de domicilio"&amp;CHAR(10)&amp;"- Constancia de situación fiscal (no mayor a 3 meses)","Contado|Persona moral","Hola, "&amp;B73&amp;", para continuar con el proceso de tu *"&amp;D73&amp;"* por "&amp;F73&amp;",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73" s="10">
        <f>IFERROR(INDEX(Facturación!$Q:$Q,MATCH(B73,Facturación!$A:$A,0)),"")</f>
        <v/>
      </c>
    </row>
    <row r="74" ht="15" customHeight="1" s="1">
      <c r="A74" s="11">
        <f>IF(B74="","",ROW()-1)</f>
        <v/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0">
        <f>IF(OR(B74="",L74&lt;&gt;"Sí"),"","Hola, "&amp;B74&amp;", excelente día. Le saluda *Alejandro Estrada* de Toyota Corregidora."&amp;CHAR(10)&amp;"Muchas gracias por visitarnos y conocer la *"&amp;D74&amp;"*.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74" s="11">
        <f>IF(Q74="","",HYPERLINK("https://wa.me/52"&amp;C74&amp;"?text="&amp;_xlfn.ENCODEURL(Q74),"Enviar Bienvenida"))</f>
        <v/>
      </c>
      <c r="S74" s="10">
        <f>IF(B74="","","Hola, "&amp;B74&amp;", muy buen día."&amp;CHAR(10)&amp;"Espero que esté teniendo una excelente semana. Le escribo para saber si tiene alguna duda sobre la oferta del *"&amp;D74&amp;"*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74" s="11">
        <f>IF(S74="","",HYPERLINK("https://wa.me/52"&amp;C74&amp;"?text="&amp;_xlfn.ENCODEURL(S74),"Enviar Seguimiento"))</f>
        <v/>
      </c>
      <c r="U74" s="10">
        <f>IF(B74="","",_xlfn.SWITCH(M74,"Apartado","Hola, "&amp;B74&amp;", buen día. Le confirmo que su apartado por el *"&amp;D74&amp;"* quedó registrado correctamente. Seguimos con el proceso y le mantendré informado(a) de cada paso.","Toma de vehículo","Hola, "&amp;B74&amp;", le comparto que estamos en el proceso de toma de su vehículo actual. En cuanto tengamos el resultado le aviso para continuar con el siguiente paso.","Pago vehículo a cuenta","Hola, "&amp;B74&amp;", quedamos en proceso de pago del vehículo que se toma a cuenta. Cualquier documento o aclaración que se requiera se lo haré saber por este medio.","Firma de contrato","Hola, "&amp;B74&amp;", ya estamos listos para agendar la firma de su contrato. ¿Qué día y hora se le facilita para realizarla?","Facturación","Hola, "&amp;B74&amp;", su unidad ya está en proceso de facturación. En breve le comparto los datos para su confirmación.","Programación de entrega","Hola, "&amp;B74&amp;", con gusto le comparto que ya podemos programar la entrega de su *"&amp;D74&amp;"*. ¿Qué día y hora le acomodan mejor?","Entregado","Hola, "&amp;B74&amp;", ¡muchas felicidades por estrenar su *"&amp;D74&amp;"*! Fue un gusto acompañarle en este proceso. Quedo pendiente de cualquier duda y con gusto le agendo su próxima cita de servicio cuando lo necesite.","Hola, "&amp;B74&amp;", seguimos en contacto para avanzar con el proceso de su próximo Toyota.")&amp;CHAR(10)&amp;CHAR(10)&amp;Config!$B$1)</f>
        <v/>
      </c>
      <c r="V74" s="11">
        <f>IF(U74="","",HYPERLINK("https://wa.me/52"&amp;C74&amp;"?text="&amp;_xlfn.ENCODEURL(U74),"Enviar aviso de etapa"))</f>
        <v/>
      </c>
      <c r="W74" s="10">
        <f>IF(OR(B74="",O74=""),"","Hola, "&amp;B74&amp;", ¡feliz cumpleaños! Le deseo un excelente día rodeado de quienes más quiere. Ha sido un placer acompañarle desde que estrenó su Toyota. ¡Un abrazo!"&amp;CHAR(10)&amp;CHAR(10)&amp;Config!$B$1)</f>
        <v/>
      </c>
      <c r="X74" s="11">
        <f>IF(W74="","",HYPERLINK("https://wa.me/52"&amp;C74&amp;"?text="&amp;_xlfn.ENCODEURL(W74),"Enviar felicitación"))</f>
        <v/>
      </c>
      <c r="Y74" s="10">
        <f>IF(OR(B74="",P74=""),"","Hola, "&amp;B74&amp;", hoy se cumple un año más desde que estrenó su *"&amp;D74&amp;"*. Espero que haya sido un gran compañero de camino. Cualquier cosa que necesite, aquí estoy para apoyarle."&amp;CHAR(10)&amp;CHAR(10)&amp;Config!$B$1)</f>
        <v/>
      </c>
      <c r="Z74" s="11">
        <f>IF(Y74="","",HYPERLINK("https://wa.me/52"&amp;C74&amp;"?text="&amp;_xlfn.ENCODEURL(Y74),"Enviar aniversario"))</f>
        <v/>
      </c>
      <c r="AA74" s="11" t="n"/>
      <c r="AB74" s="11">
        <f>IF(OR(B74="",AA74=""),"",HYPERLINK("https://wa.me/52"&amp;C74&amp;"?text="&amp;_xlfn.ENCODEURL(_xlfn.SWITCH(AA74,"Bienvenida (primera visita)",Q74,"Seguimiento",S74,"Aviso de Etapa",U74,"Requisitos",AC74,"Datos de Facturación",AD74,"Cumpleaños",W74,"Aniversario",Y74,"")),"Enviar mensaje seleccionado"))</f>
        <v/>
      </c>
      <c r="AC74" s="10">
        <f>IF(B74="","",_xlfn.SWITCH(F74&amp;"|"&amp;G74,"Crédito|Persona física","Hola, "&amp;B74&amp;", para continuar con el proceso de tu *"&amp;D74&amp;"* por "&amp;F74&amp;",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"&amp;B74&amp;", para continuar con el proceso de tu *"&amp;D74&amp;"* por "&amp;F74&amp;",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"&amp;B74&amp;", para continuar con el proceso de tu *"&amp;D74&amp;"* por "&amp;F74&amp;",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"&amp;B74&amp;", para continuar con el proceso de tu *"&amp;D74&amp;"* por "&amp;F74&amp;", estos son los documentos que necesitamos:"&amp;CHAR(10)&amp;CHAR(10)&amp;"- INE"&amp;CHAR(10)&amp;"- Comprobante de domicilio"&amp;CHAR(10)&amp;"- Constancia de situación fiscal (no mayor a 3 meses)","Contado|Persona física con actividad empresarial","Hola, "&amp;B74&amp;", para continuar con el proceso de tu *"&amp;D74&amp;"* por "&amp;F74&amp;", estos son los documentos que necesitamos:"&amp;CHAR(10)&amp;CHAR(10)&amp;"- INE"&amp;CHAR(10)&amp;"- Comprobante de domicilio"&amp;CHAR(10)&amp;"- Constancia de situación fiscal (no mayor a 3 meses)","Contado|Persona moral","Hola, "&amp;B74&amp;", para continuar con el proceso de tu *"&amp;D74&amp;"* por "&amp;F74&amp;",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74" s="10">
        <f>IFERROR(INDEX(Facturación!$Q:$Q,MATCH(B74,Facturación!$A:$A,0)),"")</f>
        <v/>
      </c>
    </row>
    <row r="75" ht="15" customHeight="1" s="1">
      <c r="A75" s="11">
        <f>IF(B75="","",ROW()-1)</f>
        <v/>
      </c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0">
        <f>IF(OR(B75="",L75&lt;&gt;"Sí"),"","Hola, "&amp;B75&amp;", excelente día. Le saluda *Alejandro Estrada* de Toyota Corregidora."&amp;CHAR(10)&amp;"Muchas gracias por visitarnos y conocer la *"&amp;D75&amp;"*.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75" s="11">
        <f>IF(Q75="","",HYPERLINK("https://wa.me/52"&amp;C75&amp;"?text="&amp;_xlfn.ENCODEURL(Q75),"Enviar Bienvenida"))</f>
        <v/>
      </c>
      <c r="S75" s="10">
        <f>IF(B75="","","Hola, "&amp;B75&amp;", muy buen día."&amp;CHAR(10)&amp;"Espero que esté teniendo una excelente semana. Le escribo para saber si tiene alguna duda sobre la oferta del *"&amp;D75&amp;"*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75" s="11">
        <f>IF(S75="","",HYPERLINK("https://wa.me/52"&amp;C75&amp;"?text="&amp;_xlfn.ENCODEURL(S75),"Enviar Seguimiento"))</f>
        <v/>
      </c>
      <c r="U75" s="10">
        <f>IF(B75="","",_xlfn.SWITCH(M75,"Apartado","Hola, "&amp;B75&amp;", buen día. Le confirmo que su apartado por el *"&amp;D75&amp;"* quedó registrado correctamente. Seguimos con el proceso y le mantendré informado(a) de cada paso.","Toma de vehículo","Hola, "&amp;B75&amp;", le comparto que estamos en el proceso de toma de su vehículo actual. En cuanto tengamos el resultado le aviso para continuar con el siguiente paso.","Pago vehículo a cuenta","Hola, "&amp;B75&amp;", quedamos en proceso de pago del vehículo que se toma a cuenta. Cualquier documento o aclaración que se requiera se lo haré saber por este medio.","Firma de contrato","Hola, "&amp;B75&amp;", ya estamos listos para agendar la firma de su contrato. ¿Qué día y hora se le facilita para realizarla?","Facturación","Hola, "&amp;B75&amp;", su unidad ya está en proceso de facturación. En breve le comparto los datos para su confirmación.","Programación de entrega","Hola, "&amp;B75&amp;", con gusto le comparto que ya podemos programar la entrega de su *"&amp;D75&amp;"*. ¿Qué día y hora le acomodan mejor?","Entregado","Hola, "&amp;B75&amp;", ¡muchas felicidades por estrenar su *"&amp;D75&amp;"*! Fue un gusto acompañarle en este proceso. Quedo pendiente de cualquier duda y con gusto le agendo su próxima cita de servicio cuando lo necesite.","Hola, "&amp;B75&amp;", seguimos en contacto para avanzar con el proceso de su próximo Toyota.")&amp;CHAR(10)&amp;CHAR(10)&amp;Config!$B$1)</f>
        <v/>
      </c>
      <c r="V75" s="11">
        <f>IF(U75="","",HYPERLINK("https://wa.me/52"&amp;C75&amp;"?text="&amp;_xlfn.ENCODEURL(U75),"Enviar aviso de etapa"))</f>
        <v/>
      </c>
      <c r="W75" s="10">
        <f>IF(OR(B75="",O75=""),"","Hola, "&amp;B75&amp;", ¡feliz cumpleaños! Le deseo un excelente día rodeado de quienes más quiere. Ha sido un placer acompañarle desde que estrenó su Toyota. ¡Un abrazo!"&amp;CHAR(10)&amp;CHAR(10)&amp;Config!$B$1)</f>
        <v/>
      </c>
      <c r="X75" s="11">
        <f>IF(W75="","",HYPERLINK("https://wa.me/52"&amp;C75&amp;"?text="&amp;_xlfn.ENCODEURL(W75),"Enviar felicitación"))</f>
        <v/>
      </c>
      <c r="Y75" s="10">
        <f>IF(OR(B75="",P75=""),"","Hola, "&amp;B75&amp;", hoy se cumple un año más desde que estrenó su *"&amp;D75&amp;"*. Espero que haya sido un gran compañero de camino. Cualquier cosa que necesite, aquí estoy para apoyarle."&amp;CHAR(10)&amp;CHAR(10)&amp;Config!$B$1)</f>
        <v/>
      </c>
      <c r="Z75" s="11">
        <f>IF(Y75="","",HYPERLINK("https://wa.me/52"&amp;C75&amp;"?text="&amp;_xlfn.ENCODEURL(Y75),"Enviar aniversario"))</f>
        <v/>
      </c>
      <c r="AA75" s="11" t="n"/>
      <c r="AB75" s="11">
        <f>IF(OR(B75="",AA75=""),"",HYPERLINK("https://wa.me/52"&amp;C75&amp;"?text="&amp;_xlfn.ENCODEURL(_xlfn.SWITCH(AA75,"Bienvenida (primera visita)",Q75,"Seguimiento",S75,"Aviso de Etapa",U75,"Requisitos",AC75,"Datos de Facturación",AD75,"Cumpleaños",W75,"Aniversario",Y75,"")),"Enviar mensaje seleccionado"))</f>
        <v/>
      </c>
      <c r="AC75" s="10">
        <f>IF(B75="","",_xlfn.SWITCH(F75&amp;"|"&amp;G75,"Crédito|Persona física","Hola, "&amp;B75&amp;", para continuar con el proceso de tu *"&amp;D75&amp;"* por "&amp;F75&amp;",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"&amp;B75&amp;", para continuar con el proceso de tu *"&amp;D75&amp;"* por "&amp;F75&amp;",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"&amp;B75&amp;", para continuar con el proceso de tu *"&amp;D75&amp;"* por "&amp;F75&amp;",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"&amp;B75&amp;", para continuar con el proceso de tu *"&amp;D75&amp;"* por "&amp;F75&amp;", estos son los documentos que necesitamos:"&amp;CHAR(10)&amp;CHAR(10)&amp;"- INE"&amp;CHAR(10)&amp;"- Comprobante de domicilio"&amp;CHAR(10)&amp;"- Constancia de situación fiscal (no mayor a 3 meses)","Contado|Persona física con actividad empresarial","Hola, "&amp;B75&amp;", para continuar con el proceso de tu *"&amp;D75&amp;"* por "&amp;F75&amp;", estos son los documentos que necesitamos:"&amp;CHAR(10)&amp;CHAR(10)&amp;"- INE"&amp;CHAR(10)&amp;"- Comprobante de domicilio"&amp;CHAR(10)&amp;"- Constancia de situación fiscal (no mayor a 3 meses)","Contado|Persona moral","Hola, "&amp;B75&amp;", para continuar con el proceso de tu *"&amp;D75&amp;"* por "&amp;F75&amp;",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75" s="10">
        <f>IFERROR(INDEX(Facturación!$Q:$Q,MATCH(B75,Facturación!$A:$A,0)),"")</f>
        <v/>
      </c>
    </row>
    <row r="76" ht="15" customHeight="1" s="1">
      <c r="A76" s="11">
        <f>IF(B76="","",ROW()-1)</f>
        <v/>
      </c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0">
        <f>IF(OR(B76="",L76&lt;&gt;"Sí"),"","Hola, "&amp;B76&amp;", excelente día. Le saluda *Alejandro Estrada* de Toyota Corregidora."&amp;CHAR(10)&amp;"Muchas gracias por visitarnos y conocer la *"&amp;D76&amp;"*.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76" s="11">
        <f>IF(Q76="","",HYPERLINK("https://wa.me/52"&amp;C76&amp;"?text="&amp;_xlfn.ENCODEURL(Q76),"Enviar Bienvenida"))</f>
        <v/>
      </c>
      <c r="S76" s="10">
        <f>IF(B76="","","Hola, "&amp;B76&amp;", muy buen día."&amp;CHAR(10)&amp;"Espero que esté teniendo una excelente semana. Le escribo para saber si tiene alguna duda sobre la oferta del *"&amp;D76&amp;"*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76" s="11">
        <f>IF(S76="","",HYPERLINK("https://wa.me/52"&amp;C76&amp;"?text="&amp;_xlfn.ENCODEURL(S76),"Enviar Seguimiento"))</f>
        <v/>
      </c>
      <c r="U76" s="10">
        <f>IF(B76="","",_xlfn.SWITCH(M76,"Apartado","Hola, "&amp;B76&amp;", buen día. Le confirmo que su apartado por el *"&amp;D76&amp;"* quedó registrado correctamente. Seguimos con el proceso y le mantendré informado(a) de cada paso.","Toma de vehículo","Hola, "&amp;B76&amp;", le comparto que estamos en el proceso de toma de su vehículo actual. En cuanto tengamos el resultado le aviso para continuar con el siguiente paso.","Pago vehículo a cuenta","Hola, "&amp;B76&amp;", quedamos en proceso de pago del vehículo que se toma a cuenta. Cualquier documento o aclaración que se requiera se lo haré saber por este medio.","Firma de contrato","Hola, "&amp;B76&amp;", ya estamos listos para agendar la firma de su contrato. ¿Qué día y hora se le facilita para realizarla?","Facturación","Hola, "&amp;B76&amp;", su unidad ya está en proceso de facturación. En breve le comparto los datos para su confirmación.","Programación de entrega","Hola, "&amp;B76&amp;", con gusto le comparto que ya podemos programar la entrega de su *"&amp;D76&amp;"*. ¿Qué día y hora le acomodan mejor?","Entregado","Hola, "&amp;B76&amp;", ¡muchas felicidades por estrenar su *"&amp;D76&amp;"*! Fue un gusto acompañarle en este proceso. Quedo pendiente de cualquier duda y con gusto le agendo su próxima cita de servicio cuando lo necesite.","Hola, "&amp;B76&amp;", seguimos en contacto para avanzar con el proceso de su próximo Toyota.")&amp;CHAR(10)&amp;CHAR(10)&amp;Config!$B$1)</f>
        <v/>
      </c>
      <c r="V76" s="11">
        <f>IF(U76="","",HYPERLINK("https://wa.me/52"&amp;C76&amp;"?text="&amp;_xlfn.ENCODEURL(U76),"Enviar aviso de etapa"))</f>
        <v/>
      </c>
      <c r="W76" s="10">
        <f>IF(OR(B76="",O76=""),"","Hola, "&amp;B76&amp;", ¡feliz cumpleaños! Le deseo un excelente día rodeado de quienes más quiere. Ha sido un placer acompañarle desde que estrenó su Toyota. ¡Un abrazo!"&amp;CHAR(10)&amp;CHAR(10)&amp;Config!$B$1)</f>
        <v/>
      </c>
      <c r="X76" s="11">
        <f>IF(W76="","",HYPERLINK("https://wa.me/52"&amp;C76&amp;"?text="&amp;_xlfn.ENCODEURL(W76),"Enviar felicitación"))</f>
        <v/>
      </c>
      <c r="Y76" s="10">
        <f>IF(OR(B76="",P76=""),"","Hola, "&amp;B76&amp;", hoy se cumple un año más desde que estrenó su *"&amp;D76&amp;"*. Espero que haya sido un gran compañero de camino. Cualquier cosa que necesite, aquí estoy para apoyarle."&amp;CHAR(10)&amp;CHAR(10)&amp;Config!$B$1)</f>
        <v/>
      </c>
      <c r="Z76" s="11">
        <f>IF(Y76="","",HYPERLINK("https://wa.me/52"&amp;C76&amp;"?text="&amp;_xlfn.ENCODEURL(Y76),"Enviar aniversario"))</f>
        <v/>
      </c>
      <c r="AA76" s="11" t="n"/>
      <c r="AB76" s="11">
        <f>IF(OR(B76="",AA76=""),"",HYPERLINK("https://wa.me/52"&amp;C76&amp;"?text="&amp;_xlfn.ENCODEURL(_xlfn.SWITCH(AA76,"Bienvenida (primera visita)",Q76,"Seguimiento",S76,"Aviso de Etapa",U76,"Requisitos",AC76,"Datos de Facturación",AD76,"Cumpleaños",W76,"Aniversario",Y76,"")),"Enviar mensaje seleccionado"))</f>
        <v/>
      </c>
      <c r="AC76" s="10">
        <f>IF(B76="","",_xlfn.SWITCH(F76&amp;"|"&amp;G76,"Crédito|Persona física","Hola, "&amp;B76&amp;", para continuar con el proceso de tu *"&amp;D76&amp;"* por "&amp;F76&amp;",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"&amp;B76&amp;", para continuar con el proceso de tu *"&amp;D76&amp;"* por "&amp;F76&amp;",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"&amp;B76&amp;", para continuar con el proceso de tu *"&amp;D76&amp;"* por "&amp;F76&amp;",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"&amp;B76&amp;", para continuar con el proceso de tu *"&amp;D76&amp;"* por "&amp;F76&amp;", estos son los documentos que necesitamos:"&amp;CHAR(10)&amp;CHAR(10)&amp;"- INE"&amp;CHAR(10)&amp;"- Comprobante de domicilio"&amp;CHAR(10)&amp;"- Constancia de situación fiscal (no mayor a 3 meses)","Contado|Persona física con actividad empresarial","Hola, "&amp;B76&amp;", para continuar con el proceso de tu *"&amp;D76&amp;"* por "&amp;F76&amp;", estos son los documentos que necesitamos:"&amp;CHAR(10)&amp;CHAR(10)&amp;"- INE"&amp;CHAR(10)&amp;"- Comprobante de domicilio"&amp;CHAR(10)&amp;"- Constancia de situación fiscal (no mayor a 3 meses)","Contado|Persona moral","Hola, "&amp;B76&amp;", para continuar con el proceso de tu *"&amp;D76&amp;"* por "&amp;F76&amp;",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76" s="10">
        <f>IFERROR(INDEX(Facturación!$Q:$Q,MATCH(B76,Facturación!$A:$A,0)),"")</f>
        <v/>
      </c>
    </row>
    <row r="77" ht="15" customHeight="1" s="1">
      <c r="A77" s="11">
        <f>IF(B77="","",ROW()-1)</f>
        <v/>
      </c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0">
        <f>IF(OR(B77="",L77&lt;&gt;"Sí"),"","Hola, "&amp;B77&amp;", excelente día. Le saluda *Alejandro Estrada* de Toyota Corregidora."&amp;CHAR(10)&amp;"Muchas gracias por visitarnos y conocer la *"&amp;D77&amp;"*.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77" s="11">
        <f>IF(Q77="","",HYPERLINK("https://wa.me/52"&amp;C77&amp;"?text="&amp;_xlfn.ENCODEURL(Q77),"Enviar Bienvenida"))</f>
        <v/>
      </c>
      <c r="S77" s="10">
        <f>IF(B77="","","Hola, "&amp;B77&amp;", muy buen día."&amp;CHAR(10)&amp;"Espero que esté teniendo una excelente semana. Le escribo para saber si tiene alguna duda sobre la oferta del *"&amp;D77&amp;"*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77" s="11">
        <f>IF(S77="","",HYPERLINK("https://wa.me/52"&amp;C77&amp;"?text="&amp;_xlfn.ENCODEURL(S77),"Enviar Seguimiento"))</f>
        <v/>
      </c>
      <c r="U77" s="10">
        <f>IF(B77="","",_xlfn.SWITCH(M77,"Apartado","Hola, "&amp;B77&amp;", buen día. Le confirmo que su apartado por el *"&amp;D77&amp;"* quedó registrado correctamente. Seguimos con el proceso y le mantendré informado(a) de cada paso.","Toma de vehículo","Hola, "&amp;B77&amp;", le comparto que estamos en el proceso de toma de su vehículo actual. En cuanto tengamos el resultado le aviso para continuar con el siguiente paso.","Pago vehículo a cuenta","Hola, "&amp;B77&amp;", quedamos en proceso de pago del vehículo que se toma a cuenta. Cualquier documento o aclaración que se requiera se lo haré saber por este medio.","Firma de contrato","Hola, "&amp;B77&amp;", ya estamos listos para agendar la firma de su contrato. ¿Qué día y hora se le facilita para realizarla?","Facturación","Hola, "&amp;B77&amp;", su unidad ya está en proceso de facturación. En breve le comparto los datos para su confirmación.","Programación de entrega","Hola, "&amp;B77&amp;", con gusto le comparto que ya podemos programar la entrega de su *"&amp;D77&amp;"*. ¿Qué día y hora le acomodan mejor?","Entregado","Hola, "&amp;B77&amp;", ¡muchas felicidades por estrenar su *"&amp;D77&amp;"*! Fue un gusto acompañarle en este proceso. Quedo pendiente de cualquier duda y con gusto le agendo su próxima cita de servicio cuando lo necesite.","Hola, "&amp;B77&amp;", seguimos en contacto para avanzar con el proceso de su próximo Toyota.")&amp;CHAR(10)&amp;CHAR(10)&amp;Config!$B$1)</f>
        <v/>
      </c>
      <c r="V77" s="11">
        <f>IF(U77="","",HYPERLINK("https://wa.me/52"&amp;C77&amp;"?text="&amp;_xlfn.ENCODEURL(U77),"Enviar aviso de etapa"))</f>
        <v/>
      </c>
      <c r="W77" s="10">
        <f>IF(OR(B77="",O77=""),"","Hola, "&amp;B77&amp;", ¡feliz cumpleaños! Le deseo un excelente día rodeado de quienes más quiere. Ha sido un placer acompañarle desde que estrenó su Toyota. ¡Un abrazo!"&amp;CHAR(10)&amp;CHAR(10)&amp;Config!$B$1)</f>
        <v/>
      </c>
      <c r="X77" s="11">
        <f>IF(W77="","",HYPERLINK("https://wa.me/52"&amp;C77&amp;"?text="&amp;_xlfn.ENCODEURL(W77),"Enviar felicitación"))</f>
        <v/>
      </c>
      <c r="Y77" s="10">
        <f>IF(OR(B77="",P77=""),"","Hola, "&amp;B77&amp;", hoy se cumple un año más desde que estrenó su *"&amp;D77&amp;"*. Espero que haya sido un gran compañero de camino. Cualquier cosa que necesite, aquí estoy para apoyarle."&amp;CHAR(10)&amp;CHAR(10)&amp;Config!$B$1)</f>
        <v/>
      </c>
      <c r="Z77" s="11">
        <f>IF(Y77="","",HYPERLINK("https://wa.me/52"&amp;C77&amp;"?text="&amp;_xlfn.ENCODEURL(Y77),"Enviar aniversario"))</f>
        <v/>
      </c>
      <c r="AA77" s="11" t="n"/>
      <c r="AB77" s="11">
        <f>IF(OR(B77="",AA77=""),"",HYPERLINK("https://wa.me/52"&amp;C77&amp;"?text="&amp;_xlfn.ENCODEURL(_xlfn.SWITCH(AA77,"Bienvenida (primera visita)",Q77,"Seguimiento",S77,"Aviso de Etapa",U77,"Requisitos",AC77,"Datos de Facturación",AD77,"Cumpleaños",W77,"Aniversario",Y77,"")),"Enviar mensaje seleccionado"))</f>
        <v/>
      </c>
      <c r="AC77" s="10">
        <f>IF(B77="","",_xlfn.SWITCH(F77&amp;"|"&amp;G77,"Crédito|Persona física","Hola, "&amp;B77&amp;", para continuar con el proceso de tu *"&amp;D77&amp;"* por "&amp;F77&amp;",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"&amp;B77&amp;", para continuar con el proceso de tu *"&amp;D77&amp;"* por "&amp;F77&amp;",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"&amp;B77&amp;", para continuar con el proceso de tu *"&amp;D77&amp;"* por "&amp;F77&amp;",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"&amp;B77&amp;", para continuar con el proceso de tu *"&amp;D77&amp;"* por "&amp;F77&amp;", estos son los documentos que necesitamos:"&amp;CHAR(10)&amp;CHAR(10)&amp;"- INE"&amp;CHAR(10)&amp;"- Comprobante de domicilio"&amp;CHAR(10)&amp;"- Constancia de situación fiscal (no mayor a 3 meses)","Contado|Persona física con actividad empresarial","Hola, "&amp;B77&amp;", para continuar con el proceso de tu *"&amp;D77&amp;"* por "&amp;F77&amp;", estos son los documentos que necesitamos:"&amp;CHAR(10)&amp;CHAR(10)&amp;"- INE"&amp;CHAR(10)&amp;"- Comprobante de domicilio"&amp;CHAR(10)&amp;"- Constancia de situación fiscal (no mayor a 3 meses)","Contado|Persona moral","Hola, "&amp;B77&amp;", para continuar con el proceso de tu *"&amp;D77&amp;"* por "&amp;F77&amp;",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77" s="10">
        <f>IFERROR(INDEX(Facturación!$Q:$Q,MATCH(B77,Facturación!$A:$A,0)),"")</f>
        <v/>
      </c>
    </row>
    <row r="78" ht="15" customHeight="1" s="1">
      <c r="A78" s="11">
        <f>IF(B78="","",ROW()-1)</f>
        <v/>
      </c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0">
        <f>IF(OR(B78="",L78&lt;&gt;"Sí"),"","Hola, "&amp;B78&amp;", excelente día. Le saluda *Alejandro Estrada* de Toyota Corregidora."&amp;CHAR(10)&amp;"Muchas gracias por visitarnos y conocer la *"&amp;D78&amp;"*.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78" s="11">
        <f>IF(Q78="","",HYPERLINK("https://wa.me/52"&amp;C78&amp;"?text="&amp;_xlfn.ENCODEURL(Q78),"Enviar Bienvenida"))</f>
        <v/>
      </c>
      <c r="S78" s="10">
        <f>IF(B78="","","Hola, "&amp;B78&amp;", muy buen día."&amp;CHAR(10)&amp;"Espero que esté teniendo una excelente semana. Le escribo para saber si tiene alguna duda sobre la oferta del *"&amp;D78&amp;"*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78" s="11">
        <f>IF(S78="","",HYPERLINK("https://wa.me/52"&amp;C78&amp;"?text="&amp;_xlfn.ENCODEURL(S78),"Enviar Seguimiento"))</f>
        <v/>
      </c>
      <c r="U78" s="10">
        <f>IF(B78="","",_xlfn.SWITCH(M78,"Apartado","Hola, "&amp;B78&amp;", buen día. Le confirmo que su apartado por el *"&amp;D78&amp;"* quedó registrado correctamente. Seguimos con el proceso y le mantendré informado(a) de cada paso.","Toma de vehículo","Hola, "&amp;B78&amp;", le comparto que estamos en el proceso de toma de su vehículo actual. En cuanto tengamos el resultado le aviso para continuar con el siguiente paso.","Pago vehículo a cuenta","Hola, "&amp;B78&amp;", quedamos en proceso de pago del vehículo que se toma a cuenta. Cualquier documento o aclaración que se requiera se lo haré saber por este medio.","Firma de contrato","Hola, "&amp;B78&amp;", ya estamos listos para agendar la firma de su contrato. ¿Qué día y hora se le facilita para realizarla?","Facturación","Hola, "&amp;B78&amp;", su unidad ya está en proceso de facturación. En breve le comparto los datos para su confirmación.","Programación de entrega","Hola, "&amp;B78&amp;", con gusto le comparto que ya podemos programar la entrega de su *"&amp;D78&amp;"*. ¿Qué día y hora le acomodan mejor?","Entregado","Hola, "&amp;B78&amp;", ¡muchas felicidades por estrenar su *"&amp;D78&amp;"*! Fue un gusto acompañarle en este proceso. Quedo pendiente de cualquier duda y con gusto le agendo su próxima cita de servicio cuando lo necesite.","Hola, "&amp;B78&amp;", seguimos en contacto para avanzar con el proceso de su próximo Toyota.")&amp;CHAR(10)&amp;CHAR(10)&amp;Config!$B$1)</f>
        <v/>
      </c>
      <c r="V78" s="11">
        <f>IF(U78="","",HYPERLINK("https://wa.me/52"&amp;C78&amp;"?text="&amp;_xlfn.ENCODEURL(U78),"Enviar aviso de etapa"))</f>
        <v/>
      </c>
      <c r="W78" s="10">
        <f>IF(OR(B78="",O78=""),"","Hola, "&amp;B78&amp;", ¡feliz cumpleaños! Le deseo un excelente día rodeado de quienes más quiere. Ha sido un placer acompañarle desde que estrenó su Toyota. ¡Un abrazo!"&amp;CHAR(10)&amp;CHAR(10)&amp;Config!$B$1)</f>
        <v/>
      </c>
      <c r="X78" s="11">
        <f>IF(W78="","",HYPERLINK("https://wa.me/52"&amp;C78&amp;"?text="&amp;_xlfn.ENCODEURL(W78),"Enviar felicitación"))</f>
        <v/>
      </c>
      <c r="Y78" s="10">
        <f>IF(OR(B78="",P78=""),"","Hola, "&amp;B78&amp;", hoy se cumple un año más desde que estrenó su *"&amp;D78&amp;"*. Espero que haya sido un gran compañero de camino. Cualquier cosa que necesite, aquí estoy para apoyarle."&amp;CHAR(10)&amp;CHAR(10)&amp;Config!$B$1)</f>
        <v/>
      </c>
      <c r="Z78" s="11">
        <f>IF(Y78="","",HYPERLINK("https://wa.me/52"&amp;C78&amp;"?text="&amp;_xlfn.ENCODEURL(Y78),"Enviar aniversario"))</f>
        <v/>
      </c>
      <c r="AA78" s="11" t="n"/>
      <c r="AB78" s="11">
        <f>IF(OR(B78="",AA78=""),"",HYPERLINK("https://wa.me/52"&amp;C78&amp;"?text="&amp;_xlfn.ENCODEURL(_xlfn.SWITCH(AA78,"Bienvenida (primera visita)",Q78,"Seguimiento",S78,"Aviso de Etapa",U78,"Requisitos",AC78,"Datos de Facturación",AD78,"Cumpleaños",W78,"Aniversario",Y78,"")),"Enviar mensaje seleccionado"))</f>
        <v/>
      </c>
      <c r="AC78" s="10">
        <f>IF(B78="","",_xlfn.SWITCH(F78&amp;"|"&amp;G78,"Crédito|Persona física","Hola, "&amp;B78&amp;", para continuar con el proceso de tu *"&amp;D78&amp;"* por "&amp;F78&amp;",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"&amp;B78&amp;", para continuar con el proceso de tu *"&amp;D78&amp;"* por "&amp;F78&amp;",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"&amp;B78&amp;", para continuar con el proceso de tu *"&amp;D78&amp;"* por "&amp;F78&amp;",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"&amp;B78&amp;", para continuar con el proceso de tu *"&amp;D78&amp;"* por "&amp;F78&amp;", estos son los documentos que necesitamos:"&amp;CHAR(10)&amp;CHAR(10)&amp;"- INE"&amp;CHAR(10)&amp;"- Comprobante de domicilio"&amp;CHAR(10)&amp;"- Constancia de situación fiscal (no mayor a 3 meses)","Contado|Persona física con actividad empresarial","Hola, "&amp;B78&amp;", para continuar con el proceso de tu *"&amp;D78&amp;"* por "&amp;F78&amp;", estos son los documentos que necesitamos:"&amp;CHAR(10)&amp;CHAR(10)&amp;"- INE"&amp;CHAR(10)&amp;"- Comprobante de domicilio"&amp;CHAR(10)&amp;"- Constancia de situación fiscal (no mayor a 3 meses)","Contado|Persona moral","Hola, "&amp;B78&amp;", para continuar con el proceso de tu *"&amp;D78&amp;"* por "&amp;F78&amp;",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78" s="10">
        <f>IFERROR(INDEX(Facturación!$Q:$Q,MATCH(B78,Facturación!$A:$A,0)),"")</f>
        <v/>
      </c>
    </row>
    <row r="79" ht="15" customHeight="1" s="1">
      <c r="A79" s="11">
        <f>IF(B79="","",ROW()-1)</f>
        <v/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0">
        <f>IF(OR(B79="",L79&lt;&gt;"Sí"),"","Hola, "&amp;B79&amp;", excelente día. Le saluda *Alejandro Estrada* de Toyota Corregidora."&amp;CHAR(10)&amp;"Muchas gracias por visitarnos y conocer la *"&amp;D79&amp;"*.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79" s="11">
        <f>IF(Q79="","",HYPERLINK("https://wa.me/52"&amp;C79&amp;"?text="&amp;_xlfn.ENCODEURL(Q79),"Enviar Bienvenida"))</f>
        <v/>
      </c>
      <c r="S79" s="10">
        <f>IF(B79="","","Hola, "&amp;B79&amp;", muy buen día."&amp;CHAR(10)&amp;"Espero que esté teniendo una excelente semana. Le escribo para saber si tiene alguna duda sobre la oferta del *"&amp;D79&amp;"*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79" s="11">
        <f>IF(S79="","",HYPERLINK("https://wa.me/52"&amp;C79&amp;"?text="&amp;_xlfn.ENCODEURL(S79),"Enviar Seguimiento"))</f>
        <v/>
      </c>
      <c r="U79" s="10">
        <f>IF(B79="","",_xlfn.SWITCH(M79,"Apartado","Hola, "&amp;B79&amp;", buen día. Le confirmo que su apartado por el *"&amp;D79&amp;"* quedó registrado correctamente. Seguimos con el proceso y le mantendré informado(a) de cada paso.","Toma de vehículo","Hola, "&amp;B79&amp;", le comparto que estamos en el proceso de toma de su vehículo actual. En cuanto tengamos el resultado le aviso para continuar con el siguiente paso.","Pago vehículo a cuenta","Hola, "&amp;B79&amp;", quedamos en proceso de pago del vehículo que se toma a cuenta. Cualquier documento o aclaración que se requiera se lo haré saber por este medio.","Firma de contrato","Hola, "&amp;B79&amp;", ya estamos listos para agendar la firma de su contrato. ¿Qué día y hora se le facilita para realizarla?","Facturación","Hola, "&amp;B79&amp;", su unidad ya está en proceso de facturación. En breve le comparto los datos para su confirmación.","Programación de entrega","Hola, "&amp;B79&amp;", con gusto le comparto que ya podemos programar la entrega de su *"&amp;D79&amp;"*. ¿Qué día y hora le acomodan mejor?","Entregado","Hola, "&amp;B79&amp;", ¡muchas felicidades por estrenar su *"&amp;D79&amp;"*! Fue un gusto acompañarle en este proceso. Quedo pendiente de cualquier duda y con gusto le agendo su próxima cita de servicio cuando lo necesite.","Hola, "&amp;B79&amp;", seguimos en contacto para avanzar con el proceso de su próximo Toyota.")&amp;CHAR(10)&amp;CHAR(10)&amp;Config!$B$1)</f>
        <v/>
      </c>
      <c r="V79" s="11">
        <f>IF(U79="","",HYPERLINK("https://wa.me/52"&amp;C79&amp;"?text="&amp;_xlfn.ENCODEURL(U79),"Enviar aviso de etapa"))</f>
        <v/>
      </c>
      <c r="W79" s="10">
        <f>IF(OR(B79="",O79=""),"","Hola, "&amp;B79&amp;", ¡feliz cumpleaños! Le deseo un excelente día rodeado de quienes más quiere. Ha sido un placer acompañarle desde que estrenó su Toyota. ¡Un abrazo!"&amp;CHAR(10)&amp;CHAR(10)&amp;Config!$B$1)</f>
        <v/>
      </c>
      <c r="X79" s="11">
        <f>IF(W79="","",HYPERLINK("https://wa.me/52"&amp;C79&amp;"?text="&amp;_xlfn.ENCODEURL(W79),"Enviar felicitación"))</f>
        <v/>
      </c>
      <c r="Y79" s="10">
        <f>IF(OR(B79="",P79=""),"","Hola, "&amp;B79&amp;", hoy se cumple un año más desde que estrenó su *"&amp;D79&amp;"*. Espero que haya sido un gran compañero de camino. Cualquier cosa que necesite, aquí estoy para apoyarle."&amp;CHAR(10)&amp;CHAR(10)&amp;Config!$B$1)</f>
        <v/>
      </c>
      <c r="Z79" s="11">
        <f>IF(Y79="","",HYPERLINK("https://wa.me/52"&amp;C79&amp;"?text="&amp;_xlfn.ENCODEURL(Y79),"Enviar aniversario"))</f>
        <v/>
      </c>
      <c r="AA79" s="11" t="n"/>
      <c r="AB79" s="11">
        <f>IF(OR(B79="",AA79=""),"",HYPERLINK("https://wa.me/52"&amp;C79&amp;"?text="&amp;_xlfn.ENCODEURL(_xlfn.SWITCH(AA79,"Bienvenida (primera visita)",Q79,"Seguimiento",S79,"Aviso de Etapa",U79,"Requisitos",AC79,"Datos de Facturación",AD79,"Cumpleaños",W79,"Aniversario",Y79,"")),"Enviar mensaje seleccionado"))</f>
        <v/>
      </c>
      <c r="AC79" s="10">
        <f>IF(B79="","",_xlfn.SWITCH(F79&amp;"|"&amp;G79,"Crédito|Persona física","Hola, "&amp;B79&amp;", para continuar con el proceso de tu *"&amp;D79&amp;"* por "&amp;F79&amp;",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"&amp;B79&amp;", para continuar con el proceso de tu *"&amp;D79&amp;"* por "&amp;F79&amp;",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"&amp;B79&amp;", para continuar con el proceso de tu *"&amp;D79&amp;"* por "&amp;F79&amp;",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"&amp;B79&amp;", para continuar con el proceso de tu *"&amp;D79&amp;"* por "&amp;F79&amp;", estos son los documentos que necesitamos:"&amp;CHAR(10)&amp;CHAR(10)&amp;"- INE"&amp;CHAR(10)&amp;"- Comprobante de domicilio"&amp;CHAR(10)&amp;"- Constancia de situación fiscal (no mayor a 3 meses)","Contado|Persona física con actividad empresarial","Hola, "&amp;B79&amp;", para continuar con el proceso de tu *"&amp;D79&amp;"* por "&amp;F79&amp;", estos son los documentos que necesitamos:"&amp;CHAR(10)&amp;CHAR(10)&amp;"- INE"&amp;CHAR(10)&amp;"- Comprobante de domicilio"&amp;CHAR(10)&amp;"- Constancia de situación fiscal (no mayor a 3 meses)","Contado|Persona moral","Hola, "&amp;B79&amp;", para continuar con el proceso de tu *"&amp;D79&amp;"* por "&amp;F79&amp;",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79" s="10">
        <f>IFERROR(INDEX(Facturación!$Q:$Q,MATCH(B79,Facturación!$A:$A,0)),"")</f>
        <v/>
      </c>
    </row>
    <row r="80" ht="15" customHeight="1" s="1">
      <c r="A80" s="11">
        <f>IF(B80="","",ROW()-1)</f>
        <v/>
      </c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0">
        <f>IF(OR(B80="",L80&lt;&gt;"Sí"),"","Hola, "&amp;B80&amp;", excelente día. Le saluda *Alejandro Estrada* de Toyota Corregidora."&amp;CHAR(10)&amp;"Muchas gracias por visitarnos y conocer la *"&amp;D80&amp;"*.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80" s="11">
        <f>IF(Q80="","",HYPERLINK("https://wa.me/52"&amp;C80&amp;"?text="&amp;_xlfn.ENCODEURL(Q80),"Enviar Bienvenida"))</f>
        <v/>
      </c>
      <c r="S80" s="10">
        <f>IF(B80="","","Hola, "&amp;B80&amp;", muy buen día."&amp;CHAR(10)&amp;"Espero que esté teniendo una excelente semana. Le escribo para saber si tiene alguna duda sobre la oferta del *"&amp;D80&amp;"*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80" s="11">
        <f>IF(S80="","",HYPERLINK("https://wa.me/52"&amp;C80&amp;"?text="&amp;_xlfn.ENCODEURL(S80),"Enviar Seguimiento"))</f>
        <v/>
      </c>
      <c r="U80" s="10">
        <f>IF(B80="","",_xlfn.SWITCH(M80,"Apartado","Hola, "&amp;B80&amp;", buen día. Le confirmo que su apartado por el *"&amp;D80&amp;"* quedó registrado correctamente. Seguimos con el proceso y le mantendré informado(a) de cada paso.","Toma de vehículo","Hola, "&amp;B80&amp;", le comparto que estamos en el proceso de toma de su vehículo actual. En cuanto tengamos el resultado le aviso para continuar con el siguiente paso.","Pago vehículo a cuenta","Hola, "&amp;B80&amp;", quedamos en proceso de pago del vehículo que se toma a cuenta. Cualquier documento o aclaración que se requiera se lo haré saber por este medio.","Firma de contrato","Hola, "&amp;B80&amp;", ya estamos listos para agendar la firma de su contrato. ¿Qué día y hora se le facilita para realizarla?","Facturación","Hola, "&amp;B80&amp;", su unidad ya está en proceso de facturación. En breve le comparto los datos para su confirmación.","Programación de entrega","Hola, "&amp;B80&amp;", con gusto le comparto que ya podemos programar la entrega de su *"&amp;D80&amp;"*. ¿Qué día y hora le acomodan mejor?","Entregado","Hola, "&amp;B80&amp;", ¡muchas felicidades por estrenar su *"&amp;D80&amp;"*! Fue un gusto acompañarle en este proceso. Quedo pendiente de cualquier duda y con gusto le agendo su próxima cita de servicio cuando lo necesite.","Hola, "&amp;B80&amp;", seguimos en contacto para avanzar con el proceso de su próximo Toyota.")&amp;CHAR(10)&amp;CHAR(10)&amp;Config!$B$1)</f>
        <v/>
      </c>
      <c r="V80" s="11">
        <f>IF(U80="","",HYPERLINK("https://wa.me/52"&amp;C80&amp;"?text="&amp;_xlfn.ENCODEURL(U80),"Enviar aviso de etapa"))</f>
        <v/>
      </c>
      <c r="W80" s="10">
        <f>IF(OR(B80="",O80=""),"","Hola, "&amp;B80&amp;", ¡feliz cumpleaños! Le deseo un excelente día rodeado de quienes más quiere. Ha sido un placer acompañarle desde que estrenó su Toyota. ¡Un abrazo!"&amp;CHAR(10)&amp;CHAR(10)&amp;Config!$B$1)</f>
        <v/>
      </c>
      <c r="X80" s="11">
        <f>IF(W80="","",HYPERLINK("https://wa.me/52"&amp;C80&amp;"?text="&amp;_xlfn.ENCODEURL(W80),"Enviar felicitación"))</f>
        <v/>
      </c>
      <c r="Y80" s="10">
        <f>IF(OR(B80="",P80=""),"","Hola, "&amp;B80&amp;", hoy se cumple un año más desde que estrenó su *"&amp;D80&amp;"*. Espero que haya sido un gran compañero de camino. Cualquier cosa que necesite, aquí estoy para apoyarle."&amp;CHAR(10)&amp;CHAR(10)&amp;Config!$B$1)</f>
        <v/>
      </c>
      <c r="Z80" s="11">
        <f>IF(Y80="","",HYPERLINK("https://wa.me/52"&amp;C80&amp;"?text="&amp;_xlfn.ENCODEURL(Y80),"Enviar aniversario"))</f>
        <v/>
      </c>
      <c r="AA80" s="11" t="n"/>
      <c r="AB80" s="11">
        <f>IF(OR(B80="",AA80=""),"",HYPERLINK("https://wa.me/52"&amp;C80&amp;"?text="&amp;_xlfn.ENCODEURL(_xlfn.SWITCH(AA80,"Bienvenida (primera visita)",Q80,"Seguimiento",S80,"Aviso de Etapa",U80,"Requisitos",AC80,"Datos de Facturación",AD80,"Cumpleaños",W80,"Aniversario",Y80,"")),"Enviar mensaje seleccionado"))</f>
        <v/>
      </c>
      <c r="AC80" s="10">
        <f>IF(B80="","",_xlfn.SWITCH(F80&amp;"|"&amp;G80,"Crédito|Persona física","Hola, "&amp;B80&amp;", para continuar con el proceso de tu *"&amp;D80&amp;"* por "&amp;F80&amp;",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"&amp;B80&amp;", para continuar con el proceso de tu *"&amp;D80&amp;"* por "&amp;F80&amp;",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"&amp;B80&amp;", para continuar con el proceso de tu *"&amp;D80&amp;"* por "&amp;F80&amp;",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"&amp;B80&amp;", para continuar con el proceso de tu *"&amp;D80&amp;"* por "&amp;F80&amp;", estos son los documentos que necesitamos:"&amp;CHAR(10)&amp;CHAR(10)&amp;"- INE"&amp;CHAR(10)&amp;"- Comprobante de domicilio"&amp;CHAR(10)&amp;"- Constancia de situación fiscal (no mayor a 3 meses)","Contado|Persona física con actividad empresarial","Hola, "&amp;B80&amp;", para continuar con el proceso de tu *"&amp;D80&amp;"* por "&amp;F80&amp;", estos son los documentos que necesitamos:"&amp;CHAR(10)&amp;CHAR(10)&amp;"- INE"&amp;CHAR(10)&amp;"- Comprobante de domicilio"&amp;CHAR(10)&amp;"- Constancia de situación fiscal (no mayor a 3 meses)","Contado|Persona moral","Hola, "&amp;B80&amp;", para continuar con el proceso de tu *"&amp;D80&amp;"* por "&amp;F80&amp;",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80" s="10">
        <f>IFERROR(INDEX(Facturación!$Q:$Q,MATCH(B80,Facturación!$A:$A,0)),"")</f>
        <v/>
      </c>
    </row>
    <row r="81" ht="15" customHeight="1" s="1">
      <c r="A81" s="11">
        <f>IF(B81="","",ROW()-1)</f>
        <v/>
      </c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0">
        <f>IF(OR(B81="",L81&lt;&gt;"Sí"),"","Hola, "&amp;B81&amp;", excelente día. Le saluda *Alejandro Estrada* de Toyota Corregidora."&amp;CHAR(10)&amp;"Muchas gracias por visitarnos y conocer la *"&amp;D81&amp;"*.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81" s="11">
        <f>IF(Q81="","",HYPERLINK("https://wa.me/52"&amp;C81&amp;"?text="&amp;_xlfn.ENCODEURL(Q81),"Enviar Bienvenida"))</f>
        <v/>
      </c>
      <c r="S81" s="10">
        <f>IF(B81="","","Hola, "&amp;B81&amp;", muy buen día."&amp;CHAR(10)&amp;"Espero que esté teniendo una excelente semana. Le escribo para saber si tiene alguna duda sobre la oferta del *"&amp;D81&amp;"*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81" s="11">
        <f>IF(S81="","",HYPERLINK("https://wa.me/52"&amp;C81&amp;"?text="&amp;_xlfn.ENCODEURL(S81),"Enviar Seguimiento"))</f>
        <v/>
      </c>
      <c r="U81" s="10">
        <f>IF(B81="","",_xlfn.SWITCH(M81,"Apartado","Hola, "&amp;B81&amp;", buen día. Le confirmo que su apartado por el *"&amp;D81&amp;"* quedó registrado correctamente. Seguimos con el proceso y le mantendré informado(a) de cada paso.","Toma de vehículo","Hola, "&amp;B81&amp;", le comparto que estamos en el proceso de toma de su vehículo actual. En cuanto tengamos el resultado le aviso para continuar con el siguiente paso.","Pago vehículo a cuenta","Hola, "&amp;B81&amp;", quedamos en proceso de pago del vehículo que se toma a cuenta. Cualquier documento o aclaración que se requiera se lo haré saber por este medio.","Firma de contrato","Hola, "&amp;B81&amp;", ya estamos listos para agendar la firma de su contrato. ¿Qué día y hora se le facilita para realizarla?","Facturación","Hola, "&amp;B81&amp;", su unidad ya está en proceso de facturación. En breve le comparto los datos para su confirmación.","Programación de entrega","Hola, "&amp;B81&amp;", con gusto le comparto que ya podemos programar la entrega de su *"&amp;D81&amp;"*. ¿Qué día y hora le acomodan mejor?","Entregado","Hola, "&amp;B81&amp;", ¡muchas felicidades por estrenar su *"&amp;D81&amp;"*! Fue un gusto acompañarle en este proceso. Quedo pendiente de cualquier duda y con gusto le agendo su próxima cita de servicio cuando lo necesite.","Hola, "&amp;B81&amp;", seguimos en contacto para avanzar con el proceso de su próximo Toyota.")&amp;CHAR(10)&amp;CHAR(10)&amp;Config!$B$1)</f>
        <v/>
      </c>
      <c r="V81" s="11">
        <f>IF(U81="","",HYPERLINK("https://wa.me/52"&amp;C81&amp;"?text="&amp;_xlfn.ENCODEURL(U81),"Enviar aviso de etapa"))</f>
        <v/>
      </c>
      <c r="W81" s="10">
        <f>IF(OR(B81="",O81=""),"","Hola, "&amp;B81&amp;", ¡feliz cumpleaños! Le deseo un excelente día rodeado de quienes más quiere. Ha sido un placer acompañarle desde que estrenó su Toyota. ¡Un abrazo!"&amp;CHAR(10)&amp;CHAR(10)&amp;Config!$B$1)</f>
        <v/>
      </c>
      <c r="X81" s="11">
        <f>IF(W81="","",HYPERLINK("https://wa.me/52"&amp;C81&amp;"?text="&amp;_xlfn.ENCODEURL(W81),"Enviar felicitación"))</f>
        <v/>
      </c>
      <c r="Y81" s="10">
        <f>IF(OR(B81="",P81=""),"","Hola, "&amp;B81&amp;", hoy se cumple un año más desde que estrenó su *"&amp;D81&amp;"*. Espero que haya sido un gran compañero de camino. Cualquier cosa que necesite, aquí estoy para apoyarle."&amp;CHAR(10)&amp;CHAR(10)&amp;Config!$B$1)</f>
        <v/>
      </c>
      <c r="Z81" s="11">
        <f>IF(Y81="","",HYPERLINK("https://wa.me/52"&amp;C81&amp;"?text="&amp;_xlfn.ENCODEURL(Y81),"Enviar aniversario"))</f>
        <v/>
      </c>
      <c r="AA81" s="11" t="n"/>
      <c r="AB81" s="11">
        <f>IF(OR(B81="",AA81=""),"",HYPERLINK("https://wa.me/52"&amp;C81&amp;"?text="&amp;_xlfn.ENCODEURL(_xlfn.SWITCH(AA81,"Bienvenida (primera visita)",Q81,"Seguimiento",S81,"Aviso de Etapa",U81,"Requisitos",AC81,"Datos de Facturación",AD81,"Cumpleaños",W81,"Aniversario",Y81,"")),"Enviar mensaje seleccionado"))</f>
        <v/>
      </c>
      <c r="AC81" s="10">
        <f>IF(B81="","",_xlfn.SWITCH(F81&amp;"|"&amp;G81,"Crédito|Persona física","Hola, "&amp;B81&amp;", para continuar con el proceso de tu *"&amp;D81&amp;"* por "&amp;F81&amp;",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"&amp;B81&amp;", para continuar con el proceso de tu *"&amp;D81&amp;"* por "&amp;F81&amp;",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"&amp;B81&amp;", para continuar con el proceso de tu *"&amp;D81&amp;"* por "&amp;F81&amp;",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"&amp;B81&amp;", para continuar con el proceso de tu *"&amp;D81&amp;"* por "&amp;F81&amp;", estos son los documentos que necesitamos:"&amp;CHAR(10)&amp;CHAR(10)&amp;"- INE"&amp;CHAR(10)&amp;"- Comprobante de domicilio"&amp;CHAR(10)&amp;"- Constancia de situación fiscal (no mayor a 3 meses)","Contado|Persona física con actividad empresarial","Hola, "&amp;B81&amp;", para continuar con el proceso de tu *"&amp;D81&amp;"* por "&amp;F81&amp;", estos son los documentos que necesitamos:"&amp;CHAR(10)&amp;CHAR(10)&amp;"- INE"&amp;CHAR(10)&amp;"- Comprobante de domicilio"&amp;CHAR(10)&amp;"- Constancia de situación fiscal (no mayor a 3 meses)","Contado|Persona moral","Hola, "&amp;B81&amp;", para continuar con el proceso de tu *"&amp;D81&amp;"* por "&amp;F81&amp;",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81" s="10">
        <f>IFERROR(INDEX(Facturación!$Q:$Q,MATCH(B81,Facturación!$A:$A,0)),"")</f>
        <v/>
      </c>
    </row>
    <row r="82" ht="15" customHeight="1" s="1">
      <c r="A82" s="11">
        <f>IF(B82="","",ROW()-1)</f>
        <v/>
      </c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0">
        <f>IF(OR(B82="",L82&lt;&gt;"Sí"),"","Hola, "&amp;B82&amp;", excelente día. Le saluda *Alejandro Estrada* de Toyota Corregidora."&amp;CHAR(10)&amp;"Muchas gracias por visitarnos y conocer la *"&amp;D82&amp;"*.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82" s="11">
        <f>IF(Q82="","",HYPERLINK("https://wa.me/52"&amp;C82&amp;"?text="&amp;_xlfn.ENCODEURL(Q82),"Enviar Bienvenida"))</f>
        <v/>
      </c>
      <c r="S82" s="10">
        <f>IF(B82="","","Hola, "&amp;B82&amp;", muy buen día."&amp;CHAR(10)&amp;"Espero que esté teniendo una excelente semana. Le escribo para saber si tiene alguna duda sobre la oferta del *"&amp;D82&amp;"*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82" s="11">
        <f>IF(S82="","",HYPERLINK("https://wa.me/52"&amp;C82&amp;"?text="&amp;_xlfn.ENCODEURL(S82),"Enviar Seguimiento"))</f>
        <v/>
      </c>
      <c r="U82" s="10">
        <f>IF(B82="","",_xlfn.SWITCH(M82,"Apartado","Hola, "&amp;B82&amp;", buen día. Le confirmo que su apartado por el *"&amp;D82&amp;"* quedó registrado correctamente. Seguimos con el proceso y le mantendré informado(a) de cada paso.","Toma de vehículo","Hola, "&amp;B82&amp;", le comparto que estamos en el proceso de toma de su vehículo actual. En cuanto tengamos el resultado le aviso para continuar con el siguiente paso.","Pago vehículo a cuenta","Hola, "&amp;B82&amp;", quedamos en proceso de pago del vehículo que se toma a cuenta. Cualquier documento o aclaración que se requiera se lo haré saber por este medio.","Firma de contrato","Hola, "&amp;B82&amp;", ya estamos listos para agendar la firma de su contrato. ¿Qué día y hora se le facilita para realizarla?","Facturación","Hola, "&amp;B82&amp;", su unidad ya está en proceso de facturación. En breve le comparto los datos para su confirmación.","Programación de entrega","Hola, "&amp;B82&amp;", con gusto le comparto que ya podemos programar la entrega de su *"&amp;D82&amp;"*. ¿Qué día y hora le acomodan mejor?","Entregado","Hola, "&amp;B82&amp;", ¡muchas felicidades por estrenar su *"&amp;D82&amp;"*! Fue un gusto acompañarle en este proceso. Quedo pendiente de cualquier duda y con gusto le agendo su próxima cita de servicio cuando lo necesite.","Hola, "&amp;B82&amp;", seguimos en contacto para avanzar con el proceso de su próximo Toyota.")&amp;CHAR(10)&amp;CHAR(10)&amp;Config!$B$1)</f>
        <v/>
      </c>
      <c r="V82" s="11">
        <f>IF(U82="","",HYPERLINK("https://wa.me/52"&amp;C82&amp;"?text="&amp;_xlfn.ENCODEURL(U82),"Enviar aviso de etapa"))</f>
        <v/>
      </c>
      <c r="W82" s="10">
        <f>IF(OR(B82="",O82=""),"","Hola, "&amp;B82&amp;", ¡feliz cumpleaños! Le deseo un excelente día rodeado de quienes más quiere. Ha sido un placer acompañarle desde que estrenó su Toyota. ¡Un abrazo!"&amp;CHAR(10)&amp;CHAR(10)&amp;Config!$B$1)</f>
        <v/>
      </c>
      <c r="X82" s="11">
        <f>IF(W82="","",HYPERLINK("https://wa.me/52"&amp;C82&amp;"?text="&amp;_xlfn.ENCODEURL(W82),"Enviar felicitación"))</f>
        <v/>
      </c>
      <c r="Y82" s="10">
        <f>IF(OR(B82="",P82=""),"","Hola, "&amp;B82&amp;", hoy se cumple un año más desde que estrenó su *"&amp;D82&amp;"*. Espero que haya sido un gran compañero de camino. Cualquier cosa que necesite, aquí estoy para apoyarle."&amp;CHAR(10)&amp;CHAR(10)&amp;Config!$B$1)</f>
        <v/>
      </c>
      <c r="Z82" s="11">
        <f>IF(Y82="","",HYPERLINK("https://wa.me/52"&amp;C82&amp;"?text="&amp;_xlfn.ENCODEURL(Y82),"Enviar aniversario"))</f>
        <v/>
      </c>
      <c r="AA82" s="11" t="n"/>
      <c r="AB82" s="11">
        <f>IF(OR(B82="",AA82=""),"",HYPERLINK("https://wa.me/52"&amp;C82&amp;"?text="&amp;_xlfn.ENCODEURL(_xlfn.SWITCH(AA82,"Bienvenida (primera visita)",Q82,"Seguimiento",S82,"Aviso de Etapa",U82,"Requisitos",AC82,"Datos de Facturación",AD82,"Cumpleaños",W82,"Aniversario",Y82,"")),"Enviar mensaje seleccionado"))</f>
        <v/>
      </c>
      <c r="AC82" s="10">
        <f>IF(B82="","",_xlfn.SWITCH(F82&amp;"|"&amp;G82,"Crédito|Persona física","Hola, "&amp;B82&amp;", para continuar con el proceso de tu *"&amp;D82&amp;"* por "&amp;F82&amp;",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"&amp;B82&amp;", para continuar con el proceso de tu *"&amp;D82&amp;"* por "&amp;F82&amp;",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"&amp;B82&amp;", para continuar con el proceso de tu *"&amp;D82&amp;"* por "&amp;F82&amp;",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"&amp;B82&amp;", para continuar con el proceso de tu *"&amp;D82&amp;"* por "&amp;F82&amp;", estos son los documentos que necesitamos:"&amp;CHAR(10)&amp;CHAR(10)&amp;"- INE"&amp;CHAR(10)&amp;"- Comprobante de domicilio"&amp;CHAR(10)&amp;"- Constancia de situación fiscal (no mayor a 3 meses)","Contado|Persona física con actividad empresarial","Hola, "&amp;B82&amp;", para continuar con el proceso de tu *"&amp;D82&amp;"* por "&amp;F82&amp;", estos son los documentos que necesitamos:"&amp;CHAR(10)&amp;CHAR(10)&amp;"- INE"&amp;CHAR(10)&amp;"- Comprobante de domicilio"&amp;CHAR(10)&amp;"- Constancia de situación fiscal (no mayor a 3 meses)","Contado|Persona moral","Hola, "&amp;B82&amp;", para continuar con el proceso de tu *"&amp;D82&amp;"* por "&amp;F82&amp;",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82" s="10">
        <f>IFERROR(INDEX(Facturación!$Q:$Q,MATCH(B82,Facturación!$A:$A,0)),"")</f>
        <v/>
      </c>
    </row>
    <row r="83" ht="15" customHeight="1" s="1">
      <c r="A83" s="11">
        <f>IF(B83="","",ROW()-1)</f>
        <v/>
      </c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0">
        <f>IF(OR(B83="",L83&lt;&gt;"Sí"),"","Hola, "&amp;B83&amp;", excelente día. Le saluda *Alejandro Estrada* de Toyota Corregidora."&amp;CHAR(10)&amp;"Muchas gracias por visitarnos y conocer la *"&amp;D83&amp;"*.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83" s="11">
        <f>IF(Q83="","",HYPERLINK("https://wa.me/52"&amp;C83&amp;"?text="&amp;_xlfn.ENCODEURL(Q83),"Enviar Bienvenida"))</f>
        <v/>
      </c>
      <c r="S83" s="10">
        <f>IF(B83="","","Hola, "&amp;B83&amp;", muy buen día."&amp;CHAR(10)&amp;"Espero que esté teniendo una excelente semana. Le escribo para saber si tiene alguna duda sobre la oferta del *"&amp;D83&amp;"*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83" s="11">
        <f>IF(S83="","",HYPERLINK("https://wa.me/52"&amp;C83&amp;"?text="&amp;_xlfn.ENCODEURL(S83),"Enviar Seguimiento"))</f>
        <v/>
      </c>
      <c r="U83" s="10">
        <f>IF(B83="","",_xlfn.SWITCH(M83,"Apartado","Hola, "&amp;B83&amp;", buen día. Le confirmo que su apartado por el *"&amp;D83&amp;"* quedó registrado correctamente. Seguimos con el proceso y le mantendré informado(a) de cada paso.","Toma de vehículo","Hola, "&amp;B83&amp;", le comparto que estamos en el proceso de toma de su vehículo actual. En cuanto tengamos el resultado le aviso para continuar con el siguiente paso.","Pago vehículo a cuenta","Hola, "&amp;B83&amp;", quedamos en proceso de pago del vehículo que se toma a cuenta. Cualquier documento o aclaración que se requiera se lo haré saber por este medio.","Firma de contrato","Hola, "&amp;B83&amp;", ya estamos listos para agendar la firma de su contrato. ¿Qué día y hora se le facilita para realizarla?","Facturación","Hola, "&amp;B83&amp;", su unidad ya está en proceso de facturación. En breve le comparto los datos para su confirmación.","Programación de entrega","Hola, "&amp;B83&amp;", con gusto le comparto que ya podemos programar la entrega de su *"&amp;D83&amp;"*. ¿Qué día y hora le acomodan mejor?","Entregado","Hola, "&amp;B83&amp;", ¡muchas felicidades por estrenar su *"&amp;D83&amp;"*! Fue un gusto acompañarle en este proceso. Quedo pendiente de cualquier duda y con gusto le agendo su próxima cita de servicio cuando lo necesite.","Hola, "&amp;B83&amp;", seguimos en contacto para avanzar con el proceso de su próximo Toyota.")&amp;CHAR(10)&amp;CHAR(10)&amp;Config!$B$1)</f>
        <v/>
      </c>
      <c r="V83" s="11">
        <f>IF(U83="","",HYPERLINK("https://wa.me/52"&amp;C83&amp;"?text="&amp;_xlfn.ENCODEURL(U83),"Enviar aviso de etapa"))</f>
        <v/>
      </c>
      <c r="W83" s="10">
        <f>IF(OR(B83="",O83=""),"","Hola, "&amp;B83&amp;", ¡feliz cumpleaños! Le deseo un excelente día rodeado de quienes más quiere. Ha sido un placer acompañarle desde que estrenó su Toyota. ¡Un abrazo!"&amp;CHAR(10)&amp;CHAR(10)&amp;Config!$B$1)</f>
        <v/>
      </c>
      <c r="X83" s="11">
        <f>IF(W83="","",HYPERLINK("https://wa.me/52"&amp;C83&amp;"?text="&amp;_xlfn.ENCODEURL(W83),"Enviar felicitación"))</f>
        <v/>
      </c>
      <c r="Y83" s="10">
        <f>IF(OR(B83="",P83=""),"","Hola, "&amp;B83&amp;", hoy se cumple un año más desde que estrenó su *"&amp;D83&amp;"*. Espero que haya sido un gran compañero de camino. Cualquier cosa que necesite, aquí estoy para apoyarle."&amp;CHAR(10)&amp;CHAR(10)&amp;Config!$B$1)</f>
        <v/>
      </c>
      <c r="Z83" s="11">
        <f>IF(Y83="","",HYPERLINK("https://wa.me/52"&amp;C83&amp;"?text="&amp;_xlfn.ENCODEURL(Y83),"Enviar aniversario"))</f>
        <v/>
      </c>
      <c r="AA83" s="11" t="n"/>
      <c r="AB83" s="11">
        <f>IF(OR(B83="",AA83=""),"",HYPERLINK("https://wa.me/52"&amp;C83&amp;"?text="&amp;_xlfn.ENCODEURL(_xlfn.SWITCH(AA83,"Bienvenida (primera visita)",Q83,"Seguimiento",S83,"Aviso de Etapa",U83,"Requisitos",AC83,"Datos de Facturación",AD83,"Cumpleaños",W83,"Aniversario",Y83,"")),"Enviar mensaje seleccionado"))</f>
        <v/>
      </c>
      <c r="AC83" s="10">
        <f>IF(B83="","",_xlfn.SWITCH(F83&amp;"|"&amp;G83,"Crédito|Persona física","Hola, "&amp;B83&amp;", para continuar con el proceso de tu *"&amp;D83&amp;"* por "&amp;F83&amp;",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"&amp;B83&amp;", para continuar con el proceso de tu *"&amp;D83&amp;"* por "&amp;F83&amp;",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"&amp;B83&amp;", para continuar con el proceso de tu *"&amp;D83&amp;"* por "&amp;F83&amp;",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"&amp;B83&amp;", para continuar con el proceso de tu *"&amp;D83&amp;"* por "&amp;F83&amp;", estos son los documentos que necesitamos:"&amp;CHAR(10)&amp;CHAR(10)&amp;"- INE"&amp;CHAR(10)&amp;"- Comprobante de domicilio"&amp;CHAR(10)&amp;"- Constancia de situación fiscal (no mayor a 3 meses)","Contado|Persona física con actividad empresarial","Hola, "&amp;B83&amp;", para continuar con el proceso de tu *"&amp;D83&amp;"* por "&amp;F83&amp;", estos son los documentos que necesitamos:"&amp;CHAR(10)&amp;CHAR(10)&amp;"- INE"&amp;CHAR(10)&amp;"- Comprobante de domicilio"&amp;CHAR(10)&amp;"- Constancia de situación fiscal (no mayor a 3 meses)","Contado|Persona moral","Hola, "&amp;B83&amp;", para continuar con el proceso de tu *"&amp;D83&amp;"* por "&amp;F83&amp;",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83" s="10">
        <f>IFERROR(INDEX(Facturación!$Q:$Q,MATCH(B83,Facturación!$A:$A,0)),"")</f>
        <v/>
      </c>
    </row>
    <row r="84" ht="15" customHeight="1" s="1">
      <c r="A84" s="11">
        <f>IF(B84="","",ROW()-1)</f>
        <v/>
      </c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0">
        <f>IF(OR(B84="",L84&lt;&gt;"Sí"),"","Hola, "&amp;B84&amp;", excelente día. Le saluda *Alejandro Estrada* de Toyota Corregidora."&amp;CHAR(10)&amp;"Muchas gracias por visitarnos y conocer la *"&amp;D84&amp;"*.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84" s="11">
        <f>IF(Q84="","",HYPERLINK("https://wa.me/52"&amp;C84&amp;"?text="&amp;_xlfn.ENCODEURL(Q84),"Enviar Bienvenida"))</f>
        <v/>
      </c>
      <c r="S84" s="10">
        <f>IF(B84="","","Hola, "&amp;B84&amp;", muy buen día."&amp;CHAR(10)&amp;"Espero que esté teniendo una excelente semana. Le escribo para saber si tiene alguna duda sobre la oferta del *"&amp;D84&amp;"*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84" s="11">
        <f>IF(S84="","",HYPERLINK("https://wa.me/52"&amp;C84&amp;"?text="&amp;_xlfn.ENCODEURL(S84),"Enviar Seguimiento"))</f>
        <v/>
      </c>
      <c r="U84" s="10">
        <f>IF(B84="","",_xlfn.SWITCH(M84,"Apartado","Hola, "&amp;B84&amp;", buen día. Le confirmo que su apartado por el *"&amp;D84&amp;"* quedó registrado correctamente. Seguimos con el proceso y le mantendré informado(a) de cada paso.","Toma de vehículo","Hola, "&amp;B84&amp;", le comparto que estamos en el proceso de toma de su vehículo actual. En cuanto tengamos el resultado le aviso para continuar con el siguiente paso.","Pago vehículo a cuenta","Hola, "&amp;B84&amp;", quedamos en proceso de pago del vehículo que se toma a cuenta. Cualquier documento o aclaración que se requiera se lo haré saber por este medio.","Firma de contrato","Hola, "&amp;B84&amp;", ya estamos listos para agendar la firma de su contrato. ¿Qué día y hora se le facilita para realizarla?","Facturación","Hola, "&amp;B84&amp;", su unidad ya está en proceso de facturación. En breve le comparto los datos para su confirmación.","Programación de entrega","Hola, "&amp;B84&amp;", con gusto le comparto que ya podemos programar la entrega de su *"&amp;D84&amp;"*. ¿Qué día y hora le acomodan mejor?","Entregado","Hola, "&amp;B84&amp;", ¡muchas felicidades por estrenar su *"&amp;D84&amp;"*! Fue un gusto acompañarle en este proceso. Quedo pendiente de cualquier duda y con gusto le agendo su próxima cita de servicio cuando lo necesite.","Hola, "&amp;B84&amp;", seguimos en contacto para avanzar con el proceso de su próximo Toyota.")&amp;CHAR(10)&amp;CHAR(10)&amp;Config!$B$1)</f>
        <v/>
      </c>
      <c r="V84" s="11">
        <f>IF(U84="","",HYPERLINK("https://wa.me/52"&amp;C84&amp;"?text="&amp;_xlfn.ENCODEURL(U84),"Enviar aviso de etapa"))</f>
        <v/>
      </c>
      <c r="W84" s="10">
        <f>IF(OR(B84="",O84=""),"","Hola, "&amp;B84&amp;", ¡feliz cumpleaños! Le deseo un excelente día rodeado de quienes más quiere. Ha sido un placer acompañarle desde que estrenó su Toyota. ¡Un abrazo!"&amp;CHAR(10)&amp;CHAR(10)&amp;Config!$B$1)</f>
        <v/>
      </c>
      <c r="X84" s="11">
        <f>IF(W84="","",HYPERLINK("https://wa.me/52"&amp;C84&amp;"?text="&amp;_xlfn.ENCODEURL(W84),"Enviar felicitación"))</f>
        <v/>
      </c>
      <c r="Y84" s="10">
        <f>IF(OR(B84="",P84=""),"","Hola, "&amp;B84&amp;", hoy se cumple un año más desde que estrenó su *"&amp;D84&amp;"*. Espero que haya sido un gran compañero de camino. Cualquier cosa que necesite, aquí estoy para apoyarle."&amp;CHAR(10)&amp;CHAR(10)&amp;Config!$B$1)</f>
        <v/>
      </c>
      <c r="Z84" s="11">
        <f>IF(Y84="","",HYPERLINK("https://wa.me/52"&amp;C84&amp;"?text="&amp;_xlfn.ENCODEURL(Y84),"Enviar aniversario"))</f>
        <v/>
      </c>
      <c r="AA84" s="11" t="n"/>
      <c r="AB84" s="11">
        <f>IF(OR(B84="",AA84=""),"",HYPERLINK("https://wa.me/52"&amp;C84&amp;"?text="&amp;_xlfn.ENCODEURL(_xlfn.SWITCH(AA84,"Bienvenida (primera visita)",Q84,"Seguimiento",S84,"Aviso de Etapa",U84,"Requisitos",AC84,"Datos de Facturación",AD84,"Cumpleaños",W84,"Aniversario",Y84,"")),"Enviar mensaje seleccionado"))</f>
        <v/>
      </c>
      <c r="AC84" s="10">
        <f>IF(B84="","",_xlfn.SWITCH(F84&amp;"|"&amp;G84,"Crédito|Persona física","Hola, "&amp;B84&amp;", para continuar con el proceso de tu *"&amp;D84&amp;"* por "&amp;F84&amp;",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"&amp;B84&amp;", para continuar con el proceso de tu *"&amp;D84&amp;"* por "&amp;F84&amp;",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"&amp;B84&amp;", para continuar con el proceso de tu *"&amp;D84&amp;"* por "&amp;F84&amp;",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"&amp;B84&amp;", para continuar con el proceso de tu *"&amp;D84&amp;"* por "&amp;F84&amp;", estos son los documentos que necesitamos:"&amp;CHAR(10)&amp;CHAR(10)&amp;"- INE"&amp;CHAR(10)&amp;"- Comprobante de domicilio"&amp;CHAR(10)&amp;"- Constancia de situación fiscal (no mayor a 3 meses)","Contado|Persona física con actividad empresarial","Hola, "&amp;B84&amp;", para continuar con el proceso de tu *"&amp;D84&amp;"* por "&amp;F84&amp;", estos son los documentos que necesitamos:"&amp;CHAR(10)&amp;CHAR(10)&amp;"- INE"&amp;CHAR(10)&amp;"- Comprobante de domicilio"&amp;CHAR(10)&amp;"- Constancia de situación fiscal (no mayor a 3 meses)","Contado|Persona moral","Hola, "&amp;B84&amp;", para continuar con el proceso de tu *"&amp;D84&amp;"* por "&amp;F84&amp;",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84" s="10">
        <f>IFERROR(INDEX(Facturación!$Q:$Q,MATCH(B84,Facturación!$A:$A,0)),"")</f>
        <v/>
      </c>
    </row>
    <row r="85" ht="15" customHeight="1" s="1">
      <c r="A85" s="11">
        <f>IF(B85="","",ROW()-1)</f>
        <v/>
      </c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0">
        <f>IF(OR(B85="",L85&lt;&gt;"Sí"),"","Hola, "&amp;B85&amp;", excelente día. Le saluda *Alejandro Estrada* de Toyota Corregidora."&amp;CHAR(10)&amp;"Muchas gracias por visitarnos y conocer la *"&amp;D85&amp;"*.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85" s="11">
        <f>IF(Q85="","",HYPERLINK("https://wa.me/52"&amp;C85&amp;"?text="&amp;_xlfn.ENCODEURL(Q85),"Enviar Bienvenida"))</f>
        <v/>
      </c>
      <c r="S85" s="10">
        <f>IF(B85="","","Hola, "&amp;B85&amp;", muy buen día."&amp;CHAR(10)&amp;"Espero que esté teniendo una excelente semana. Le escribo para saber si tiene alguna duda sobre la oferta del *"&amp;D85&amp;"*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85" s="11">
        <f>IF(S85="","",HYPERLINK("https://wa.me/52"&amp;C85&amp;"?text="&amp;_xlfn.ENCODEURL(S85),"Enviar Seguimiento"))</f>
        <v/>
      </c>
      <c r="U85" s="10">
        <f>IF(B85="","",_xlfn.SWITCH(M85,"Apartado","Hola, "&amp;B85&amp;", buen día. Le confirmo que su apartado por el *"&amp;D85&amp;"* quedó registrado correctamente. Seguimos con el proceso y le mantendré informado(a) de cada paso.","Toma de vehículo","Hola, "&amp;B85&amp;", le comparto que estamos en el proceso de toma de su vehículo actual. En cuanto tengamos el resultado le aviso para continuar con el siguiente paso.","Pago vehículo a cuenta","Hola, "&amp;B85&amp;", quedamos en proceso de pago del vehículo que se toma a cuenta. Cualquier documento o aclaración que se requiera se lo haré saber por este medio.","Firma de contrato","Hola, "&amp;B85&amp;", ya estamos listos para agendar la firma de su contrato. ¿Qué día y hora se le facilita para realizarla?","Facturación","Hola, "&amp;B85&amp;", su unidad ya está en proceso de facturación. En breve le comparto los datos para su confirmación.","Programación de entrega","Hola, "&amp;B85&amp;", con gusto le comparto que ya podemos programar la entrega de su *"&amp;D85&amp;"*. ¿Qué día y hora le acomodan mejor?","Entregado","Hola, "&amp;B85&amp;", ¡muchas felicidades por estrenar su *"&amp;D85&amp;"*! Fue un gusto acompañarle en este proceso. Quedo pendiente de cualquier duda y con gusto le agendo su próxima cita de servicio cuando lo necesite.","Hola, "&amp;B85&amp;", seguimos en contacto para avanzar con el proceso de su próximo Toyota.")&amp;CHAR(10)&amp;CHAR(10)&amp;Config!$B$1)</f>
        <v/>
      </c>
      <c r="V85" s="11">
        <f>IF(U85="","",HYPERLINK("https://wa.me/52"&amp;C85&amp;"?text="&amp;_xlfn.ENCODEURL(U85),"Enviar aviso de etapa"))</f>
        <v/>
      </c>
      <c r="W85" s="10">
        <f>IF(OR(B85="",O85=""),"","Hola, "&amp;B85&amp;", ¡feliz cumpleaños! Le deseo un excelente día rodeado de quienes más quiere. Ha sido un placer acompañarle desde que estrenó su Toyota. ¡Un abrazo!"&amp;CHAR(10)&amp;CHAR(10)&amp;Config!$B$1)</f>
        <v/>
      </c>
      <c r="X85" s="11">
        <f>IF(W85="","",HYPERLINK("https://wa.me/52"&amp;C85&amp;"?text="&amp;_xlfn.ENCODEURL(W85),"Enviar felicitación"))</f>
        <v/>
      </c>
      <c r="Y85" s="10">
        <f>IF(OR(B85="",P85=""),"","Hola, "&amp;B85&amp;", hoy se cumple un año más desde que estrenó su *"&amp;D85&amp;"*. Espero que haya sido un gran compañero de camino. Cualquier cosa que necesite, aquí estoy para apoyarle."&amp;CHAR(10)&amp;CHAR(10)&amp;Config!$B$1)</f>
        <v/>
      </c>
      <c r="Z85" s="11">
        <f>IF(Y85="","",HYPERLINK("https://wa.me/52"&amp;C85&amp;"?text="&amp;_xlfn.ENCODEURL(Y85),"Enviar aniversario"))</f>
        <v/>
      </c>
      <c r="AA85" s="11" t="n"/>
      <c r="AB85" s="11">
        <f>IF(OR(B85="",AA85=""),"",HYPERLINK("https://wa.me/52"&amp;C85&amp;"?text="&amp;_xlfn.ENCODEURL(_xlfn.SWITCH(AA85,"Bienvenida (primera visita)",Q85,"Seguimiento",S85,"Aviso de Etapa",U85,"Requisitos",AC85,"Datos de Facturación",AD85,"Cumpleaños",W85,"Aniversario",Y85,"")),"Enviar mensaje seleccionado"))</f>
        <v/>
      </c>
      <c r="AC85" s="10">
        <f>IF(B85="","",_xlfn.SWITCH(F85&amp;"|"&amp;G85,"Crédito|Persona física","Hola, "&amp;B85&amp;", para continuar con el proceso de tu *"&amp;D85&amp;"* por "&amp;F85&amp;",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"&amp;B85&amp;", para continuar con el proceso de tu *"&amp;D85&amp;"* por "&amp;F85&amp;",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"&amp;B85&amp;", para continuar con el proceso de tu *"&amp;D85&amp;"* por "&amp;F85&amp;",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"&amp;B85&amp;", para continuar con el proceso de tu *"&amp;D85&amp;"* por "&amp;F85&amp;", estos son los documentos que necesitamos:"&amp;CHAR(10)&amp;CHAR(10)&amp;"- INE"&amp;CHAR(10)&amp;"- Comprobante de domicilio"&amp;CHAR(10)&amp;"- Constancia de situación fiscal (no mayor a 3 meses)","Contado|Persona física con actividad empresarial","Hola, "&amp;B85&amp;", para continuar con el proceso de tu *"&amp;D85&amp;"* por "&amp;F85&amp;", estos son los documentos que necesitamos:"&amp;CHAR(10)&amp;CHAR(10)&amp;"- INE"&amp;CHAR(10)&amp;"- Comprobante de domicilio"&amp;CHAR(10)&amp;"- Constancia de situación fiscal (no mayor a 3 meses)","Contado|Persona moral","Hola, "&amp;B85&amp;", para continuar con el proceso de tu *"&amp;D85&amp;"* por "&amp;F85&amp;",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85" s="10">
        <f>IFERROR(INDEX(Facturación!$Q:$Q,MATCH(B85,Facturación!$A:$A,0)),"")</f>
        <v/>
      </c>
    </row>
    <row r="86" ht="15" customHeight="1" s="1">
      <c r="A86" s="11">
        <f>IF(B86="","",ROW()-1)</f>
        <v/>
      </c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0">
        <f>IF(OR(B86="",L86&lt;&gt;"Sí"),"","Hola, "&amp;B86&amp;", excelente día. Le saluda *Alejandro Estrada* de Toyota Corregidora."&amp;CHAR(10)&amp;"Muchas gracias por visitarnos y conocer la *"&amp;D86&amp;"*.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86" s="11">
        <f>IF(Q86="","",HYPERLINK("https://wa.me/52"&amp;C86&amp;"?text="&amp;_xlfn.ENCODEURL(Q86),"Enviar Bienvenida"))</f>
        <v/>
      </c>
      <c r="S86" s="10">
        <f>IF(B86="","","Hola, "&amp;B86&amp;", muy buen día."&amp;CHAR(10)&amp;"Espero que esté teniendo una excelente semana. Le escribo para saber si tiene alguna duda sobre la oferta del *"&amp;D86&amp;"*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86" s="11">
        <f>IF(S86="","",HYPERLINK("https://wa.me/52"&amp;C86&amp;"?text="&amp;_xlfn.ENCODEURL(S86),"Enviar Seguimiento"))</f>
        <v/>
      </c>
      <c r="U86" s="10">
        <f>IF(B86="","",_xlfn.SWITCH(M86,"Apartado","Hola, "&amp;B86&amp;", buen día. Le confirmo que su apartado por el *"&amp;D86&amp;"* quedó registrado correctamente. Seguimos con el proceso y le mantendré informado(a) de cada paso.","Toma de vehículo","Hola, "&amp;B86&amp;", le comparto que estamos en el proceso de toma de su vehículo actual. En cuanto tengamos el resultado le aviso para continuar con el siguiente paso.","Pago vehículo a cuenta","Hola, "&amp;B86&amp;", quedamos en proceso de pago del vehículo que se toma a cuenta. Cualquier documento o aclaración que se requiera se lo haré saber por este medio.","Firma de contrato","Hola, "&amp;B86&amp;", ya estamos listos para agendar la firma de su contrato. ¿Qué día y hora se le facilita para realizarla?","Facturación","Hola, "&amp;B86&amp;", su unidad ya está en proceso de facturación. En breve le comparto los datos para su confirmación.","Programación de entrega","Hola, "&amp;B86&amp;", con gusto le comparto que ya podemos programar la entrega de su *"&amp;D86&amp;"*. ¿Qué día y hora le acomodan mejor?","Entregado","Hola, "&amp;B86&amp;", ¡muchas felicidades por estrenar su *"&amp;D86&amp;"*! Fue un gusto acompañarle en este proceso. Quedo pendiente de cualquier duda y con gusto le agendo su próxima cita de servicio cuando lo necesite.","Hola, "&amp;B86&amp;", seguimos en contacto para avanzar con el proceso de su próximo Toyota.")&amp;CHAR(10)&amp;CHAR(10)&amp;Config!$B$1)</f>
        <v/>
      </c>
      <c r="V86" s="11">
        <f>IF(U86="","",HYPERLINK("https://wa.me/52"&amp;C86&amp;"?text="&amp;_xlfn.ENCODEURL(U86),"Enviar aviso de etapa"))</f>
        <v/>
      </c>
      <c r="W86" s="10">
        <f>IF(OR(B86="",O86=""),"","Hola, "&amp;B86&amp;", ¡feliz cumpleaños! Le deseo un excelente día rodeado de quienes más quiere. Ha sido un placer acompañarle desde que estrenó su Toyota. ¡Un abrazo!"&amp;CHAR(10)&amp;CHAR(10)&amp;Config!$B$1)</f>
        <v/>
      </c>
      <c r="X86" s="11">
        <f>IF(W86="","",HYPERLINK("https://wa.me/52"&amp;C86&amp;"?text="&amp;_xlfn.ENCODEURL(W86),"Enviar felicitación"))</f>
        <v/>
      </c>
      <c r="Y86" s="10">
        <f>IF(OR(B86="",P86=""),"","Hola, "&amp;B86&amp;", hoy se cumple un año más desde que estrenó su *"&amp;D86&amp;"*. Espero que haya sido un gran compañero de camino. Cualquier cosa que necesite, aquí estoy para apoyarle."&amp;CHAR(10)&amp;CHAR(10)&amp;Config!$B$1)</f>
        <v/>
      </c>
      <c r="Z86" s="11">
        <f>IF(Y86="","",HYPERLINK("https://wa.me/52"&amp;C86&amp;"?text="&amp;_xlfn.ENCODEURL(Y86),"Enviar aniversario"))</f>
        <v/>
      </c>
      <c r="AA86" s="11" t="n"/>
      <c r="AB86" s="11">
        <f>IF(OR(B86="",AA86=""),"",HYPERLINK("https://wa.me/52"&amp;C86&amp;"?text="&amp;_xlfn.ENCODEURL(_xlfn.SWITCH(AA86,"Bienvenida (primera visita)",Q86,"Seguimiento",S86,"Aviso de Etapa",U86,"Requisitos",AC86,"Datos de Facturación",AD86,"Cumpleaños",W86,"Aniversario",Y86,"")),"Enviar mensaje seleccionado"))</f>
        <v/>
      </c>
      <c r="AC86" s="10">
        <f>IF(B86="","",_xlfn.SWITCH(F86&amp;"|"&amp;G86,"Crédito|Persona física","Hola, "&amp;B86&amp;", para continuar con el proceso de tu *"&amp;D86&amp;"* por "&amp;F86&amp;",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"&amp;B86&amp;", para continuar con el proceso de tu *"&amp;D86&amp;"* por "&amp;F86&amp;",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"&amp;B86&amp;", para continuar con el proceso de tu *"&amp;D86&amp;"* por "&amp;F86&amp;",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"&amp;B86&amp;", para continuar con el proceso de tu *"&amp;D86&amp;"* por "&amp;F86&amp;", estos son los documentos que necesitamos:"&amp;CHAR(10)&amp;CHAR(10)&amp;"- INE"&amp;CHAR(10)&amp;"- Comprobante de domicilio"&amp;CHAR(10)&amp;"- Constancia de situación fiscal (no mayor a 3 meses)","Contado|Persona física con actividad empresarial","Hola, "&amp;B86&amp;", para continuar con el proceso de tu *"&amp;D86&amp;"* por "&amp;F86&amp;", estos son los documentos que necesitamos:"&amp;CHAR(10)&amp;CHAR(10)&amp;"- INE"&amp;CHAR(10)&amp;"- Comprobante de domicilio"&amp;CHAR(10)&amp;"- Constancia de situación fiscal (no mayor a 3 meses)","Contado|Persona moral","Hola, "&amp;B86&amp;", para continuar con el proceso de tu *"&amp;D86&amp;"* por "&amp;F86&amp;",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86" s="10">
        <f>IFERROR(INDEX(Facturación!$Q:$Q,MATCH(B86,Facturación!$A:$A,0)),"")</f>
        <v/>
      </c>
    </row>
    <row r="87" ht="15" customHeight="1" s="1">
      <c r="A87" s="11">
        <f>IF(B87="","",ROW()-1)</f>
        <v/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0">
        <f>IF(OR(B87="",L87&lt;&gt;"Sí"),"","Hola, "&amp;B87&amp;", excelente día. Le saluda *Alejandro Estrada* de Toyota Corregidora."&amp;CHAR(10)&amp;"Muchas gracias por visitarnos y conocer la *"&amp;D87&amp;"*.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87" s="11">
        <f>IF(Q87="","",HYPERLINK("https://wa.me/52"&amp;C87&amp;"?text="&amp;_xlfn.ENCODEURL(Q87),"Enviar Bienvenida"))</f>
        <v/>
      </c>
      <c r="S87" s="10">
        <f>IF(B87="","","Hola, "&amp;B87&amp;", muy buen día."&amp;CHAR(10)&amp;"Espero que esté teniendo una excelente semana. Le escribo para saber si tiene alguna duda sobre la oferta del *"&amp;D87&amp;"*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87" s="11">
        <f>IF(S87="","",HYPERLINK("https://wa.me/52"&amp;C87&amp;"?text="&amp;_xlfn.ENCODEURL(S87),"Enviar Seguimiento"))</f>
        <v/>
      </c>
      <c r="U87" s="10">
        <f>IF(B87="","",_xlfn.SWITCH(M87,"Apartado","Hola, "&amp;B87&amp;", buen día. Le confirmo que su apartado por el *"&amp;D87&amp;"* quedó registrado correctamente. Seguimos con el proceso y le mantendré informado(a) de cada paso.","Toma de vehículo","Hola, "&amp;B87&amp;", le comparto que estamos en el proceso de toma de su vehículo actual. En cuanto tengamos el resultado le aviso para continuar con el siguiente paso.","Pago vehículo a cuenta","Hola, "&amp;B87&amp;", quedamos en proceso de pago del vehículo que se toma a cuenta. Cualquier documento o aclaración que se requiera se lo haré saber por este medio.","Firma de contrato","Hola, "&amp;B87&amp;", ya estamos listos para agendar la firma de su contrato. ¿Qué día y hora se le facilita para realizarla?","Facturación","Hola, "&amp;B87&amp;", su unidad ya está en proceso de facturación. En breve le comparto los datos para su confirmación.","Programación de entrega","Hola, "&amp;B87&amp;", con gusto le comparto que ya podemos programar la entrega de su *"&amp;D87&amp;"*. ¿Qué día y hora le acomodan mejor?","Entregado","Hola, "&amp;B87&amp;", ¡muchas felicidades por estrenar su *"&amp;D87&amp;"*! Fue un gusto acompañarle en este proceso. Quedo pendiente de cualquier duda y con gusto le agendo su próxima cita de servicio cuando lo necesite.","Hola, "&amp;B87&amp;", seguimos en contacto para avanzar con el proceso de su próximo Toyota.")&amp;CHAR(10)&amp;CHAR(10)&amp;Config!$B$1)</f>
        <v/>
      </c>
      <c r="V87" s="11">
        <f>IF(U87="","",HYPERLINK("https://wa.me/52"&amp;C87&amp;"?text="&amp;_xlfn.ENCODEURL(U87),"Enviar aviso de etapa"))</f>
        <v/>
      </c>
      <c r="W87" s="10">
        <f>IF(OR(B87="",O87=""),"","Hola, "&amp;B87&amp;", ¡feliz cumpleaños! Le deseo un excelente día rodeado de quienes más quiere. Ha sido un placer acompañarle desde que estrenó su Toyota. ¡Un abrazo!"&amp;CHAR(10)&amp;CHAR(10)&amp;Config!$B$1)</f>
        <v/>
      </c>
      <c r="X87" s="11">
        <f>IF(W87="","",HYPERLINK("https://wa.me/52"&amp;C87&amp;"?text="&amp;_xlfn.ENCODEURL(W87),"Enviar felicitación"))</f>
        <v/>
      </c>
      <c r="Y87" s="10">
        <f>IF(OR(B87="",P87=""),"","Hola, "&amp;B87&amp;", hoy se cumple un año más desde que estrenó su *"&amp;D87&amp;"*. Espero que haya sido un gran compañero de camino. Cualquier cosa que necesite, aquí estoy para apoyarle."&amp;CHAR(10)&amp;CHAR(10)&amp;Config!$B$1)</f>
        <v/>
      </c>
      <c r="Z87" s="11">
        <f>IF(Y87="","",HYPERLINK("https://wa.me/52"&amp;C87&amp;"?text="&amp;_xlfn.ENCODEURL(Y87),"Enviar aniversario"))</f>
        <v/>
      </c>
      <c r="AA87" s="11" t="n"/>
      <c r="AB87" s="11">
        <f>IF(OR(B87="",AA87=""),"",HYPERLINK("https://wa.me/52"&amp;C87&amp;"?text="&amp;_xlfn.ENCODEURL(_xlfn.SWITCH(AA87,"Bienvenida (primera visita)",Q87,"Seguimiento",S87,"Aviso de Etapa",U87,"Requisitos",AC87,"Datos de Facturación",AD87,"Cumpleaños",W87,"Aniversario",Y87,"")),"Enviar mensaje seleccionado"))</f>
        <v/>
      </c>
      <c r="AC87" s="10">
        <f>IF(B87="","",_xlfn.SWITCH(F87&amp;"|"&amp;G87,"Crédito|Persona física","Hola, "&amp;B87&amp;", para continuar con el proceso de tu *"&amp;D87&amp;"* por "&amp;F87&amp;",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"&amp;B87&amp;", para continuar con el proceso de tu *"&amp;D87&amp;"* por "&amp;F87&amp;",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"&amp;B87&amp;", para continuar con el proceso de tu *"&amp;D87&amp;"* por "&amp;F87&amp;",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"&amp;B87&amp;", para continuar con el proceso de tu *"&amp;D87&amp;"* por "&amp;F87&amp;", estos son los documentos que necesitamos:"&amp;CHAR(10)&amp;CHAR(10)&amp;"- INE"&amp;CHAR(10)&amp;"- Comprobante de domicilio"&amp;CHAR(10)&amp;"- Constancia de situación fiscal (no mayor a 3 meses)","Contado|Persona física con actividad empresarial","Hola, "&amp;B87&amp;", para continuar con el proceso de tu *"&amp;D87&amp;"* por "&amp;F87&amp;", estos son los documentos que necesitamos:"&amp;CHAR(10)&amp;CHAR(10)&amp;"- INE"&amp;CHAR(10)&amp;"- Comprobante de domicilio"&amp;CHAR(10)&amp;"- Constancia de situación fiscal (no mayor a 3 meses)","Contado|Persona moral","Hola, "&amp;B87&amp;", para continuar con el proceso de tu *"&amp;D87&amp;"* por "&amp;F87&amp;",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87" s="10">
        <f>IFERROR(INDEX(Facturación!$Q:$Q,MATCH(B87,Facturación!$A:$A,0)),"")</f>
        <v/>
      </c>
    </row>
    <row r="88" ht="15" customHeight="1" s="1">
      <c r="A88" s="11">
        <f>IF(B88="","",ROW()-1)</f>
        <v/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0">
        <f>IF(OR(B88="",L88&lt;&gt;"Sí"),"","Hola, "&amp;B88&amp;", excelente día. Le saluda *Alejandro Estrada* de Toyota Corregidora."&amp;CHAR(10)&amp;"Muchas gracias por visitarnos y conocer la *"&amp;D88&amp;"*.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88" s="11">
        <f>IF(Q88="","",HYPERLINK("https://wa.me/52"&amp;C88&amp;"?text="&amp;_xlfn.ENCODEURL(Q88),"Enviar Bienvenida"))</f>
        <v/>
      </c>
      <c r="S88" s="10">
        <f>IF(B88="","","Hola, "&amp;B88&amp;", muy buen día."&amp;CHAR(10)&amp;"Espero que esté teniendo una excelente semana. Le escribo para saber si tiene alguna duda sobre la oferta del *"&amp;D88&amp;"*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88" s="11">
        <f>IF(S88="","",HYPERLINK("https://wa.me/52"&amp;C88&amp;"?text="&amp;_xlfn.ENCODEURL(S88),"Enviar Seguimiento"))</f>
        <v/>
      </c>
      <c r="U88" s="10">
        <f>IF(B88="","",_xlfn.SWITCH(M88,"Apartado","Hola, "&amp;B88&amp;", buen día. Le confirmo que su apartado por el *"&amp;D88&amp;"* quedó registrado correctamente. Seguimos con el proceso y le mantendré informado(a) de cada paso.","Toma de vehículo","Hola, "&amp;B88&amp;", le comparto que estamos en el proceso de toma de su vehículo actual. En cuanto tengamos el resultado le aviso para continuar con el siguiente paso.","Pago vehículo a cuenta","Hola, "&amp;B88&amp;", quedamos en proceso de pago del vehículo que se toma a cuenta. Cualquier documento o aclaración que se requiera se lo haré saber por este medio.","Firma de contrato","Hola, "&amp;B88&amp;", ya estamos listos para agendar la firma de su contrato. ¿Qué día y hora se le facilita para realizarla?","Facturación","Hola, "&amp;B88&amp;", su unidad ya está en proceso de facturación. En breve le comparto los datos para su confirmación.","Programación de entrega","Hola, "&amp;B88&amp;", con gusto le comparto que ya podemos programar la entrega de su *"&amp;D88&amp;"*. ¿Qué día y hora le acomodan mejor?","Entregado","Hola, "&amp;B88&amp;", ¡muchas felicidades por estrenar su *"&amp;D88&amp;"*! Fue un gusto acompañarle en este proceso. Quedo pendiente de cualquier duda y con gusto le agendo su próxima cita de servicio cuando lo necesite.","Hola, "&amp;B88&amp;", seguimos en contacto para avanzar con el proceso de su próximo Toyota.")&amp;CHAR(10)&amp;CHAR(10)&amp;Config!$B$1)</f>
        <v/>
      </c>
      <c r="V88" s="11">
        <f>IF(U88="","",HYPERLINK("https://wa.me/52"&amp;C88&amp;"?text="&amp;_xlfn.ENCODEURL(U88),"Enviar aviso de etapa"))</f>
        <v/>
      </c>
      <c r="W88" s="10">
        <f>IF(OR(B88="",O88=""),"","Hola, "&amp;B88&amp;", ¡feliz cumpleaños! Le deseo un excelente día rodeado de quienes más quiere. Ha sido un placer acompañarle desde que estrenó su Toyota. ¡Un abrazo!"&amp;CHAR(10)&amp;CHAR(10)&amp;Config!$B$1)</f>
        <v/>
      </c>
      <c r="X88" s="11">
        <f>IF(W88="","",HYPERLINK("https://wa.me/52"&amp;C88&amp;"?text="&amp;_xlfn.ENCODEURL(W88),"Enviar felicitación"))</f>
        <v/>
      </c>
      <c r="Y88" s="10">
        <f>IF(OR(B88="",P88=""),"","Hola, "&amp;B88&amp;", hoy se cumple un año más desde que estrenó su *"&amp;D88&amp;"*. Espero que haya sido un gran compañero de camino. Cualquier cosa que necesite, aquí estoy para apoyarle."&amp;CHAR(10)&amp;CHAR(10)&amp;Config!$B$1)</f>
        <v/>
      </c>
      <c r="Z88" s="11">
        <f>IF(Y88="","",HYPERLINK("https://wa.me/52"&amp;C88&amp;"?text="&amp;_xlfn.ENCODEURL(Y88),"Enviar aniversario"))</f>
        <v/>
      </c>
      <c r="AA88" s="11" t="n"/>
      <c r="AB88" s="11">
        <f>IF(OR(B88="",AA88=""),"",HYPERLINK("https://wa.me/52"&amp;C88&amp;"?text="&amp;_xlfn.ENCODEURL(_xlfn.SWITCH(AA88,"Bienvenida (primera visita)",Q88,"Seguimiento",S88,"Aviso de Etapa",U88,"Requisitos",AC88,"Datos de Facturación",AD88,"Cumpleaños",W88,"Aniversario",Y88,"")),"Enviar mensaje seleccionado"))</f>
        <v/>
      </c>
      <c r="AC88" s="10">
        <f>IF(B88="","",_xlfn.SWITCH(F88&amp;"|"&amp;G88,"Crédito|Persona física","Hola, "&amp;B88&amp;", para continuar con el proceso de tu *"&amp;D88&amp;"* por "&amp;F88&amp;",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"&amp;B88&amp;", para continuar con el proceso de tu *"&amp;D88&amp;"* por "&amp;F88&amp;",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"&amp;B88&amp;", para continuar con el proceso de tu *"&amp;D88&amp;"* por "&amp;F88&amp;",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"&amp;B88&amp;", para continuar con el proceso de tu *"&amp;D88&amp;"* por "&amp;F88&amp;", estos son los documentos que necesitamos:"&amp;CHAR(10)&amp;CHAR(10)&amp;"- INE"&amp;CHAR(10)&amp;"- Comprobante de domicilio"&amp;CHAR(10)&amp;"- Constancia de situación fiscal (no mayor a 3 meses)","Contado|Persona física con actividad empresarial","Hola, "&amp;B88&amp;", para continuar con el proceso de tu *"&amp;D88&amp;"* por "&amp;F88&amp;", estos son los documentos que necesitamos:"&amp;CHAR(10)&amp;CHAR(10)&amp;"- INE"&amp;CHAR(10)&amp;"- Comprobante de domicilio"&amp;CHAR(10)&amp;"- Constancia de situación fiscal (no mayor a 3 meses)","Contado|Persona moral","Hola, "&amp;B88&amp;", para continuar con el proceso de tu *"&amp;D88&amp;"* por "&amp;F88&amp;",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88" s="10">
        <f>IFERROR(INDEX(Facturación!$Q:$Q,MATCH(B88,Facturación!$A:$A,0)),"")</f>
        <v/>
      </c>
    </row>
    <row r="89" ht="15" customHeight="1" s="1">
      <c r="A89" s="11">
        <f>IF(B89="","",ROW()-1)</f>
        <v/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0">
        <f>IF(OR(B89="",L89&lt;&gt;"Sí"),"","Hola, "&amp;B89&amp;", excelente día. Le saluda *Alejandro Estrada* de Toyota Corregidora."&amp;CHAR(10)&amp;"Muchas gracias por visitarnos y conocer la *"&amp;D89&amp;"*.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89" s="11">
        <f>IF(Q89="","",HYPERLINK("https://wa.me/52"&amp;C89&amp;"?text="&amp;_xlfn.ENCODEURL(Q89),"Enviar Bienvenida"))</f>
        <v/>
      </c>
      <c r="S89" s="10">
        <f>IF(B89="","","Hola, "&amp;B89&amp;", muy buen día."&amp;CHAR(10)&amp;"Espero que esté teniendo una excelente semana. Le escribo para saber si tiene alguna duda sobre la oferta del *"&amp;D89&amp;"*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89" s="11">
        <f>IF(S89="","",HYPERLINK("https://wa.me/52"&amp;C89&amp;"?text="&amp;_xlfn.ENCODEURL(S89),"Enviar Seguimiento"))</f>
        <v/>
      </c>
      <c r="U89" s="10">
        <f>IF(B89="","",_xlfn.SWITCH(M89,"Apartado","Hola, "&amp;B89&amp;", buen día. Le confirmo que su apartado por el *"&amp;D89&amp;"* quedó registrado correctamente. Seguimos con el proceso y le mantendré informado(a) de cada paso.","Toma de vehículo","Hola, "&amp;B89&amp;", le comparto que estamos en el proceso de toma de su vehículo actual. En cuanto tengamos el resultado le aviso para continuar con el siguiente paso.","Pago vehículo a cuenta","Hola, "&amp;B89&amp;", quedamos en proceso de pago del vehículo que se toma a cuenta. Cualquier documento o aclaración que se requiera se lo haré saber por este medio.","Firma de contrato","Hola, "&amp;B89&amp;", ya estamos listos para agendar la firma de su contrato. ¿Qué día y hora se le facilita para realizarla?","Facturación","Hola, "&amp;B89&amp;", su unidad ya está en proceso de facturación. En breve le comparto los datos para su confirmación.","Programación de entrega","Hola, "&amp;B89&amp;", con gusto le comparto que ya podemos programar la entrega de su *"&amp;D89&amp;"*. ¿Qué día y hora le acomodan mejor?","Entregado","Hola, "&amp;B89&amp;", ¡muchas felicidades por estrenar su *"&amp;D89&amp;"*! Fue un gusto acompañarle en este proceso. Quedo pendiente de cualquier duda y con gusto le agendo su próxima cita de servicio cuando lo necesite.","Hola, "&amp;B89&amp;", seguimos en contacto para avanzar con el proceso de su próximo Toyota.")&amp;CHAR(10)&amp;CHAR(10)&amp;Config!$B$1)</f>
        <v/>
      </c>
      <c r="V89" s="11">
        <f>IF(U89="","",HYPERLINK("https://wa.me/52"&amp;C89&amp;"?text="&amp;_xlfn.ENCODEURL(U89),"Enviar aviso de etapa"))</f>
        <v/>
      </c>
      <c r="W89" s="10">
        <f>IF(OR(B89="",O89=""),"","Hola, "&amp;B89&amp;", ¡feliz cumpleaños! Le deseo un excelente día rodeado de quienes más quiere. Ha sido un placer acompañarle desde que estrenó su Toyota. ¡Un abrazo!"&amp;CHAR(10)&amp;CHAR(10)&amp;Config!$B$1)</f>
        <v/>
      </c>
      <c r="X89" s="11">
        <f>IF(W89="","",HYPERLINK("https://wa.me/52"&amp;C89&amp;"?text="&amp;_xlfn.ENCODEURL(W89),"Enviar felicitación"))</f>
        <v/>
      </c>
      <c r="Y89" s="10">
        <f>IF(OR(B89="",P89=""),"","Hola, "&amp;B89&amp;", hoy se cumple un año más desde que estrenó su *"&amp;D89&amp;"*. Espero que haya sido un gran compañero de camino. Cualquier cosa que necesite, aquí estoy para apoyarle."&amp;CHAR(10)&amp;CHAR(10)&amp;Config!$B$1)</f>
        <v/>
      </c>
      <c r="Z89" s="11">
        <f>IF(Y89="","",HYPERLINK("https://wa.me/52"&amp;C89&amp;"?text="&amp;_xlfn.ENCODEURL(Y89),"Enviar aniversario"))</f>
        <v/>
      </c>
      <c r="AA89" s="11" t="n"/>
      <c r="AB89" s="11">
        <f>IF(OR(B89="",AA89=""),"",HYPERLINK("https://wa.me/52"&amp;C89&amp;"?text="&amp;_xlfn.ENCODEURL(_xlfn.SWITCH(AA89,"Bienvenida (primera visita)",Q89,"Seguimiento",S89,"Aviso de Etapa",U89,"Requisitos",AC89,"Datos de Facturación",AD89,"Cumpleaños",W89,"Aniversario",Y89,"")),"Enviar mensaje seleccionado"))</f>
        <v/>
      </c>
      <c r="AC89" s="10">
        <f>IF(B89="","",_xlfn.SWITCH(F89&amp;"|"&amp;G89,"Crédito|Persona física","Hola, "&amp;B89&amp;", para continuar con el proceso de tu *"&amp;D89&amp;"* por "&amp;F89&amp;",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"&amp;B89&amp;", para continuar con el proceso de tu *"&amp;D89&amp;"* por "&amp;F89&amp;",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"&amp;B89&amp;", para continuar con el proceso de tu *"&amp;D89&amp;"* por "&amp;F89&amp;",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"&amp;B89&amp;", para continuar con el proceso de tu *"&amp;D89&amp;"* por "&amp;F89&amp;", estos son los documentos que necesitamos:"&amp;CHAR(10)&amp;CHAR(10)&amp;"- INE"&amp;CHAR(10)&amp;"- Comprobante de domicilio"&amp;CHAR(10)&amp;"- Constancia de situación fiscal (no mayor a 3 meses)","Contado|Persona física con actividad empresarial","Hola, "&amp;B89&amp;", para continuar con el proceso de tu *"&amp;D89&amp;"* por "&amp;F89&amp;", estos son los documentos que necesitamos:"&amp;CHAR(10)&amp;CHAR(10)&amp;"- INE"&amp;CHAR(10)&amp;"- Comprobante de domicilio"&amp;CHAR(10)&amp;"- Constancia de situación fiscal (no mayor a 3 meses)","Contado|Persona moral","Hola, "&amp;B89&amp;", para continuar con el proceso de tu *"&amp;D89&amp;"* por "&amp;F89&amp;",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89" s="10">
        <f>IFERROR(INDEX(Facturación!$Q:$Q,MATCH(B89,Facturación!$A:$A,0)),"")</f>
        <v/>
      </c>
    </row>
    <row r="90" ht="15" customHeight="1" s="1">
      <c r="A90" s="11">
        <f>IF(B90="","",ROW()-1)</f>
        <v/>
      </c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0">
        <f>IF(OR(B90="",L90&lt;&gt;"Sí"),"","Hola, "&amp;B90&amp;", excelente día. Le saluda *Alejandro Estrada* de Toyota Corregidora."&amp;CHAR(10)&amp;"Muchas gracias por visitarnos y conocer la *"&amp;D90&amp;"*.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90" s="11">
        <f>IF(Q90="","",HYPERLINK("https://wa.me/52"&amp;C90&amp;"?text="&amp;_xlfn.ENCODEURL(Q90),"Enviar Bienvenida"))</f>
        <v/>
      </c>
      <c r="S90" s="10">
        <f>IF(B90="","","Hola, "&amp;B90&amp;", muy buen día."&amp;CHAR(10)&amp;"Espero que esté teniendo una excelente semana. Le escribo para saber si tiene alguna duda sobre la oferta del *"&amp;D90&amp;"*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90" s="11">
        <f>IF(S90="","",HYPERLINK("https://wa.me/52"&amp;C90&amp;"?text="&amp;_xlfn.ENCODEURL(S90),"Enviar Seguimiento"))</f>
        <v/>
      </c>
      <c r="U90" s="10">
        <f>IF(B90="","",_xlfn.SWITCH(M90,"Apartado","Hola, "&amp;B90&amp;", buen día. Le confirmo que su apartado por el *"&amp;D90&amp;"* quedó registrado correctamente. Seguimos con el proceso y le mantendré informado(a) de cada paso.","Toma de vehículo","Hola, "&amp;B90&amp;", le comparto que estamos en el proceso de toma de su vehículo actual. En cuanto tengamos el resultado le aviso para continuar con el siguiente paso.","Pago vehículo a cuenta","Hola, "&amp;B90&amp;", quedamos en proceso de pago del vehículo que se toma a cuenta. Cualquier documento o aclaración que se requiera se lo haré saber por este medio.","Firma de contrato","Hola, "&amp;B90&amp;", ya estamos listos para agendar la firma de su contrato. ¿Qué día y hora se le facilita para realizarla?","Facturación","Hola, "&amp;B90&amp;", su unidad ya está en proceso de facturación. En breve le comparto los datos para su confirmación.","Programación de entrega","Hola, "&amp;B90&amp;", con gusto le comparto que ya podemos programar la entrega de su *"&amp;D90&amp;"*. ¿Qué día y hora le acomodan mejor?","Entregado","Hola, "&amp;B90&amp;", ¡muchas felicidades por estrenar su *"&amp;D90&amp;"*! Fue un gusto acompañarle en este proceso. Quedo pendiente de cualquier duda y con gusto le agendo su próxima cita de servicio cuando lo necesite.","Hola, "&amp;B90&amp;", seguimos en contacto para avanzar con el proceso de su próximo Toyota.")&amp;CHAR(10)&amp;CHAR(10)&amp;Config!$B$1)</f>
        <v/>
      </c>
      <c r="V90" s="11">
        <f>IF(U90="","",HYPERLINK("https://wa.me/52"&amp;C90&amp;"?text="&amp;_xlfn.ENCODEURL(U90),"Enviar aviso de etapa"))</f>
        <v/>
      </c>
      <c r="W90" s="10">
        <f>IF(OR(B90="",O90=""),"","Hola, "&amp;B90&amp;", ¡feliz cumpleaños! Le deseo un excelente día rodeado de quienes más quiere. Ha sido un placer acompañarle desde que estrenó su Toyota. ¡Un abrazo!"&amp;CHAR(10)&amp;CHAR(10)&amp;Config!$B$1)</f>
        <v/>
      </c>
      <c r="X90" s="11">
        <f>IF(W90="","",HYPERLINK("https://wa.me/52"&amp;C90&amp;"?text="&amp;_xlfn.ENCODEURL(W90),"Enviar felicitación"))</f>
        <v/>
      </c>
      <c r="Y90" s="10">
        <f>IF(OR(B90="",P90=""),"","Hola, "&amp;B90&amp;", hoy se cumple un año más desde que estrenó su *"&amp;D90&amp;"*. Espero que haya sido un gran compañero de camino. Cualquier cosa que necesite, aquí estoy para apoyarle."&amp;CHAR(10)&amp;CHAR(10)&amp;Config!$B$1)</f>
        <v/>
      </c>
      <c r="Z90" s="11">
        <f>IF(Y90="","",HYPERLINK("https://wa.me/52"&amp;C90&amp;"?text="&amp;_xlfn.ENCODEURL(Y90),"Enviar aniversario"))</f>
        <v/>
      </c>
      <c r="AA90" s="11" t="n"/>
      <c r="AB90" s="11">
        <f>IF(OR(B90="",AA90=""),"",HYPERLINK("https://wa.me/52"&amp;C90&amp;"?text="&amp;_xlfn.ENCODEURL(_xlfn.SWITCH(AA90,"Bienvenida (primera visita)",Q90,"Seguimiento",S90,"Aviso de Etapa",U90,"Requisitos",AC90,"Datos de Facturación",AD90,"Cumpleaños",W90,"Aniversario",Y90,"")),"Enviar mensaje seleccionado"))</f>
        <v/>
      </c>
      <c r="AC90" s="10">
        <f>IF(B90="","",_xlfn.SWITCH(F90&amp;"|"&amp;G90,"Crédito|Persona física","Hola, "&amp;B90&amp;", para continuar con el proceso de tu *"&amp;D90&amp;"* por "&amp;F90&amp;",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"&amp;B90&amp;", para continuar con el proceso de tu *"&amp;D90&amp;"* por "&amp;F90&amp;",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"&amp;B90&amp;", para continuar con el proceso de tu *"&amp;D90&amp;"* por "&amp;F90&amp;",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"&amp;B90&amp;", para continuar con el proceso de tu *"&amp;D90&amp;"* por "&amp;F90&amp;", estos son los documentos que necesitamos:"&amp;CHAR(10)&amp;CHAR(10)&amp;"- INE"&amp;CHAR(10)&amp;"- Comprobante de domicilio"&amp;CHAR(10)&amp;"- Constancia de situación fiscal (no mayor a 3 meses)","Contado|Persona física con actividad empresarial","Hola, "&amp;B90&amp;", para continuar con el proceso de tu *"&amp;D90&amp;"* por "&amp;F90&amp;", estos son los documentos que necesitamos:"&amp;CHAR(10)&amp;CHAR(10)&amp;"- INE"&amp;CHAR(10)&amp;"- Comprobante de domicilio"&amp;CHAR(10)&amp;"- Constancia de situación fiscal (no mayor a 3 meses)","Contado|Persona moral","Hola, "&amp;B90&amp;", para continuar con el proceso de tu *"&amp;D90&amp;"* por "&amp;F90&amp;",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90" s="10">
        <f>IFERROR(INDEX(Facturación!$Q:$Q,MATCH(B90,Facturación!$A:$A,0)),"")</f>
        <v/>
      </c>
    </row>
    <row r="91" ht="15" customHeight="1" s="1">
      <c r="A91" s="11">
        <f>IF(B91="","",ROW()-1)</f>
        <v/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0">
        <f>IF(OR(B91="",L91&lt;&gt;"Sí"),"","Hola, "&amp;B91&amp;", excelente día. Le saluda *Alejandro Estrada* de Toyota Corregidora."&amp;CHAR(10)&amp;"Muchas gracias por visitarnos y conocer la *"&amp;D91&amp;"*.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91" s="11">
        <f>IF(Q91="","",HYPERLINK("https://wa.me/52"&amp;C91&amp;"?text="&amp;_xlfn.ENCODEURL(Q91),"Enviar Bienvenida"))</f>
        <v/>
      </c>
      <c r="S91" s="10">
        <f>IF(B91="","","Hola, "&amp;B91&amp;", muy buen día."&amp;CHAR(10)&amp;"Espero que esté teniendo una excelente semana. Le escribo para saber si tiene alguna duda sobre la oferta del *"&amp;D91&amp;"*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91" s="11">
        <f>IF(S91="","",HYPERLINK("https://wa.me/52"&amp;C91&amp;"?text="&amp;_xlfn.ENCODEURL(S91),"Enviar Seguimiento"))</f>
        <v/>
      </c>
      <c r="U91" s="10">
        <f>IF(B91="","",_xlfn.SWITCH(M91,"Apartado","Hola, "&amp;B91&amp;", buen día. Le confirmo que su apartado por el *"&amp;D91&amp;"* quedó registrado correctamente. Seguimos con el proceso y le mantendré informado(a) de cada paso.","Toma de vehículo","Hola, "&amp;B91&amp;", le comparto que estamos en el proceso de toma de su vehículo actual. En cuanto tengamos el resultado le aviso para continuar con el siguiente paso.","Pago vehículo a cuenta","Hola, "&amp;B91&amp;", quedamos en proceso de pago del vehículo que se toma a cuenta. Cualquier documento o aclaración que se requiera se lo haré saber por este medio.","Firma de contrato","Hola, "&amp;B91&amp;", ya estamos listos para agendar la firma de su contrato. ¿Qué día y hora se le facilita para realizarla?","Facturación","Hola, "&amp;B91&amp;", su unidad ya está en proceso de facturación. En breve le comparto los datos para su confirmación.","Programación de entrega","Hola, "&amp;B91&amp;", con gusto le comparto que ya podemos programar la entrega de su *"&amp;D91&amp;"*. ¿Qué día y hora le acomodan mejor?","Entregado","Hola, "&amp;B91&amp;", ¡muchas felicidades por estrenar su *"&amp;D91&amp;"*! Fue un gusto acompañarle en este proceso. Quedo pendiente de cualquier duda y con gusto le agendo su próxima cita de servicio cuando lo necesite.","Hola, "&amp;B91&amp;", seguimos en contacto para avanzar con el proceso de su próximo Toyota.")&amp;CHAR(10)&amp;CHAR(10)&amp;Config!$B$1)</f>
        <v/>
      </c>
      <c r="V91" s="11">
        <f>IF(U91="","",HYPERLINK("https://wa.me/52"&amp;C91&amp;"?text="&amp;_xlfn.ENCODEURL(U91),"Enviar aviso de etapa"))</f>
        <v/>
      </c>
      <c r="W91" s="10">
        <f>IF(OR(B91="",O91=""),"","Hola, "&amp;B91&amp;", ¡feliz cumpleaños! Le deseo un excelente día rodeado de quienes más quiere. Ha sido un placer acompañarle desde que estrenó su Toyota. ¡Un abrazo!"&amp;CHAR(10)&amp;CHAR(10)&amp;Config!$B$1)</f>
        <v/>
      </c>
      <c r="X91" s="11">
        <f>IF(W91="","",HYPERLINK("https://wa.me/52"&amp;C91&amp;"?text="&amp;_xlfn.ENCODEURL(W91),"Enviar felicitación"))</f>
        <v/>
      </c>
      <c r="Y91" s="10">
        <f>IF(OR(B91="",P91=""),"","Hola, "&amp;B91&amp;", hoy se cumple un año más desde que estrenó su *"&amp;D91&amp;"*. Espero que haya sido un gran compañero de camino. Cualquier cosa que necesite, aquí estoy para apoyarle."&amp;CHAR(10)&amp;CHAR(10)&amp;Config!$B$1)</f>
        <v/>
      </c>
      <c r="Z91" s="11">
        <f>IF(Y91="","",HYPERLINK("https://wa.me/52"&amp;C91&amp;"?text="&amp;_xlfn.ENCODEURL(Y91),"Enviar aniversario"))</f>
        <v/>
      </c>
      <c r="AA91" s="11" t="n"/>
      <c r="AB91" s="11">
        <f>IF(OR(B91="",AA91=""),"",HYPERLINK("https://wa.me/52"&amp;C91&amp;"?text="&amp;_xlfn.ENCODEURL(_xlfn.SWITCH(AA91,"Bienvenida (primera visita)",Q91,"Seguimiento",S91,"Aviso de Etapa",U91,"Requisitos",AC91,"Datos de Facturación",AD91,"Cumpleaños",W91,"Aniversario",Y91,"")),"Enviar mensaje seleccionado"))</f>
        <v/>
      </c>
      <c r="AC91" s="10">
        <f>IF(B91="","",_xlfn.SWITCH(F91&amp;"|"&amp;G91,"Crédito|Persona física","Hola, "&amp;B91&amp;", para continuar con el proceso de tu *"&amp;D91&amp;"* por "&amp;F91&amp;",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"&amp;B91&amp;", para continuar con el proceso de tu *"&amp;D91&amp;"* por "&amp;F91&amp;",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"&amp;B91&amp;", para continuar con el proceso de tu *"&amp;D91&amp;"* por "&amp;F91&amp;",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"&amp;B91&amp;", para continuar con el proceso de tu *"&amp;D91&amp;"* por "&amp;F91&amp;", estos son los documentos que necesitamos:"&amp;CHAR(10)&amp;CHAR(10)&amp;"- INE"&amp;CHAR(10)&amp;"- Comprobante de domicilio"&amp;CHAR(10)&amp;"- Constancia de situación fiscal (no mayor a 3 meses)","Contado|Persona física con actividad empresarial","Hola, "&amp;B91&amp;", para continuar con el proceso de tu *"&amp;D91&amp;"* por "&amp;F91&amp;", estos son los documentos que necesitamos:"&amp;CHAR(10)&amp;CHAR(10)&amp;"- INE"&amp;CHAR(10)&amp;"- Comprobante de domicilio"&amp;CHAR(10)&amp;"- Constancia de situación fiscal (no mayor a 3 meses)","Contado|Persona moral","Hola, "&amp;B91&amp;", para continuar con el proceso de tu *"&amp;D91&amp;"* por "&amp;F91&amp;",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91" s="10">
        <f>IFERROR(INDEX(Facturación!$Q:$Q,MATCH(B91,Facturación!$A:$A,0)),"")</f>
        <v/>
      </c>
    </row>
    <row r="92" ht="15" customHeight="1" s="1">
      <c r="A92" s="11">
        <f>IF(B92="","",ROW()-1)</f>
        <v/>
      </c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0">
        <f>IF(OR(B92="",L92&lt;&gt;"Sí"),"","Hola, "&amp;B92&amp;", excelente día. Le saluda *Alejandro Estrada* de Toyota Corregidora."&amp;CHAR(10)&amp;"Muchas gracias por visitarnos y conocer la *"&amp;D92&amp;"*.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92" s="11">
        <f>IF(Q92="","",HYPERLINK("https://wa.me/52"&amp;C92&amp;"?text="&amp;_xlfn.ENCODEURL(Q92),"Enviar Bienvenida"))</f>
        <v/>
      </c>
      <c r="S92" s="10">
        <f>IF(B92="","","Hola, "&amp;B92&amp;", muy buen día."&amp;CHAR(10)&amp;"Espero que esté teniendo una excelente semana. Le escribo para saber si tiene alguna duda sobre la oferta del *"&amp;D92&amp;"*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92" s="11">
        <f>IF(S92="","",HYPERLINK("https://wa.me/52"&amp;C92&amp;"?text="&amp;_xlfn.ENCODEURL(S92),"Enviar Seguimiento"))</f>
        <v/>
      </c>
      <c r="U92" s="10">
        <f>IF(B92="","",_xlfn.SWITCH(M92,"Apartado","Hola, "&amp;B92&amp;", buen día. Le confirmo que su apartado por el *"&amp;D92&amp;"* quedó registrado correctamente. Seguimos con el proceso y le mantendré informado(a) de cada paso.","Toma de vehículo","Hola, "&amp;B92&amp;", le comparto que estamos en el proceso de toma de su vehículo actual. En cuanto tengamos el resultado le aviso para continuar con el siguiente paso.","Pago vehículo a cuenta","Hola, "&amp;B92&amp;", quedamos en proceso de pago del vehículo que se toma a cuenta. Cualquier documento o aclaración que se requiera se lo haré saber por este medio.","Firma de contrato","Hola, "&amp;B92&amp;", ya estamos listos para agendar la firma de su contrato. ¿Qué día y hora se le facilita para realizarla?","Facturación","Hola, "&amp;B92&amp;", su unidad ya está en proceso de facturación. En breve le comparto los datos para su confirmación.","Programación de entrega","Hola, "&amp;B92&amp;", con gusto le comparto que ya podemos programar la entrega de su *"&amp;D92&amp;"*. ¿Qué día y hora le acomodan mejor?","Entregado","Hola, "&amp;B92&amp;", ¡muchas felicidades por estrenar su *"&amp;D92&amp;"*! Fue un gusto acompañarle en este proceso. Quedo pendiente de cualquier duda y con gusto le agendo su próxima cita de servicio cuando lo necesite.","Hola, "&amp;B92&amp;", seguimos en contacto para avanzar con el proceso de su próximo Toyota.")&amp;CHAR(10)&amp;CHAR(10)&amp;Config!$B$1)</f>
        <v/>
      </c>
      <c r="V92" s="11">
        <f>IF(U92="","",HYPERLINK("https://wa.me/52"&amp;C92&amp;"?text="&amp;_xlfn.ENCODEURL(U92),"Enviar aviso de etapa"))</f>
        <v/>
      </c>
      <c r="W92" s="10">
        <f>IF(OR(B92="",O92=""),"","Hola, "&amp;B92&amp;", ¡feliz cumpleaños! Le deseo un excelente día rodeado de quienes más quiere. Ha sido un placer acompañarle desde que estrenó su Toyota. ¡Un abrazo!"&amp;CHAR(10)&amp;CHAR(10)&amp;Config!$B$1)</f>
        <v/>
      </c>
      <c r="X92" s="11">
        <f>IF(W92="","",HYPERLINK("https://wa.me/52"&amp;C92&amp;"?text="&amp;_xlfn.ENCODEURL(W92),"Enviar felicitación"))</f>
        <v/>
      </c>
      <c r="Y92" s="10">
        <f>IF(OR(B92="",P92=""),"","Hola, "&amp;B92&amp;", hoy se cumple un año más desde que estrenó su *"&amp;D92&amp;"*. Espero que haya sido un gran compañero de camino. Cualquier cosa que necesite, aquí estoy para apoyarle."&amp;CHAR(10)&amp;CHAR(10)&amp;Config!$B$1)</f>
        <v/>
      </c>
      <c r="Z92" s="11">
        <f>IF(Y92="","",HYPERLINK("https://wa.me/52"&amp;C92&amp;"?text="&amp;_xlfn.ENCODEURL(Y92),"Enviar aniversario"))</f>
        <v/>
      </c>
      <c r="AA92" s="11" t="n"/>
      <c r="AB92" s="11">
        <f>IF(OR(B92="",AA92=""),"",HYPERLINK("https://wa.me/52"&amp;C92&amp;"?text="&amp;_xlfn.ENCODEURL(_xlfn.SWITCH(AA92,"Bienvenida (primera visita)",Q92,"Seguimiento",S92,"Aviso de Etapa",U92,"Requisitos",AC92,"Datos de Facturación",AD92,"Cumpleaños",W92,"Aniversario",Y92,"")),"Enviar mensaje seleccionado"))</f>
        <v/>
      </c>
      <c r="AC92" s="10">
        <f>IF(B92="","",_xlfn.SWITCH(F92&amp;"|"&amp;G92,"Crédito|Persona física","Hola, "&amp;B92&amp;", para continuar con el proceso de tu *"&amp;D92&amp;"* por "&amp;F92&amp;",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"&amp;B92&amp;", para continuar con el proceso de tu *"&amp;D92&amp;"* por "&amp;F92&amp;",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"&amp;B92&amp;", para continuar con el proceso de tu *"&amp;D92&amp;"* por "&amp;F92&amp;",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"&amp;B92&amp;", para continuar con el proceso de tu *"&amp;D92&amp;"* por "&amp;F92&amp;", estos son los documentos que necesitamos:"&amp;CHAR(10)&amp;CHAR(10)&amp;"- INE"&amp;CHAR(10)&amp;"- Comprobante de domicilio"&amp;CHAR(10)&amp;"- Constancia de situación fiscal (no mayor a 3 meses)","Contado|Persona física con actividad empresarial","Hola, "&amp;B92&amp;", para continuar con el proceso de tu *"&amp;D92&amp;"* por "&amp;F92&amp;", estos son los documentos que necesitamos:"&amp;CHAR(10)&amp;CHAR(10)&amp;"- INE"&amp;CHAR(10)&amp;"- Comprobante de domicilio"&amp;CHAR(10)&amp;"- Constancia de situación fiscal (no mayor a 3 meses)","Contado|Persona moral","Hola, "&amp;B92&amp;", para continuar con el proceso de tu *"&amp;D92&amp;"* por "&amp;F92&amp;",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92" s="10">
        <f>IFERROR(INDEX(Facturación!$Q:$Q,MATCH(B92,Facturación!$A:$A,0)),"")</f>
        <v/>
      </c>
    </row>
    <row r="93" ht="15" customHeight="1" s="1">
      <c r="A93" s="11">
        <f>IF(B93="","",ROW()-1)</f>
        <v/>
      </c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0">
        <f>IF(OR(B93="",L93&lt;&gt;"Sí"),"","Hola, "&amp;B93&amp;", excelente día. Le saluda *Alejandro Estrada* de Toyota Corregidora."&amp;CHAR(10)&amp;"Muchas gracias por visitarnos y conocer la *"&amp;D93&amp;"*.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93" s="11">
        <f>IF(Q93="","",HYPERLINK("https://wa.me/52"&amp;C93&amp;"?text="&amp;_xlfn.ENCODEURL(Q93),"Enviar Bienvenida"))</f>
        <v/>
      </c>
      <c r="S93" s="10">
        <f>IF(B93="","","Hola, "&amp;B93&amp;", muy buen día."&amp;CHAR(10)&amp;"Espero que esté teniendo una excelente semana. Le escribo para saber si tiene alguna duda sobre la oferta del *"&amp;D93&amp;"*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93" s="11">
        <f>IF(S93="","",HYPERLINK("https://wa.me/52"&amp;C93&amp;"?text="&amp;_xlfn.ENCODEURL(S93),"Enviar Seguimiento"))</f>
        <v/>
      </c>
      <c r="U93" s="10">
        <f>IF(B93="","",_xlfn.SWITCH(M93,"Apartado","Hola, "&amp;B93&amp;", buen día. Le confirmo que su apartado por el *"&amp;D93&amp;"* quedó registrado correctamente. Seguimos con el proceso y le mantendré informado(a) de cada paso.","Toma de vehículo","Hola, "&amp;B93&amp;", le comparto que estamos en el proceso de toma de su vehículo actual. En cuanto tengamos el resultado le aviso para continuar con el siguiente paso.","Pago vehículo a cuenta","Hola, "&amp;B93&amp;", quedamos en proceso de pago del vehículo que se toma a cuenta. Cualquier documento o aclaración que se requiera se lo haré saber por este medio.","Firma de contrato","Hola, "&amp;B93&amp;", ya estamos listos para agendar la firma de su contrato. ¿Qué día y hora se le facilita para realizarla?","Facturación","Hola, "&amp;B93&amp;", su unidad ya está en proceso de facturación. En breve le comparto los datos para su confirmación.","Programación de entrega","Hola, "&amp;B93&amp;", con gusto le comparto que ya podemos programar la entrega de su *"&amp;D93&amp;"*. ¿Qué día y hora le acomodan mejor?","Entregado","Hola, "&amp;B93&amp;", ¡muchas felicidades por estrenar su *"&amp;D93&amp;"*! Fue un gusto acompañarle en este proceso. Quedo pendiente de cualquier duda y con gusto le agendo su próxima cita de servicio cuando lo necesite.","Hola, "&amp;B93&amp;", seguimos en contacto para avanzar con el proceso de su próximo Toyota.")&amp;CHAR(10)&amp;CHAR(10)&amp;Config!$B$1)</f>
        <v/>
      </c>
      <c r="V93" s="11">
        <f>IF(U93="","",HYPERLINK("https://wa.me/52"&amp;C93&amp;"?text="&amp;_xlfn.ENCODEURL(U93),"Enviar aviso de etapa"))</f>
        <v/>
      </c>
      <c r="W93" s="10">
        <f>IF(OR(B93="",O93=""),"","Hola, "&amp;B93&amp;", ¡feliz cumpleaños! Le deseo un excelente día rodeado de quienes más quiere. Ha sido un placer acompañarle desde que estrenó su Toyota. ¡Un abrazo!"&amp;CHAR(10)&amp;CHAR(10)&amp;Config!$B$1)</f>
        <v/>
      </c>
      <c r="X93" s="11">
        <f>IF(W93="","",HYPERLINK("https://wa.me/52"&amp;C93&amp;"?text="&amp;_xlfn.ENCODEURL(W93),"Enviar felicitación"))</f>
        <v/>
      </c>
      <c r="Y93" s="10">
        <f>IF(OR(B93="",P93=""),"","Hola, "&amp;B93&amp;", hoy se cumple un año más desde que estrenó su *"&amp;D93&amp;"*. Espero que haya sido un gran compañero de camino. Cualquier cosa que necesite, aquí estoy para apoyarle."&amp;CHAR(10)&amp;CHAR(10)&amp;Config!$B$1)</f>
        <v/>
      </c>
      <c r="Z93" s="11">
        <f>IF(Y93="","",HYPERLINK("https://wa.me/52"&amp;C93&amp;"?text="&amp;_xlfn.ENCODEURL(Y93),"Enviar aniversario"))</f>
        <v/>
      </c>
      <c r="AA93" s="11" t="n"/>
      <c r="AB93" s="11">
        <f>IF(OR(B93="",AA93=""),"",HYPERLINK("https://wa.me/52"&amp;C93&amp;"?text="&amp;_xlfn.ENCODEURL(_xlfn.SWITCH(AA93,"Bienvenida (primera visita)",Q93,"Seguimiento",S93,"Aviso de Etapa",U93,"Requisitos",AC93,"Datos de Facturación",AD93,"Cumpleaños",W93,"Aniversario",Y93,"")),"Enviar mensaje seleccionado"))</f>
        <v/>
      </c>
      <c r="AC93" s="10">
        <f>IF(B93="","",_xlfn.SWITCH(F93&amp;"|"&amp;G93,"Crédito|Persona física","Hola, "&amp;B93&amp;", para continuar con el proceso de tu *"&amp;D93&amp;"* por "&amp;F93&amp;",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"&amp;B93&amp;", para continuar con el proceso de tu *"&amp;D93&amp;"* por "&amp;F93&amp;",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"&amp;B93&amp;", para continuar con el proceso de tu *"&amp;D93&amp;"* por "&amp;F93&amp;",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"&amp;B93&amp;", para continuar con el proceso de tu *"&amp;D93&amp;"* por "&amp;F93&amp;", estos son los documentos que necesitamos:"&amp;CHAR(10)&amp;CHAR(10)&amp;"- INE"&amp;CHAR(10)&amp;"- Comprobante de domicilio"&amp;CHAR(10)&amp;"- Constancia de situación fiscal (no mayor a 3 meses)","Contado|Persona física con actividad empresarial","Hola, "&amp;B93&amp;", para continuar con el proceso de tu *"&amp;D93&amp;"* por "&amp;F93&amp;", estos son los documentos que necesitamos:"&amp;CHAR(10)&amp;CHAR(10)&amp;"- INE"&amp;CHAR(10)&amp;"- Comprobante de domicilio"&amp;CHAR(10)&amp;"- Constancia de situación fiscal (no mayor a 3 meses)","Contado|Persona moral","Hola, "&amp;B93&amp;", para continuar con el proceso de tu *"&amp;D93&amp;"* por "&amp;F93&amp;",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93" s="10">
        <f>IFERROR(INDEX(Facturación!$Q:$Q,MATCH(B93,Facturación!$A:$A,0)),"")</f>
        <v/>
      </c>
    </row>
    <row r="94" ht="15" customHeight="1" s="1">
      <c r="A94" s="11">
        <f>IF(B94="","",ROW()-1)</f>
        <v/>
      </c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0">
        <f>IF(OR(B94="",L94&lt;&gt;"Sí"),"","Hola, "&amp;B94&amp;", excelente día. Le saluda *Alejandro Estrada* de Toyota Corregidora."&amp;CHAR(10)&amp;"Muchas gracias por visitarnos y conocer la *"&amp;D94&amp;"*.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94" s="11">
        <f>IF(Q94="","",HYPERLINK("https://wa.me/52"&amp;C94&amp;"?text="&amp;_xlfn.ENCODEURL(Q94),"Enviar Bienvenida"))</f>
        <v/>
      </c>
      <c r="S94" s="10">
        <f>IF(B94="","","Hola, "&amp;B94&amp;", muy buen día."&amp;CHAR(10)&amp;"Espero que esté teniendo una excelente semana. Le escribo para saber si tiene alguna duda sobre la oferta del *"&amp;D94&amp;"*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94" s="11">
        <f>IF(S94="","",HYPERLINK("https://wa.me/52"&amp;C94&amp;"?text="&amp;_xlfn.ENCODEURL(S94),"Enviar Seguimiento"))</f>
        <v/>
      </c>
      <c r="U94" s="10">
        <f>IF(B94="","",_xlfn.SWITCH(M94,"Apartado","Hola, "&amp;B94&amp;", buen día. Le confirmo que su apartado por el *"&amp;D94&amp;"* quedó registrado correctamente. Seguimos con el proceso y le mantendré informado(a) de cada paso.","Toma de vehículo","Hola, "&amp;B94&amp;", le comparto que estamos en el proceso de toma de su vehículo actual. En cuanto tengamos el resultado le aviso para continuar con el siguiente paso.","Pago vehículo a cuenta","Hola, "&amp;B94&amp;", quedamos en proceso de pago del vehículo que se toma a cuenta. Cualquier documento o aclaración que se requiera se lo haré saber por este medio.","Firma de contrato","Hola, "&amp;B94&amp;", ya estamos listos para agendar la firma de su contrato. ¿Qué día y hora se le facilita para realizarla?","Facturación","Hola, "&amp;B94&amp;", su unidad ya está en proceso de facturación. En breve le comparto los datos para su confirmación.","Programación de entrega","Hola, "&amp;B94&amp;", con gusto le comparto que ya podemos programar la entrega de su *"&amp;D94&amp;"*. ¿Qué día y hora le acomodan mejor?","Entregado","Hola, "&amp;B94&amp;", ¡muchas felicidades por estrenar su *"&amp;D94&amp;"*! Fue un gusto acompañarle en este proceso. Quedo pendiente de cualquier duda y con gusto le agendo su próxima cita de servicio cuando lo necesite.","Hola, "&amp;B94&amp;", seguimos en contacto para avanzar con el proceso de su próximo Toyota.")&amp;CHAR(10)&amp;CHAR(10)&amp;Config!$B$1)</f>
        <v/>
      </c>
      <c r="V94" s="11">
        <f>IF(U94="","",HYPERLINK("https://wa.me/52"&amp;C94&amp;"?text="&amp;_xlfn.ENCODEURL(U94),"Enviar aviso de etapa"))</f>
        <v/>
      </c>
      <c r="W94" s="10">
        <f>IF(OR(B94="",O94=""),"","Hola, "&amp;B94&amp;", ¡feliz cumpleaños! Le deseo un excelente día rodeado de quienes más quiere. Ha sido un placer acompañarle desde que estrenó su Toyota. ¡Un abrazo!"&amp;CHAR(10)&amp;CHAR(10)&amp;Config!$B$1)</f>
        <v/>
      </c>
      <c r="X94" s="11">
        <f>IF(W94="","",HYPERLINK("https://wa.me/52"&amp;C94&amp;"?text="&amp;_xlfn.ENCODEURL(W94),"Enviar felicitación"))</f>
        <v/>
      </c>
      <c r="Y94" s="10">
        <f>IF(OR(B94="",P94=""),"","Hola, "&amp;B94&amp;", hoy se cumple un año más desde que estrenó su *"&amp;D94&amp;"*. Espero que haya sido un gran compañero de camino. Cualquier cosa que necesite, aquí estoy para apoyarle."&amp;CHAR(10)&amp;CHAR(10)&amp;Config!$B$1)</f>
        <v/>
      </c>
      <c r="Z94" s="11">
        <f>IF(Y94="","",HYPERLINK("https://wa.me/52"&amp;C94&amp;"?text="&amp;_xlfn.ENCODEURL(Y94),"Enviar aniversario"))</f>
        <v/>
      </c>
      <c r="AA94" s="11" t="n"/>
      <c r="AB94" s="11">
        <f>IF(OR(B94="",AA94=""),"",HYPERLINK("https://wa.me/52"&amp;C94&amp;"?text="&amp;_xlfn.ENCODEURL(_xlfn.SWITCH(AA94,"Bienvenida (primera visita)",Q94,"Seguimiento",S94,"Aviso de Etapa",U94,"Requisitos",AC94,"Datos de Facturación",AD94,"Cumpleaños",W94,"Aniversario",Y94,"")),"Enviar mensaje seleccionado"))</f>
        <v/>
      </c>
      <c r="AC94" s="10">
        <f>IF(B94="","",_xlfn.SWITCH(F94&amp;"|"&amp;G94,"Crédito|Persona física","Hola, "&amp;B94&amp;", para continuar con el proceso de tu *"&amp;D94&amp;"* por "&amp;F94&amp;",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"&amp;B94&amp;", para continuar con el proceso de tu *"&amp;D94&amp;"* por "&amp;F94&amp;",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"&amp;B94&amp;", para continuar con el proceso de tu *"&amp;D94&amp;"* por "&amp;F94&amp;",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"&amp;B94&amp;", para continuar con el proceso de tu *"&amp;D94&amp;"* por "&amp;F94&amp;", estos son los documentos que necesitamos:"&amp;CHAR(10)&amp;CHAR(10)&amp;"- INE"&amp;CHAR(10)&amp;"- Comprobante de domicilio"&amp;CHAR(10)&amp;"- Constancia de situación fiscal (no mayor a 3 meses)","Contado|Persona física con actividad empresarial","Hola, "&amp;B94&amp;", para continuar con el proceso de tu *"&amp;D94&amp;"* por "&amp;F94&amp;", estos son los documentos que necesitamos:"&amp;CHAR(10)&amp;CHAR(10)&amp;"- INE"&amp;CHAR(10)&amp;"- Comprobante de domicilio"&amp;CHAR(10)&amp;"- Constancia de situación fiscal (no mayor a 3 meses)","Contado|Persona moral","Hola, "&amp;B94&amp;", para continuar con el proceso de tu *"&amp;D94&amp;"* por "&amp;F94&amp;",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94" s="10">
        <f>IFERROR(INDEX(Facturación!$Q:$Q,MATCH(B94,Facturación!$A:$A,0)),"")</f>
        <v/>
      </c>
    </row>
    <row r="95" ht="15" customHeight="1" s="1">
      <c r="A95" s="11">
        <f>IF(B95="","",ROW()-1)</f>
        <v/>
      </c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0">
        <f>IF(OR(B95="",L95&lt;&gt;"Sí"),"","Hola, "&amp;B95&amp;", excelente día. Le saluda *Alejandro Estrada* de Toyota Corregidora."&amp;CHAR(10)&amp;"Muchas gracias por visitarnos y conocer la *"&amp;D95&amp;"*.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95" s="11">
        <f>IF(Q95="","",HYPERLINK("https://wa.me/52"&amp;C95&amp;"?text="&amp;_xlfn.ENCODEURL(Q95),"Enviar Bienvenida"))</f>
        <v/>
      </c>
      <c r="S95" s="10">
        <f>IF(B95="","","Hola, "&amp;B95&amp;", muy buen día."&amp;CHAR(10)&amp;"Espero que esté teniendo una excelente semana. Le escribo para saber si tiene alguna duda sobre la oferta del *"&amp;D95&amp;"*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95" s="11">
        <f>IF(S95="","",HYPERLINK("https://wa.me/52"&amp;C95&amp;"?text="&amp;_xlfn.ENCODEURL(S95),"Enviar Seguimiento"))</f>
        <v/>
      </c>
      <c r="U95" s="10">
        <f>IF(B95="","",_xlfn.SWITCH(M95,"Apartado","Hola, "&amp;B95&amp;", buen día. Le confirmo que su apartado por el *"&amp;D95&amp;"* quedó registrado correctamente. Seguimos con el proceso y le mantendré informado(a) de cada paso.","Toma de vehículo","Hola, "&amp;B95&amp;", le comparto que estamos en el proceso de toma de su vehículo actual. En cuanto tengamos el resultado le aviso para continuar con el siguiente paso.","Pago vehículo a cuenta","Hola, "&amp;B95&amp;", quedamos en proceso de pago del vehículo que se toma a cuenta. Cualquier documento o aclaración que se requiera se lo haré saber por este medio.","Firma de contrato","Hola, "&amp;B95&amp;", ya estamos listos para agendar la firma de su contrato. ¿Qué día y hora se le facilita para realizarla?","Facturación","Hola, "&amp;B95&amp;", su unidad ya está en proceso de facturación. En breve le comparto los datos para su confirmación.","Programación de entrega","Hola, "&amp;B95&amp;", con gusto le comparto que ya podemos programar la entrega de su *"&amp;D95&amp;"*. ¿Qué día y hora le acomodan mejor?","Entregado","Hola, "&amp;B95&amp;", ¡muchas felicidades por estrenar su *"&amp;D95&amp;"*! Fue un gusto acompañarle en este proceso. Quedo pendiente de cualquier duda y con gusto le agendo su próxima cita de servicio cuando lo necesite.","Hola, "&amp;B95&amp;", seguimos en contacto para avanzar con el proceso de su próximo Toyota.")&amp;CHAR(10)&amp;CHAR(10)&amp;Config!$B$1)</f>
        <v/>
      </c>
      <c r="V95" s="11">
        <f>IF(U95="","",HYPERLINK("https://wa.me/52"&amp;C95&amp;"?text="&amp;_xlfn.ENCODEURL(U95),"Enviar aviso de etapa"))</f>
        <v/>
      </c>
      <c r="W95" s="10">
        <f>IF(OR(B95="",O95=""),"","Hola, "&amp;B95&amp;", ¡feliz cumpleaños! Le deseo un excelente día rodeado de quienes más quiere. Ha sido un placer acompañarle desde que estrenó su Toyota. ¡Un abrazo!"&amp;CHAR(10)&amp;CHAR(10)&amp;Config!$B$1)</f>
        <v/>
      </c>
      <c r="X95" s="11">
        <f>IF(W95="","",HYPERLINK("https://wa.me/52"&amp;C95&amp;"?text="&amp;_xlfn.ENCODEURL(W95),"Enviar felicitación"))</f>
        <v/>
      </c>
      <c r="Y95" s="10">
        <f>IF(OR(B95="",P95=""),"","Hola, "&amp;B95&amp;", hoy se cumple un año más desde que estrenó su *"&amp;D95&amp;"*. Espero que haya sido un gran compañero de camino. Cualquier cosa que necesite, aquí estoy para apoyarle."&amp;CHAR(10)&amp;CHAR(10)&amp;Config!$B$1)</f>
        <v/>
      </c>
      <c r="Z95" s="11">
        <f>IF(Y95="","",HYPERLINK("https://wa.me/52"&amp;C95&amp;"?text="&amp;_xlfn.ENCODEURL(Y95),"Enviar aniversario"))</f>
        <v/>
      </c>
      <c r="AA95" s="11" t="n"/>
      <c r="AB95" s="11">
        <f>IF(OR(B95="",AA95=""),"",HYPERLINK("https://wa.me/52"&amp;C95&amp;"?text="&amp;_xlfn.ENCODEURL(_xlfn.SWITCH(AA95,"Bienvenida (primera visita)",Q95,"Seguimiento",S95,"Aviso de Etapa",U95,"Requisitos",AC95,"Datos de Facturación",AD95,"Cumpleaños",W95,"Aniversario",Y95,"")),"Enviar mensaje seleccionado"))</f>
        <v/>
      </c>
      <c r="AC95" s="10">
        <f>IF(B95="","",_xlfn.SWITCH(F95&amp;"|"&amp;G95,"Crédito|Persona física","Hola, "&amp;B95&amp;", para continuar con el proceso de tu *"&amp;D95&amp;"* por "&amp;F95&amp;",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"&amp;B95&amp;", para continuar con el proceso de tu *"&amp;D95&amp;"* por "&amp;F95&amp;",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"&amp;B95&amp;", para continuar con el proceso de tu *"&amp;D95&amp;"* por "&amp;F95&amp;",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"&amp;B95&amp;", para continuar con el proceso de tu *"&amp;D95&amp;"* por "&amp;F95&amp;", estos son los documentos que necesitamos:"&amp;CHAR(10)&amp;CHAR(10)&amp;"- INE"&amp;CHAR(10)&amp;"- Comprobante de domicilio"&amp;CHAR(10)&amp;"- Constancia de situación fiscal (no mayor a 3 meses)","Contado|Persona física con actividad empresarial","Hola, "&amp;B95&amp;", para continuar con el proceso de tu *"&amp;D95&amp;"* por "&amp;F95&amp;", estos son los documentos que necesitamos:"&amp;CHAR(10)&amp;CHAR(10)&amp;"- INE"&amp;CHAR(10)&amp;"- Comprobante de domicilio"&amp;CHAR(10)&amp;"- Constancia de situación fiscal (no mayor a 3 meses)","Contado|Persona moral","Hola, "&amp;B95&amp;", para continuar con el proceso de tu *"&amp;D95&amp;"* por "&amp;F95&amp;",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95" s="10">
        <f>IFERROR(INDEX(Facturación!$Q:$Q,MATCH(B95,Facturación!$A:$A,0)),"")</f>
        <v/>
      </c>
    </row>
    <row r="96" ht="15" customHeight="1" s="1">
      <c r="A96" s="11">
        <f>IF(B96="","",ROW()-1)</f>
        <v/>
      </c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0">
        <f>IF(OR(B96="",L96&lt;&gt;"Sí"),"","Hola, "&amp;B96&amp;", excelente día. Le saluda *Alejandro Estrada* de Toyota Corregidora."&amp;CHAR(10)&amp;"Muchas gracias por visitarnos y conocer la *"&amp;D96&amp;"*.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96" s="11">
        <f>IF(Q96="","",HYPERLINK("https://wa.me/52"&amp;C96&amp;"?text="&amp;_xlfn.ENCODEURL(Q96),"Enviar Bienvenida"))</f>
        <v/>
      </c>
      <c r="S96" s="10">
        <f>IF(B96="","","Hola, "&amp;B96&amp;", muy buen día."&amp;CHAR(10)&amp;"Espero que esté teniendo una excelente semana. Le escribo para saber si tiene alguna duda sobre la oferta del *"&amp;D96&amp;"*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96" s="11">
        <f>IF(S96="","",HYPERLINK("https://wa.me/52"&amp;C96&amp;"?text="&amp;_xlfn.ENCODEURL(S96),"Enviar Seguimiento"))</f>
        <v/>
      </c>
      <c r="U96" s="10">
        <f>IF(B96="","",_xlfn.SWITCH(M96,"Apartado","Hola, "&amp;B96&amp;", buen día. Le confirmo que su apartado por el *"&amp;D96&amp;"* quedó registrado correctamente. Seguimos con el proceso y le mantendré informado(a) de cada paso.","Toma de vehículo","Hola, "&amp;B96&amp;", le comparto que estamos en el proceso de toma de su vehículo actual. En cuanto tengamos el resultado le aviso para continuar con el siguiente paso.","Pago vehículo a cuenta","Hola, "&amp;B96&amp;", quedamos en proceso de pago del vehículo que se toma a cuenta. Cualquier documento o aclaración que se requiera se lo haré saber por este medio.","Firma de contrato","Hola, "&amp;B96&amp;", ya estamos listos para agendar la firma de su contrato. ¿Qué día y hora se le facilita para realizarla?","Facturación","Hola, "&amp;B96&amp;", su unidad ya está en proceso de facturación. En breve le comparto los datos para su confirmación.","Programación de entrega","Hola, "&amp;B96&amp;", con gusto le comparto que ya podemos programar la entrega de su *"&amp;D96&amp;"*. ¿Qué día y hora le acomodan mejor?","Entregado","Hola, "&amp;B96&amp;", ¡muchas felicidades por estrenar su *"&amp;D96&amp;"*! Fue un gusto acompañarle en este proceso. Quedo pendiente de cualquier duda y con gusto le agendo su próxima cita de servicio cuando lo necesite.","Hola, "&amp;B96&amp;", seguimos en contacto para avanzar con el proceso de su próximo Toyota.")&amp;CHAR(10)&amp;CHAR(10)&amp;Config!$B$1)</f>
        <v/>
      </c>
      <c r="V96" s="11">
        <f>IF(U96="","",HYPERLINK("https://wa.me/52"&amp;C96&amp;"?text="&amp;_xlfn.ENCODEURL(U96),"Enviar aviso de etapa"))</f>
        <v/>
      </c>
      <c r="W96" s="10">
        <f>IF(OR(B96="",O96=""),"","Hola, "&amp;B96&amp;", ¡feliz cumpleaños! Le deseo un excelente día rodeado de quienes más quiere. Ha sido un placer acompañarle desde que estrenó su Toyota. ¡Un abrazo!"&amp;CHAR(10)&amp;CHAR(10)&amp;Config!$B$1)</f>
        <v/>
      </c>
      <c r="X96" s="11">
        <f>IF(W96="","",HYPERLINK("https://wa.me/52"&amp;C96&amp;"?text="&amp;_xlfn.ENCODEURL(W96),"Enviar felicitación"))</f>
        <v/>
      </c>
      <c r="Y96" s="10">
        <f>IF(OR(B96="",P96=""),"","Hola, "&amp;B96&amp;", hoy se cumple un año más desde que estrenó su *"&amp;D96&amp;"*. Espero que haya sido un gran compañero de camino. Cualquier cosa que necesite, aquí estoy para apoyarle."&amp;CHAR(10)&amp;CHAR(10)&amp;Config!$B$1)</f>
        <v/>
      </c>
      <c r="Z96" s="11">
        <f>IF(Y96="","",HYPERLINK("https://wa.me/52"&amp;C96&amp;"?text="&amp;_xlfn.ENCODEURL(Y96),"Enviar aniversario"))</f>
        <v/>
      </c>
      <c r="AA96" s="11" t="n"/>
      <c r="AB96" s="11">
        <f>IF(OR(B96="",AA96=""),"",HYPERLINK("https://wa.me/52"&amp;C96&amp;"?text="&amp;_xlfn.ENCODEURL(_xlfn.SWITCH(AA96,"Bienvenida (primera visita)",Q96,"Seguimiento",S96,"Aviso de Etapa",U96,"Requisitos",AC96,"Datos de Facturación",AD96,"Cumpleaños",W96,"Aniversario",Y96,"")),"Enviar mensaje seleccionado"))</f>
        <v/>
      </c>
      <c r="AC96" s="10">
        <f>IF(B96="","",_xlfn.SWITCH(F96&amp;"|"&amp;G96,"Crédito|Persona física","Hola, "&amp;B96&amp;", para continuar con el proceso de tu *"&amp;D96&amp;"* por "&amp;F96&amp;",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"&amp;B96&amp;", para continuar con el proceso de tu *"&amp;D96&amp;"* por "&amp;F96&amp;",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"&amp;B96&amp;", para continuar con el proceso de tu *"&amp;D96&amp;"* por "&amp;F96&amp;",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"&amp;B96&amp;", para continuar con el proceso de tu *"&amp;D96&amp;"* por "&amp;F96&amp;", estos son los documentos que necesitamos:"&amp;CHAR(10)&amp;CHAR(10)&amp;"- INE"&amp;CHAR(10)&amp;"- Comprobante de domicilio"&amp;CHAR(10)&amp;"- Constancia de situación fiscal (no mayor a 3 meses)","Contado|Persona física con actividad empresarial","Hola, "&amp;B96&amp;", para continuar con el proceso de tu *"&amp;D96&amp;"* por "&amp;F96&amp;", estos son los documentos que necesitamos:"&amp;CHAR(10)&amp;CHAR(10)&amp;"- INE"&amp;CHAR(10)&amp;"- Comprobante de domicilio"&amp;CHAR(10)&amp;"- Constancia de situación fiscal (no mayor a 3 meses)","Contado|Persona moral","Hola, "&amp;B96&amp;", para continuar con el proceso de tu *"&amp;D96&amp;"* por "&amp;F96&amp;",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96" s="10">
        <f>IFERROR(INDEX(Facturación!$Q:$Q,MATCH(B96,Facturación!$A:$A,0)),"")</f>
        <v/>
      </c>
    </row>
    <row r="97" ht="15" customHeight="1" s="1">
      <c r="A97" s="11">
        <f>IF(B97="","",ROW()-1)</f>
        <v/>
      </c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0">
        <f>IF(OR(B97="",L97&lt;&gt;"Sí"),"","Hola, "&amp;B97&amp;", excelente día. Le saluda *Alejandro Estrada* de Toyota Corregidora."&amp;CHAR(10)&amp;"Muchas gracias por visitarnos y conocer la *"&amp;D97&amp;"*.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97" s="11">
        <f>IF(Q97="","",HYPERLINK("https://wa.me/52"&amp;C97&amp;"?text="&amp;_xlfn.ENCODEURL(Q97),"Enviar Bienvenida"))</f>
        <v/>
      </c>
      <c r="S97" s="10">
        <f>IF(B97="","","Hola, "&amp;B97&amp;", muy buen día."&amp;CHAR(10)&amp;"Espero que esté teniendo una excelente semana. Le escribo para saber si tiene alguna duda sobre la oferta del *"&amp;D97&amp;"*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97" s="11">
        <f>IF(S97="","",HYPERLINK("https://wa.me/52"&amp;C97&amp;"?text="&amp;_xlfn.ENCODEURL(S97),"Enviar Seguimiento"))</f>
        <v/>
      </c>
      <c r="U97" s="10">
        <f>IF(B97="","",_xlfn.SWITCH(M97,"Apartado","Hola, "&amp;B97&amp;", buen día. Le confirmo que su apartado por el *"&amp;D97&amp;"* quedó registrado correctamente. Seguimos con el proceso y le mantendré informado(a) de cada paso.","Toma de vehículo","Hola, "&amp;B97&amp;", le comparto que estamos en el proceso de toma de su vehículo actual. En cuanto tengamos el resultado le aviso para continuar con el siguiente paso.","Pago vehículo a cuenta","Hola, "&amp;B97&amp;", quedamos en proceso de pago del vehículo que se toma a cuenta. Cualquier documento o aclaración que se requiera se lo haré saber por este medio.","Firma de contrato","Hola, "&amp;B97&amp;", ya estamos listos para agendar la firma de su contrato. ¿Qué día y hora se le facilita para realizarla?","Facturación","Hola, "&amp;B97&amp;", su unidad ya está en proceso de facturación. En breve le comparto los datos para su confirmación.","Programación de entrega","Hola, "&amp;B97&amp;", con gusto le comparto que ya podemos programar la entrega de su *"&amp;D97&amp;"*. ¿Qué día y hora le acomodan mejor?","Entregado","Hola, "&amp;B97&amp;", ¡muchas felicidades por estrenar su *"&amp;D97&amp;"*! Fue un gusto acompañarle en este proceso. Quedo pendiente de cualquier duda y con gusto le agendo su próxima cita de servicio cuando lo necesite.","Hola, "&amp;B97&amp;", seguimos en contacto para avanzar con el proceso de su próximo Toyota.")&amp;CHAR(10)&amp;CHAR(10)&amp;Config!$B$1)</f>
        <v/>
      </c>
      <c r="V97" s="11">
        <f>IF(U97="","",HYPERLINK("https://wa.me/52"&amp;C97&amp;"?text="&amp;_xlfn.ENCODEURL(U97),"Enviar aviso de etapa"))</f>
        <v/>
      </c>
      <c r="W97" s="10">
        <f>IF(OR(B97="",O97=""),"","Hola, "&amp;B97&amp;", ¡feliz cumpleaños! Le deseo un excelente día rodeado de quienes más quiere. Ha sido un placer acompañarle desde que estrenó su Toyota. ¡Un abrazo!"&amp;CHAR(10)&amp;CHAR(10)&amp;Config!$B$1)</f>
        <v/>
      </c>
      <c r="X97" s="11">
        <f>IF(W97="","",HYPERLINK("https://wa.me/52"&amp;C97&amp;"?text="&amp;_xlfn.ENCODEURL(W97),"Enviar felicitación"))</f>
        <v/>
      </c>
      <c r="Y97" s="10">
        <f>IF(OR(B97="",P97=""),"","Hola, "&amp;B97&amp;", hoy se cumple un año más desde que estrenó su *"&amp;D97&amp;"*. Espero que haya sido un gran compañero de camino. Cualquier cosa que necesite, aquí estoy para apoyarle."&amp;CHAR(10)&amp;CHAR(10)&amp;Config!$B$1)</f>
        <v/>
      </c>
      <c r="Z97" s="11">
        <f>IF(Y97="","",HYPERLINK("https://wa.me/52"&amp;C97&amp;"?text="&amp;_xlfn.ENCODEURL(Y97),"Enviar aniversario"))</f>
        <v/>
      </c>
      <c r="AA97" s="11" t="n"/>
      <c r="AB97" s="11">
        <f>IF(OR(B97="",AA97=""),"",HYPERLINK("https://wa.me/52"&amp;C97&amp;"?text="&amp;_xlfn.ENCODEURL(_xlfn.SWITCH(AA97,"Bienvenida (primera visita)",Q97,"Seguimiento",S97,"Aviso de Etapa",U97,"Requisitos",AC97,"Datos de Facturación",AD97,"Cumpleaños",W97,"Aniversario",Y97,"")),"Enviar mensaje seleccionado"))</f>
        <v/>
      </c>
      <c r="AC97" s="10">
        <f>IF(B97="","",_xlfn.SWITCH(F97&amp;"|"&amp;G97,"Crédito|Persona física","Hola, "&amp;B97&amp;", para continuar con el proceso de tu *"&amp;D97&amp;"* por "&amp;F97&amp;",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"&amp;B97&amp;", para continuar con el proceso de tu *"&amp;D97&amp;"* por "&amp;F97&amp;",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"&amp;B97&amp;", para continuar con el proceso de tu *"&amp;D97&amp;"* por "&amp;F97&amp;",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"&amp;B97&amp;", para continuar con el proceso de tu *"&amp;D97&amp;"* por "&amp;F97&amp;", estos son los documentos que necesitamos:"&amp;CHAR(10)&amp;CHAR(10)&amp;"- INE"&amp;CHAR(10)&amp;"- Comprobante de domicilio"&amp;CHAR(10)&amp;"- Constancia de situación fiscal (no mayor a 3 meses)","Contado|Persona física con actividad empresarial","Hola, "&amp;B97&amp;", para continuar con el proceso de tu *"&amp;D97&amp;"* por "&amp;F97&amp;", estos son los documentos que necesitamos:"&amp;CHAR(10)&amp;CHAR(10)&amp;"- INE"&amp;CHAR(10)&amp;"- Comprobante de domicilio"&amp;CHAR(10)&amp;"- Constancia de situación fiscal (no mayor a 3 meses)","Contado|Persona moral","Hola, "&amp;B97&amp;", para continuar con el proceso de tu *"&amp;D97&amp;"* por "&amp;F97&amp;",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97" s="10">
        <f>IFERROR(INDEX(Facturación!$Q:$Q,MATCH(B97,Facturación!$A:$A,0)),"")</f>
        <v/>
      </c>
    </row>
    <row r="98" ht="15" customHeight="1" s="1">
      <c r="A98" s="11">
        <f>IF(B98="","",ROW()-1)</f>
        <v/>
      </c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0">
        <f>IF(OR(B98="",L98&lt;&gt;"Sí"),"","Hola, "&amp;B98&amp;", excelente día. Le saluda *Alejandro Estrada* de Toyota Corregidora."&amp;CHAR(10)&amp;"Muchas gracias por visitarnos y conocer la *"&amp;D98&amp;"*.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98" s="11">
        <f>IF(Q98="","",HYPERLINK("https://wa.me/52"&amp;C98&amp;"?text="&amp;_xlfn.ENCODEURL(Q98),"Enviar Bienvenida"))</f>
        <v/>
      </c>
      <c r="S98" s="10">
        <f>IF(B98="","","Hola, "&amp;B98&amp;", muy buen día."&amp;CHAR(10)&amp;"Espero que esté teniendo una excelente semana. Le escribo para saber si tiene alguna duda sobre la oferta del *"&amp;D98&amp;"*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98" s="11">
        <f>IF(S98="","",HYPERLINK("https://wa.me/52"&amp;C98&amp;"?text="&amp;_xlfn.ENCODEURL(S98),"Enviar Seguimiento"))</f>
        <v/>
      </c>
      <c r="U98" s="10">
        <f>IF(B98="","",_xlfn.SWITCH(M98,"Apartado","Hola, "&amp;B98&amp;", buen día. Le confirmo que su apartado por el *"&amp;D98&amp;"* quedó registrado correctamente. Seguimos con el proceso y le mantendré informado(a) de cada paso.","Toma de vehículo","Hola, "&amp;B98&amp;", le comparto que estamos en el proceso de toma de su vehículo actual. En cuanto tengamos el resultado le aviso para continuar con el siguiente paso.","Pago vehículo a cuenta","Hola, "&amp;B98&amp;", quedamos en proceso de pago del vehículo que se toma a cuenta. Cualquier documento o aclaración que se requiera se lo haré saber por este medio.","Firma de contrato","Hola, "&amp;B98&amp;", ya estamos listos para agendar la firma de su contrato. ¿Qué día y hora se le facilita para realizarla?","Facturación","Hola, "&amp;B98&amp;", su unidad ya está en proceso de facturación. En breve le comparto los datos para su confirmación.","Programación de entrega","Hola, "&amp;B98&amp;", con gusto le comparto que ya podemos programar la entrega de su *"&amp;D98&amp;"*. ¿Qué día y hora le acomodan mejor?","Entregado","Hola, "&amp;B98&amp;", ¡muchas felicidades por estrenar su *"&amp;D98&amp;"*! Fue un gusto acompañarle en este proceso. Quedo pendiente de cualquier duda y con gusto le agendo su próxima cita de servicio cuando lo necesite.","Hola, "&amp;B98&amp;", seguimos en contacto para avanzar con el proceso de su próximo Toyota.")&amp;CHAR(10)&amp;CHAR(10)&amp;Config!$B$1)</f>
        <v/>
      </c>
      <c r="V98" s="11">
        <f>IF(U98="","",HYPERLINK("https://wa.me/52"&amp;C98&amp;"?text="&amp;_xlfn.ENCODEURL(U98),"Enviar aviso de etapa"))</f>
        <v/>
      </c>
      <c r="W98" s="10">
        <f>IF(OR(B98="",O98=""),"","Hola, "&amp;B98&amp;", ¡feliz cumpleaños! Le deseo un excelente día rodeado de quienes más quiere. Ha sido un placer acompañarle desde que estrenó su Toyota. ¡Un abrazo!"&amp;CHAR(10)&amp;CHAR(10)&amp;Config!$B$1)</f>
        <v/>
      </c>
      <c r="X98" s="11">
        <f>IF(W98="","",HYPERLINK("https://wa.me/52"&amp;C98&amp;"?text="&amp;_xlfn.ENCODEURL(W98),"Enviar felicitación"))</f>
        <v/>
      </c>
      <c r="Y98" s="10">
        <f>IF(OR(B98="",P98=""),"","Hola, "&amp;B98&amp;", hoy se cumple un año más desde que estrenó su *"&amp;D98&amp;"*. Espero que haya sido un gran compañero de camino. Cualquier cosa que necesite, aquí estoy para apoyarle."&amp;CHAR(10)&amp;CHAR(10)&amp;Config!$B$1)</f>
        <v/>
      </c>
      <c r="Z98" s="11">
        <f>IF(Y98="","",HYPERLINK("https://wa.me/52"&amp;C98&amp;"?text="&amp;_xlfn.ENCODEURL(Y98),"Enviar aniversario"))</f>
        <v/>
      </c>
      <c r="AA98" s="11" t="n"/>
      <c r="AB98" s="11">
        <f>IF(OR(B98="",AA98=""),"",HYPERLINK("https://wa.me/52"&amp;C98&amp;"?text="&amp;_xlfn.ENCODEURL(_xlfn.SWITCH(AA98,"Bienvenida (primera visita)",Q98,"Seguimiento",S98,"Aviso de Etapa",U98,"Requisitos",AC98,"Datos de Facturación",AD98,"Cumpleaños",W98,"Aniversario",Y98,"")),"Enviar mensaje seleccionado"))</f>
        <v/>
      </c>
      <c r="AC98" s="10">
        <f>IF(B98="","",_xlfn.SWITCH(F98&amp;"|"&amp;G98,"Crédito|Persona física","Hola, "&amp;B98&amp;", para continuar con el proceso de tu *"&amp;D98&amp;"* por "&amp;F98&amp;",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"&amp;B98&amp;", para continuar con el proceso de tu *"&amp;D98&amp;"* por "&amp;F98&amp;",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"&amp;B98&amp;", para continuar con el proceso de tu *"&amp;D98&amp;"* por "&amp;F98&amp;",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"&amp;B98&amp;", para continuar con el proceso de tu *"&amp;D98&amp;"* por "&amp;F98&amp;", estos son los documentos que necesitamos:"&amp;CHAR(10)&amp;CHAR(10)&amp;"- INE"&amp;CHAR(10)&amp;"- Comprobante de domicilio"&amp;CHAR(10)&amp;"- Constancia de situación fiscal (no mayor a 3 meses)","Contado|Persona física con actividad empresarial","Hola, "&amp;B98&amp;", para continuar con el proceso de tu *"&amp;D98&amp;"* por "&amp;F98&amp;", estos son los documentos que necesitamos:"&amp;CHAR(10)&amp;CHAR(10)&amp;"- INE"&amp;CHAR(10)&amp;"- Comprobante de domicilio"&amp;CHAR(10)&amp;"- Constancia de situación fiscal (no mayor a 3 meses)","Contado|Persona moral","Hola, "&amp;B98&amp;", para continuar con el proceso de tu *"&amp;D98&amp;"* por "&amp;F98&amp;",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98" s="10">
        <f>IFERROR(INDEX(Facturación!$Q:$Q,MATCH(B98,Facturación!$A:$A,0)),"")</f>
        <v/>
      </c>
    </row>
    <row r="99" ht="15" customHeight="1" s="1">
      <c r="A99" s="11">
        <f>IF(B99="","",ROW()-1)</f>
        <v/>
      </c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0">
        <f>IF(OR(B99="",L99&lt;&gt;"Sí"),"","Hola, "&amp;B99&amp;", excelente día. Le saluda *Alejandro Estrada* de Toyota Corregidora."&amp;CHAR(10)&amp;"Muchas gracias por visitarnos y conocer la *"&amp;D99&amp;"*.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99" s="11">
        <f>IF(Q99="","",HYPERLINK("https://wa.me/52"&amp;C99&amp;"?text="&amp;_xlfn.ENCODEURL(Q99),"Enviar Bienvenida"))</f>
        <v/>
      </c>
      <c r="S99" s="10">
        <f>IF(B99="","","Hola, "&amp;B99&amp;", muy buen día."&amp;CHAR(10)&amp;"Espero que esté teniendo una excelente semana. Le escribo para saber si tiene alguna duda sobre la oferta del *"&amp;D99&amp;"*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99" s="11">
        <f>IF(S99="","",HYPERLINK("https://wa.me/52"&amp;C99&amp;"?text="&amp;_xlfn.ENCODEURL(S99),"Enviar Seguimiento"))</f>
        <v/>
      </c>
      <c r="U99" s="10">
        <f>IF(B99="","",_xlfn.SWITCH(M99,"Apartado","Hola, "&amp;B99&amp;", buen día. Le confirmo que su apartado por el *"&amp;D99&amp;"* quedó registrado correctamente. Seguimos con el proceso y le mantendré informado(a) de cada paso.","Toma de vehículo","Hola, "&amp;B99&amp;", le comparto que estamos en el proceso de toma de su vehículo actual. En cuanto tengamos el resultado le aviso para continuar con el siguiente paso.","Pago vehículo a cuenta","Hola, "&amp;B99&amp;", quedamos en proceso de pago del vehículo que se toma a cuenta. Cualquier documento o aclaración que se requiera se lo haré saber por este medio.","Firma de contrato","Hola, "&amp;B99&amp;", ya estamos listos para agendar la firma de su contrato. ¿Qué día y hora se le facilita para realizarla?","Facturación","Hola, "&amp;B99&amp;", su unidad ya está en proceso de facturación. En breve le comparto los datos para su confirmación.","Programación de entrega","Hola, "&amp;B99&amp;", con gusto le comparto que ya podemos programar la entrega de su *"&amp;D99&amp;"*. ¿Qué día y hora le acomodan mejor?","Entregado","Hola, "&amp;B99&amp;", ¡muchas felicidades por estrenar su *"&amp;D99&amp;"*! Fue un gusto acompañarle en este proceso. Quedo pendiente de cualquier duda y con gusto le agendo su próxima cita de servicio cuando lo necesite.","Hola, "&amp;B99&amp;", seguimos en contacto para avanzar con el proceso de su próximo Toyota.")&amp;CHAR(10)&amp;CHAR(10)&amp;Config!$B$1)</f>
        <v/>
      </c>
      <c r="V99" s="11">
        <f>IF(U99="","",HYPERLINK("https://wa.me/52"&amp;C99&amp;"?text="&amp;_xlfn.ENCODEURL(U99),"Enviar aviso de etapa"))</f>
        <v/>
      </c>
      <c r="W99" s="10">
        <f>IF(OR(B99="",O99=""),"","Hola, "&amp;B99&amp;", ¡feliz cumpleaños! Le deseo un excelente día rodeado de quienes más quiere. Ha sido un placer acompañarle desde que estrenó su Toyota. ¡Un abrazo!"&amp;CHAR(10)&amp;CHAR(10)&amp;Config!$B$1)</f>
        <v/>
      </c>
      <c r="X99" s="11">
        <f>IF(W99="","",HYPERLINK("https://wa.me/52"&amp;C99&amp;"?text="&amp;_xlfn.ENCODEURL(W99),"Enviar felicitación"))</f>
        <v/>
      </c>
      <c r="Y99" s="10">
        <f>IF(OR(B99="",P99=""),"","Hola, "&amp;B99&amp;", hoy se cumple un año más desde que estrenó su *"&amp;D99&amp;"*. Espero que haya sido un gran compañero de camino. Cualquier cosa que necesite, aquí estoy para apoyarle."&amp;CHAR(10)&amp;CHAR(10)&amp;Config!$B$1)</f>
        <v/>
      </c>
      <c r="Z99" s="11">
        <f>IF(Y99="","",HYPERLINK("https://wa.me/52"&amp;C99&amp;"?text="&amp;_xlfn.ENCODEURL(Y99),"Enviar aniversario"))</f>
        <v/>
      </c>
      <c r="AA99" s="11" t="n"/>
      <c r="AB99" s="11">
        <f>IF(OR(B99="",AA99=""),"",HYPERLINK("https://wa.me/52"&amp;C99&amp;"?text="&amp;_xlfn.ENCODEURL(_xlfn.SWITCH(AA99,"Bienvenida (primera visita)",Q99,"Seguimiento",S99,"Aviso de Etapa",U99,"Requisitos",AC99,"Datos de Facturación",AD99,"Cumpleaños",W99,"Aniversario",Y99,"")),"Enviar mensaje seleccionado"))</f>
        <v/>
      </c>
      <c r="AC99" s="10">
        <f>IF(B99="","",_xlfn.SWITCH(F99&amp;"|"&amp;G99,"Crédito|Persona física","Hola, "&amp;B99&amp;", para continuar con el proceso de tu *"&amp;D99&amp;"* por "&amp;F99&amp;",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"&amp;B99&amp;", para continuar con el proceso de tu *"&amp;D99&amp;"* por "&amp;F99&amp;",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"&amp;B99&amp;", para continuar con el proceso de tu *"&amp;D99&amp;"* por "&amp;F99&amp;",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"&amp;B99&amp;", para continuar con el proceso de tu *"&amp;D99&amp;"* por "&amp;F99&amp;", estos son los documentos que necesitamos:"&amp;CHAR(10)&amp;CHAR(10)&amp;"- INE"&amp;CHAR(10)&amp;"- Comprobante de domicilio"&amp;CHAR(10)&amp;"- Constancia de situación fiscal (no mayor a 3 meses)","Contado|Persona física con actividad empresarial","Hola, "&amp;B99&amp;", para continuar con el proceso de tu *"&amp;D99&amp;"* por "&amp;F99&amp;", estos son los documentos que necesitamos:"&amp;CHAR(10)&amp;CHAR(10)&amp;"- INE"&amp;CHAR(10)&amp;"- Comprobante de domicilio"&amp;CHAR(10)&amp;"- Constancia de situación fiscal (no mayor a 3 meses)","Contado|Persona moral","Hola, "&amp;B99&amp;", para continuar con el proceso de tu *"&amp;D99&amp;"* por "&amp;F99&amp;",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99" s="10">
        <f>IFERROR(INDEX(Facturación!$Q:$Q,MATCH(B99,Facturación!$A:$A,0)),"")</f>
        <v/>
      </c>
    </row>
    <row r="100" ht="15" customHeight="1" s="1">
      <c r="A100" s="11">
        <f>IF(B100="","",ROW()-1)</f>
        <v/>
      </c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0">
        <f>IF(OR(B100="",L100&lt;&gt;"Sí"),"","Hola, "&amp;B100&amp;", excelente día. Le saluda *Alejandro Estrada* de Toyota Corregidora."&amp;CHAR(10)&amp;"Muchas gracias por visitarnos y conocer la *"&amp;D100&amp;"*.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00" s="11">
        <f>IF(Q100="","",HYPERLINK("https://wa.me/52"&amp;C100&amp;"?text="&amp;_xlfn.ENCODEURL(Q100),"Enviar Bienvenida"))</f>
        <v/>
      </c>
      <c r="S100" s="10">
        <f>IF(B100="","","Hola, "&amp;B100&amp;", muy buen día."&amp;CHAR(10)&amp;"Espero que esté teniendo una excelente semana. Le escribo para saber si tiene alguna duda sobre la oferta del *"&amp;D100&amp;"*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00" s="11">
        <f>IF(S100="","",HYPERLINK("https://wa.me/52"&amp;C100&amp;"?text="&amp;_xlfn.ENCODEURL(S100),"Enviar Seguimiento"))</f>
        <v/>
      </c>
      <c r="U100" s="10">
        <f>IF(B100="","",_xlfn.SWITCH(M100,"Apartado","Hola, "&amp;B100&amp;", buen día. Le confirmo que su apartado por el *"&amp;D100&amp;"* quedó registrado correctamente. Seguimos con el proceso y le mantendré informado(a) de cada paso.","Toma de vehículo","Hola, "&amp;B100&amp;", le comparto que estamos en el proceso de toma de su vehículo actual. En cuanto tengamos el resultado le aviso para continuar con el siguiente paso.","Pago vehículo a cuenta","Hola, "&amp;B100&amp;", quedamos en proceso de pago del vehículo que se toma a cuenta. Cualquier documento o aclaración que se requiera se lo haré saber por este medio.","Firma de contrato","Hola, "&amp;B100&amp;", ya estamos listos para agendar la firma de su contrato. ¿Qué día y hora se le facilita para realizarla?","Facturación","Hola, "&amp;B100&amp;", su unidad ya está en proceso de facturación. En breve le comparto los datos para su confirmación.","Programación de entrega","Hola, "&amp;B100&amp;", con gusto le comparto que ya podemos programar la entrega de su *"&amp;D100&amp;"*. ¿Qué día y hora le acomodan mejor?","Entregado","Hola, "&amp;B100&amp;", ¡muchas felicidades por estrenar su *"&amp;D100&amp;"*! Fue un gusto acompañarle en este proceso. Quedo pendiente de cualquier duda y con gusto le agendo su próxima cita de servicio cuando lo necesite.","Hola, "&amp;B100&amp;", seguimos en contacto para avanzar con el proceso de su próximo Toyota.")&amp;CHAR(10)&amp;CHAR(10)&amp;Config!$B$1)</f>
        <v/>
      </c>
      <c r="V100" s="11">
        <f>IF(U100="","",HYPERLINK("https://wa.me/52"&amp;C100&amp;"?text="&amp;_xlfn.ENCODEURL(U100),"Enviar aviso de etapa"))</f>
        <v/>
      </c>
      <c r="W100" s="10">
        <f>IF(OR(B100="",O100=""),"","Hola, "&amp;B100&amp;", ¡feliz cumpleaños! Le deseo un excelente día rodeado de quienes más quiere. Ha sido un placer acompañarle desde que estrenó su Toyota. ¡Un abrazo!"&amp;CHAR(10)&amp;CHAR(10)&amp;Config!$B$1)</f>
        <v/>
      </c>
      <c r="X100" s="11">
        <f>IF(W100="","",HYPERLINK("https://wa.me/52"&amp;C100&amp;"?text="&amp;_xlfn.ENCODEURL(W100),"Enviar felicitación"))</f>
        <v/>
      </c>
      <c r="Y100" s="10">
        <f>IF(OR(B100="",P100=""),"","Hola, "&amp;B100&amp;", hoy se cumple un año más desde que estrenó su *"&amp;D100&amp;"*. Espero que haya sido un gran compañero de camino. Cualquier cosa que necesite, aquí estoy para apoyarle."&amp;CHAR(10)&amp;CHAR(10)&amp;Config!$B$1)</f>
        <v/>
      </c>
      <c r="Z100" s="11">
        <f>IF(Y100="","",HYPERLINK("https://wa.me/52"&amp;C100&amp;"?text="&amp;_xlfn.ENCODEURL(Y100),"Enviar aniversario"))</f>
        <v/>
      </c>
      <c r="AA100" s="11" t="n"/>
      <c r="AB100" s="11">
        <f>IF(OR(B100="",AA100=""),"",HYPERLINK("https://wa.me/52"&amp;C100&amp;"?text="&amp;_xlfn.ENCODEURL(_xlfn.SWITCH(AA100,"Bienvenida (primera visita)",Q100,"Seguimiento",S100,"Aviso de Etapa",U100,"Requisitos",AC100,"Datos de Facturación",AD100,"Cumpleaños",W100,"Aniversario",Y100,"")),"Enviar mensaje seleccionado"))</f>
        <v/>
      </c>
      <c r="AC100" s="10">
        <f>IF(B100="","",_xlfn.SWITCH(F100&amp;"|"&amp;G100,"Crédito|Persona física","Hola, "&amp;B100&amp;", para continuar con el proceso de tu *"&amp;D100&amp;"* por "&amp;F100&amp;",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"&amp;B100&amp;", para continuar con el proceso de tu *"&amp;D100&amp;"* por "&amp;F100&amp;",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"&amp;B100&amp;", para continuar con el proceso de tu *"&amp;D100&amp;"* por "&amp;F100&amp;",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"&amp;B100&amp;", para continuar con el proceso de tu *"&amp;D100&amp;"* por "&amp;F100&amp;", estos son los documentos que necesitamos:"&amp;CHAR(10)&amp;CHAR(10)&amp;"- INE"&amp;CHAR(10)&amp;"- Comprobante de domicilio"&amp;CHAR(10)&amp;"- Constancia de situación fiscal (no mayor a 3 meses)","Contado|Persona física con actividad empresarial","Hola, "&amp;B100&amp;", para continuar con el proceso de tu *"&amp;D100&amp;"* por "&amp;F100&amp;", estos son los documentos que necesitamos:"&amp;CHAR(10)&amp;CHAR(10)&amp;"- INE"&amp;CHAR(10)&amp;"- Comprobante de domicilio"&amp;CHAR(10)&amp;"- Constancia de situación fiscal (no mayor a 3 meses)","Contado|Persona moral","Hola, "&amp;B100&amp;", para continuar con el proceso de tu *"&amp;D100&amp;"* por "&amp;F100&amp;",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00" s="10">
        <f>IFERROR(INDEX(Facturación!$Q:$Q,MATCH(B100,Facturación!$A:$A,0)),"")</f>
        <v/>
      </c>
    </row>
    <row r="101" ht="15" customHeight="1" s="1">
      <c r="A101" s="11">
        <f>IF(B101="","",ROW()-1)</f>
        <v/>
      </c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0">
        <f>IF(OR(B101="",L101&lt;&gt;"Sí"),"","Hola, "&amp;B101&amp;", excelente día. Le saluda *Alejandro Estrada* de Toyota Corregidora."&amp;CHAR(10)&amp;"Muchas gracias por visitarnos y conocer la *"&amp;D101&amp;"*.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01" s="11">
        <f>IF(Q101="","",HYPERLINK("https://wa.me/52"&amp;C101&amp;"?text="&amp;_xlfn.ENCODEURL(Q101),"Enviar Bienvenida"))</f>
        <v/>
      </c>
      <c r="S101" s="10">
        <f>IF(B101="","","Hola, "&amp;B101&amp;", muy buen día."&amp;CHAR(10)&amp;"Espero que esté teniendo una excelente semana. Le escribo para saber si tiene alguna duda sobre la oferta del *"&amp;D101&amp;"*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01" s="11">
        <f>IF(S101="","",HYPERLINK("https://wa.me/52"&amp;C101&amp;"?text="&amp;_xlfn.ENCODEURL(S101),"Enviar Seguimiento"))</f>
        <v/>
      </c>
      <c r="U101" s="10">
        <f>IF(B101="","",_xlfn.SWITCH(M101,"Apartado","Hola, "&amp;B101&amp;", buen día. Le confirmo que su apartado por el *"&amp;D101&amp;"* quedó registrado correctamente. Seguimos con el proceso y le mantendré informado(a) de cada paso.","Toma de vehículo","Hola, "&amp;B101&amp;", le comparto que estamos en el proceso de toma de su vehículo actual. En cuanto tengamos el resultado le aviso para continuar con el siguiente paso.","Pago vehículo a cuenta","Hola, "&amp;B101&amp;", quedamos en proceso de pago del vehículo que se toma a cuenta. Cualquier documento o aclaración que se requiera se lo haré saber por este medio.","Firma de contrato","Hola, "&amp;B101&amp;", ya estamos listos para agendar la firma de su contrato. ¿Qué día y hora se le facilita para realizarla?","Facturación","Hola, "&amp;B101&amp;", su unidad ya está en proceso de facturación. En breve le comparto los datos para su confirmación.","Programación de entrega","Hola, "&amp;B101&amp;", con gusto le comparto que ya podemos programar la entrega de su *"&amp;D101&amp;"*. ¿Qué día y hora le acomodan mejor?","Entregado","Hola, "&amp;B101&amp;", ¡muchas felicidades por estrenar su *"&amp;D101&amp;"*! Fue un gusto acompañarle en este proceso. Quedo pendiente de cualquier duda y con gusto le agendo su próxima cita de servicio cuando lo necesite.","Hola, "&amp;B101&amp;", seguimos en contacto para avanzar con el proceso de su próximo Toyota.")&amp;CHAR(10)&amp;CHAR(10)&amp;Config!$B$1)</f>
        <v/>
      </c>
      <c r="V101" s="11">
        <f>IF(U101="","",HYPERLINK("https://wa.me/52"&amp;C101&amp;"?text="&amp;_xlfn.ENCODEURL(U101),"Enviar aviso de etapa"))</f>
        <v/>
      </c>
      <c r="W101" s="10">
        <f>IF(OR(B101="",O101=""),"","Hola, "&amp;B101&amp;", ¡feliz cumpleaños! Le deseo un excelente día rodeado de quienes más quiere. Ha sido un placer acompañarle desde que estrenó su Toyota. ¡Un abrazo!"&amp;CHAR(10)&amp;CHAR(10)&amp;Config!$B$1)</f>
        <v/>
      </c>
      <c r="X101" s="11">
        <f>IF(W101="","",HYPERLINK("https://wa.me/52"&amp;C101&amp;"?text="&amp;_xlfn.ENCODEURL(W101),"Enviar felicitación"))</f>
        <v/>
      </c>
      <c r="Y101" s="10">
        <f>IF(OR(B101="",P101=""),"","Hola, "&amp;B101&amp;", hoy se cumple un año más desde que estrenó su *"&amp;D101&amp;"*. Espero que haya sido un gran compañero de camino. Cualquier cosa que necesite, aquí estoy para apoyarle."&amp;CHAR(10)&amp;CHAR(10)&amp;Config!$B$1)</f>
        <v/>
      </c>
      <c r="Z101" s="11">
        <f>IF(Y101="","",HYPERLINK("https://wa.me/52"&amp;C101&amp;"?text="&amp;_xlfn.ENCODEURL(Y101),"Enviar aniversario"))</f>
        <v/>
      </c>
      <c r="AA101" s="11" t="n"/>
      <c r="AB101" s="11">
        <f>IF(OR(B101="",AA101=""),"",HYPERLINK("https://wa.me/52"&amp;C101&amp;"?text="&amp;_xlfn.ENCODEURL(_xlfn.SWITCH(AA101,"Bienvenida (primera visita)",Q101,"Seguimiento",S101,"Aviso de Etapa",U101,"Requisitos",AC101,"Datos de Facturación",AD101,"Cumpleaños",W101,"Aniversario",Y101,"")),"Enviar mensaje seleccionado"))</f>
        <v/>
      </c>
      <c r="AC101" s="10">
        <f>IF(B101="","",_xlfn.SWITCH(F101&amp;"|"&amp;G101,"Crédito|Persona física","Hola, "&amp;B101&amp;", para continuar con el proceso de tu *"&amp;D101&amp;"* por "&amp;F101&amp;",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"&amp;B101&amp;", para continuar con el proceso de tu *"&amp;D101&amp;"* por "&amp;F101&amp;",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"&amp;B101&amp;", para continuar con el proceso de tu *"&amp;D101&amp;"* por "&amp;F101&amp;",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"&amp;B101&amp;", para continuar con el proceso de tu *"&amp;D101&amp;"* por "&amp;F101&amp;", estos son los documentos que necesitamos:"&amp;CHAR(10)&amp;CHAR(10)&amp;"- INE"&amp;CHAR(10)&amp;"- Comprobante de domicilio"&amp;CHAR(10)&amp;"- Constancia de situación fiscal (no mayor a 3 meses)","Contado|Persona física con actividad empresarial","Hola, "&amp;B101&amp;", para continuar con el proceso de tu *"&amp;D101&amp;"* por "&amp;F101&amp;", estos son los documentos que necesitamos:"&amp;CHAR(10)&amp;CHAR(10)&amp;"- INE"&amp;CHAR(10)&amp;"- Comprobante de domicilio"&amp;CHAR(10)&amp;"- Constancia de situación fiscal (no mayor a 3 meses)","Contado|Persona moral","Hola, "&amp;B101&amp;", para continuar con el proceso de tu *"&amp;D101&amp;"* por "&amp;F101&amp;",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01" s="10">
        <f>IFERROR(INDEX(Facturación!$Q:$Q,MATCH(B101,Facturación!$A:$A,0)),"")</f>
        <v/>
      </c>
    </row>
    <row r="102" ht="15" customHeight="1" s="1">
      <c r="A102" s="11">
        <f>IF(B102="","",ROW()-1)</f>
        <v/>
      </c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0">
        <f>IF(OR(B102="",L102&lt;&gt;"Sí"),"","Hola, "&amp;B102&amp;", excelente día. Le saluda *Alejandro Estrada* de Toyota Corregidora."&amp;CHAR(10)&amp;"Muchas gracias por visitarnos y conocer la *"&amp;D102&amp;"*.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02" s="11">
        <f>IF(Q102="","",HYPERLINK("https://wa.me/52"&amp;C102&amp;"?text="&amp;_xlfn.ENCODEURL(Q102),"Enviar Bienvenida"))</f>
        <v/>
      </c>
      <c r="S102" s="10">
        <f>IF(B102="","","Hola, "&amp;B102&amp;", muy buen día."&amp;CHAR(10)&amp;"Espero que esté teniendo una excelente semana. Le escribo para saber si tiene alguna duda sobre la oferta del *"&amp;D102&amp;"*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02" s="11">
        <f>IF(S102="","",HYPERLINK("https://wa.me/52"&amp;C102&amp;"?text="&amp;_xlfn.ENCODEURL(S102),"Enviar Seguimiento"))</f>
        <v/>
      </c>
      <c r="U102" s="10">
        <f>IF(B102="","",_xlfn.SWITCH(M102,"Apartado","Hola, "&amp;B102&amp;", buen día. Le confirmo que su apartado por el *"&amp;D102&amp;"* quedó registrado correctamente. Seguimos con el proceso y le mantendré informado(a) de cada paso.","Toma de vehículo","Hola, "&amp;B102&amp;", le comparto que estamos en el proceso de toma de su vehículo actual. En cuanto tengamos el resultado le aviso para continuar con el siguiente paso.","Pago vehículo a cuenta","Hola, "&amp;B102&amp;", quedamos en proceso de pago del vehículo que se toma a cuenta. Cualquier documento o aclaración que se requiera se lo haré saber por este medio.","Firma de contrato","Hola, "&amp;B102&amp;", ya estamos listos para agendar la firma de su contrato. ¿Qué día y hora se le facilita para realizarla?","Facturación","Hola, "&amp;B102&amp;", su unidad ya está en proceso de facturación. En breve le comparto los datos para su confirmación.","Programación de entrega","Hola, "&amp;B102&amp;", con gusto le comparto que ya podemos programar la entrega de su *"&amp;D102&amp;"*. ¿Qué día y hora le acomodan mejor?","Entregado","Hola, "&amp;B102&amp;", ¡muchas felicidades por estrenar su *"&amp;D102&amp;"*! Fue un gusto acompañarle en este proceso. Quedo pendiente de cualquier duda y con gusto le agendo su próxima cita de servicio cuando lo necesite.","Hola, "&amp;B102&amp;", seguimos en contacto para avanzar con el proceso de su próximo Toyota.")&amp;CHAR(10)&amp;CHAR(10)&amp;Config!$B$1)</f>
        <v/>
      </c>
      <c r="V102" s="11">
        <f>IF(U102="","",HYPERLINK("https://wa.me/52"&amp;C102&amp;"?text="&amp;_xlfn.ENCODEURL(U102),"Enviar aviso de etapa"))</f>
        <v/>
      </c>
      <c r="W102" s="10">
        <f>IF(OR(B102="",O102=""),"","Hola, "&amp;B102&amp;", ¡feliz cumpleaños! Le deseo un excelente día rodeado de quienes más quiere. Ha sido un placer acompañarle desde que estrenó su Toyota. ¡Un abrazo!"&amp;CHAR(10)&amp;CHAR(10)&amp;Config!$B$1)</f>
        <v/>
      </c>
      <c r="X102" s="11">
        <f>IF(W102="","",HYPERLINK("https://wa.me/52"&amp;C102&amp;"?text="&amp;_xlfn.ENCODEURL(W102),"Enviar felicitación"))</f>
        <v/>
      </c>
      <c r="Y102" s="10">
        <f>IF(OR(B102="",P102=""),"","Hola, "&amp;B102&amp;", hoy se cumple un año más desde que estrenó su *"&amp;D102&amp;"*. Espero que haya sido un gran compañero de camino. Cualquier cosa que necesite, aquí estoy para apoyarle."&amp;CHAR(10)&amp;CHAR(10)&amp;Config!$B$1)</f>
        <v/>
      </c>
      <c r="Z102" s="11">
        <f>IF(Y102="","",HYPERLINK("https://wa.me/52"&amp;C102&amp;"?text="&amp;_xlfn.ENCODEURL(Y102),"Enviar aniversario"))</f>
        <v/>
      </c>
      <c r="AA102" s="11" t="n"/>
      <c r="AB102" s="11">
        <f>IF(OR(B102="",AA102=""),"",HYPERLINK("https://wa.me/52"&amp;C102&amp;"?text="&amp;_xlfn.ENCODEURL(_xlfn.SWITCH(AA102,"Bienvenida (primera visita)",Q102,"Seguimiento",S102,"Aviso de Etapa",U102,"Requisitos",AC102,"Datos de Facturación",AD102,"Cumpleaños",W102,"Aniversario",Y102,"")),"Enviar mensaje seleccionado"))</f>
        <v/>
      </c>
      <c r="AC102" s="10">
        <f>IF(B102="","",_xlfn.SWITCH(F102&amp;"|"&amp;G102,"Crédito|Persona física","Hola, "&amp;B102&amp;", para continuar con el proceso de tu *"&amp;D102&amp;"* por "&amp;F102&amp;",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"&amp;B102&amp;", para continuar con el proceso de tu *"&amp;D102&amp;"* por "&amp;F102&amp;",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"&amp;B102&amp;", para continuar con el proceso de tu *"&amp;D102&amp;"* por "&amp;F102&amp;",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"&amp;B102&amp;", para continuar con el proceso de tu *"&amp;D102&amp;"* por "&amp;F102&amp;", estos son los documentos que necesitamos:"&amp;CHAR(10)&amp;CHAR(10)&amp;"- INE"&amp;CHAR(10)&amp;"- Comprobante de domicilio"&amp;CHAR(10)&amp;"- Constancia de situación fiscal (no mayor a 3 meses)","Contado|Persona física con actividad empresarial","Hola, "&amp;B102&amp;", para continuar con el proceso de tu *"&amp;D102&amp;"* por "&amp;F102&amp;", estos son los documentos que necesitamos:"&amp;CHAR(10)&amp;CHAR(10)&amp;"- INE"&amp;CHAR(10)&amp;"- Comprobante de domicilio"&amp;CHAR(10)&amp;"- Constancia de situación fiscal (no mayor a 3 meses)","Contado|Persona moral","Hola, "&amp;B102&amp;", para continuar con el proceso de tu *"&amp;D102&amp;"* por "&amp;F102&amp;",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02" s="10">
        <f>IFERROR(INDEX(Facturación!$Q:$Q,MATCH(B102,Facturación!$A:$A,0)),"")</f>
        <v/>
      </c>
    </row>
    <row r="103" ht="15" customHeight="1" s="1">
      <c r="A103" s="11">
        <f>IF(B103="","",ROW()-1)</f>
        <v/>
      </c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0">
        <f>IF(OR(B103="",L103&lt;&gt;"Sí"),"","Hola, "&amp;B103&amp;", excelente día. Le saluda *Alejandro Estrada* de Toyota Corregidora."&amp;CHAR(10)&amp;"Muchas gracias por visitarnos y conocer la *"&amp;D103&amp;"*.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03" s="11">
        <f>IF(Q103="","",HYPERLINK("https://wa.me/52"&amp;C103&amp;"?text="&amp;_xlfn.ENCODEURL(Q103),"Enviar Bienvenida"))</f>
        <v/>
      </c>
      <c r="S103" s="10">
        <f>IF(B103="","","Hola, "&amp;B103&amp;", muy buen día."&amp;CHAR(10)&amp;"Espero que esté teniendo una excelente semana. Le escribo para saber si tiene alguna duda sobre la oferta del *"&amp;D103&amp;"*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03" s="11">
        <f>IF(S103="","",HYPERLINK("https://wa.me/52"&amp;C103&amp;"?text="&amp;_xlfn.ENCODEURL(S103),"Enviar Seguimiento"))</f>
        <v/>
      </c>
      <c r="U103" s="10">
        <f>IF(B103="","",_xlfn.SWITCH(M103,"Apartado","Hola, "&amp;B103&amp;", buen día. Le confirmo que su apartado por el *"&amp;D103&amp;"* quedó registrado correctamente. Seguimos con el proceso y le mantendré informado(a) de cada paso.","Toma de vehículo","Hola, "&amp;B103&amp;", le comparto que estamos en el proceso de toma de su vehículo actual. En cuanto tengamos el resultado le aviso para continuar con el siguiente paso.","Pago vehículo a cuenta","Hola, "&amp;B103&amp;", quedamos en proceso de pago del vehículo que se toma a cuenta. Cualquier documento o aclaración que se requiera se lo haré saber por este medio.","Firma de contrato","Hola, "&amp;B103&amp;", ya estamos listos para agendar la firma de su contrato. ¿Qué día y hora se le facilita para realizarla?","Facturación","Hola, "&amp;B103&amp;", su unidad ya está en proceso de facturación. En breve le comparto los datos para su confirmación.","Programación de entrega","Hola, "&amp;B103&amp;", con gusto le comparto que ya podemos programar la entrega de su *"&amp;D103&amp;"*. ¿Qué día y hora le acomodan mejor?","Entregado","Hola, "&amp;B103&amp;", ¡muchas felicidades por estrenar su *"&amp;D103&amp;"*! Fue un gusto acompañarle en este proceso. Quedo pendiente de cualquier duda y con gusto le agendo su próxima cita de servicio cuando lo necesite.","Hola, "&amp;B103&amp;", seguimos en contacto para avanzar con el proceso de su próximo Toyota.")&amp;CHAR(10)&amp;CHAR(10)&amp;Config!$B$1)</f>
        <v/>
      </c>
      <c r="V103" s="11">
        <f>IF(U103="","",HYPERLINK("https://wa.me/52"&amp;C103&amp;"?text="&amp;_xlfn.ENCODEURL(U103),"Enviar aviso de etapa"))</f>
        <v/>
      </c>
      <c r="W103" s="10">
        <f>IF(OR(B103="",O103=""),"","Hola, "&amp;B103&amp;", ¡feliz cumpleaños! Le deseo un excelente día rodeado de quienes más quiere. Ha sido un placer acompañarle desde que estrenó su Toyota. ¡Un abrazo!"&amp;CHAR(10)&amp;CHAR(10)&amp;Config!$B$1)</f>
        <v/>
      </c>
      <c r="X103" s="11">
        <f>IF(W103="","",HYPERLINK("https://wa.me/52"&amp;C103&amp;"?text="&amp;_xlfn.ENCODEURL(W103),"Enviar felicitación"))</f>
        <v/>
      </c>
      <c r="Y103" s="10">
        <f>IF(OR(B103="",P103=""),"","Hola, "&amp;B103&amp;", hoy se cumple un año más desde que estrenó su *"&amp;D103&amp;"*. Espero que haya sido un gran compañero de camino. Cualquier cosa que necesite, aquí estoy para apoyarle."&amp;CHAR(10)&amp;CHAR(10)&amp;Config!$B$1)</f>
        <v/>
      </c>
      <c r="Z103" s="11">
        <f>IF(Y103="","",HYPERLINK("https://wa.me/52"&amp;C103&amp;"?text="&amp;_xlfn.ENCODEURL(Y103),"Enviar aniversario"))</f>
        <v/>
      </c>
      <c r="AA103" s="11" t="n"/>
      <c r="AB103" s="11">
        <f>IF(OR(B103="",AA103=""),"",HYPERLINK("https://wa.me/52"&amp;C103&amp;"?text="&amp;_xlfn.ENCODEURL(_xlfn.SWITCH(AA103,"Bienvenida (primera visita)",Q103,"Seguimiento",S103,"Aviso de Etapa",U103,"Requisitos",AC103,"Datos de Facturación",AD103,"Cumpleaños",W103,"Aniversario",Y103,"")),"Enviar mensaje seleccionado"))</f>
        <v/>
      </c>
      <c r="AC103" s="10">
        <f>IF(B103="","",_xlfn.SWITCH(F103&amp;"|"&amp;G103,"Crédito|Persona física","Hola, "&amp;B103&amp;", para continuar con el proceso de tu *"&amp;D103&amp;"* por "&amp;F103&amp;",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"&amp;B103&amp;", para continuar con el proceso de tu *"&amp;D103&amp;"* por "&amp;F103&amp;",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"&amp;B103&amp;", para continuar con el proceso de tu *"&amp;D103&amp;"* por "&amp;F103&amp;",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"&amp;B103&amp;", para continuar con el proceso de tu *"&amp;D103&amp;"* por "&amp;F103&amp;", estos son los documentos que necesitamos:"&amp;CHAR(10)&amp;CHAR(10)&amp;"- INE"&amp;CHAR(10)&amp;"- Comprobante de domicilio"&amp;CHAR(10)&amp;"- Constancia de situación fiscal (no mayor a 3 meses)","Contado|Persona física con actividad empresarial","Hola, "&amp;B103&amp;", para continuar con el proceso de tu *"&amp;D103&amp;"* por "&amp;F103&amp;", estos son los documentos que necesitamos:"&amp;CHAR(10)&amp;CHAR(10)&amp;"- INE"&amp;CHAR(10)&amp;"- Comprobante de domicilio"&amp;CHAR(10)&amp;"- Constancia de situación fiscal (no mayor a 3 meses)","Contado|Persona moral","Hola, "&amp;B103&amp;", para continuar con el proceso de tu *"&amp;D103&amp;"* por "&amp;F103&amp;",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03" s="10">
        <f>IFERROR(INDEX(Facturación!$Q:$Q,MATCH(B103,Facturación!$A:$A,0)),"")</f>
        <v/>
      </c>
    </row>
    <row r="104" ht="15" customHeight="1" s="1">
      <c r="A104" s="11">
        <f>IF(B104="","",ROW()-1)</f>
        <v/>
      </c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0">
        <f>IF(OR(B104="",L104&lt;&gt;"Sí"),"","Hola, "&amp;B104&amp;", excelente día. Le saluda *Alejandro Estrada* de Toyota Corregidora."&amp;CHAR(10)&amp;"Muchas gracias por visitarnos y conocer la *"&amp;D104&amp;"*.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04" s="11">
        <f>IF(Q104="","",HYPERLINK("https://wa.me/52"&amp;C104&amp;"?text="&amp;_xlfn.ENCODEURL(Q104),"Enviar Bienvenida"))</f>
        <v/>
      </c>
      <c r="S104" s="10">
        <f>IF(B104="","","Hola, "&amp;B104&amp;", muy buen día."&amp;CHAR(10)&amp;"Espero que esté teniendo una excelente semana. Le escribo para saber si tiene alguna duda sobre la oferta del *"&amp;D104&amp;"*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04" s="11">
        <f>IF(S104="","",HYPERLINK("https://wa.me/52"&amp;C104&amp;"?text="&amp;_xlfn.ENCODEURL(S104),"Enviar Seguimiento"))</f>
        <v/>
      </c>
      <c r="U104" s="10">
        <f>IF(B104="","",_xlfn.SWITCH(M104,"Apartado","Hola, "&amp;B104&amp;", buen día. Le confirmo que su apartado por el *"&amp;D104&amp;"* quedó registrado correctamente. Seguimos con el proceso y le mantendré informado(a) de cada paso.","Toma de vehículo","Hola, "&amp;B104&amp;", le comparto que estamos en el proceso de toma de su vehículo actual. En cuanto tengamos el resultado le aviso para continuar con el siguiente paso.","Pago vehículo a cuenta","Hola, "&amp;B104&amp;", quedamos en proceso de pago del vehículo que se toma a cuenta. Cualquier documento o aclaración que se requiera se lo haré saber por este medio.","Firma de contrato","Hola, "&amp;B104&amp;", ya estamos listos para agendar la firma de su contrato. ¿Qué día y hora se le facilita para realizarla?","Facturación","Hola, "&amp;B104&amp;", su unidad ya está en proceso de facturación. En breve le comparto los datos para su confirmación.","Programación de entrega","Hola, "&amp;B104&amp;", con gusto le comparto que ya podemos programar la entrega de su *"&amp;D104&amp;"*. ¿Qué día y hora le acomodan mejor?","Entregado","Hola, "&amp;B104&amp;", ¡muchas felicidades por estrenar su *"&amp;D104&amp;"*! Fue un gusto acompañarle en este proceso. Quedo pendiente de cualquier duda y con gusto le agendo su próxima cita de servicio cuando lo necesite.","Hola, "&amp;B104&amp;", seguimos en contacto para avanzar con el proceso de su próximo Toyota.")&amp;CHAR(10)&amp;CHAR(10)&amp;Config!$B$1)</f>
        <v/>
      </c>
      <c r="V104" s="11">
        <f>IF(U104="","",HYPERLINK("https://wa.me/52"&amp;C104&amp;"?text="&amp;_xlfn.ENCODEURL(U104),"Enviar aviso de etapa"))</f>
        <v/>
      </c>
      <c r="W104" s="10">
        <f>IF(OR(B104="",O104=""),"","Hola, "&amp;B104&amp;", ¡feliz cumpleaños! Le deseo un excelente día rodeado de quienes más quiere. Ha sido un placer acompañarle desde que estrenó su Toyota. ¡Un abrazo!"&amp;CHAR(10)&amp;CHAR(10)&amp;Config!$B$1)</f>
        <v/>
      </c>
      <c r="X104" s="11">
        <f>IF(W104="","",HYPERLINK("https://wa.me/52"&amp;C104&amp;"?text="&amp;_xlfn.ENCODEURL(W104),"Enviar felicitación"))</f>
        <v/>
      </c>
      <c r="Y104" s="10">
        <f>IF(OR(B104="",P104=""),"","Hola, "&amp;B104&amp;", hoy se cumple un año más desde que estrenó su *"&amp;D104&amp;"*. Espero que haya sido un gran compañero de camino. Cualquier cosa que necesite, aquí estoy para apoyarle."&amp;CHAR(10)&amp;CHAR(10)&amp;Config!$B$1)</f>
        <v/>
      </c>
      <c r="Z104" s="11">
        <f>IF(Y104="","",HYPERLINK("https://wa.me/52"&amp;C104&amp;"?text="&amp;_xlfn.ENCODEURL(Y104),"Enviar aniversario"))</f>
        <v/>
      </c>
      <c r="AA104" s="11" t="n"/>
      <c r="AB104" s="11">
        <f>IF(OR(B104="",AA104=""),"",HYPERLINK("https://wa.me/52"&amp;C104&amp;"?text="&amp;_xlfn.ENCODEURL(_xlfn.SWITCH(AA104,"Bienvenida (primera visita)",Q104,"Seguimiento",S104,"Aviso de Etapa",U104,"Requisitos",AC104,"Datos de Facturación",AD104,"Cumpleaños",W104,"Aniversario",Y104,"")),"Enviar mensaje seleccionado"))</f>
        <v/>
      </c>
      <c r="AC104" s="10">
        <f>IF(B104="","",_xlfn.SWITCH(F104&amp;"|"&amp;G104,"Crédito|Persona física","Hola, "&amp;B104&amp;", para continuar con el proceso de tu *"&amp;D104&amp;"* por "&amp;F104&amp;",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"&amp;B104&amp;", para continuar con el proceso de tu *"&amp;D104&amp;"* por "&amp;F104&amp;",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"&amp;B104&amp;", para continuar con el proceso de tu *"&amp;D104&amp;"* por "&amp;F104&amp;",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"&amp;B104&amp;", para continuar con el proceso de tu *"&amp;D104&amp;"* por "&amp;F104&amp;", estos son los documentos que necesitamos:"&amp;CHAR(10)&amp;CHAR(10)&amp;"- INE"&amp;CHAR(10)&amp;"- Comprobante de domicilio"&amp;CHAR(10)&amp;"- Constancia de situación fiscal (no mayor a 3 meses)","Contado|Persona física con actividad empresarial","Hola, "&amp;B104&amp;", para continuar con el proceso de tu *"&amp;D104&amp;"* por "&amp;F104&amp;", estos son los documentos que necesitamos:"&amp;CHAR(10)&amp;CHAR(10)&amp;"- INE"&amp;CHAR(10)&amp;"- Comprobante de domicilio"&amp;CHAR(10)&amp;"- Constancia de situación fiscal (no mayor a 3 meses)","Contado|Persona moral","Hola, "&amp;B104&amp;", para continuar con el proceso de tu *"&amp;D104&amp;"* por "&amp;F104&amp;",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04" s="10">
        <f>IFERROR(INDEX(Facturación!$Q:$Q,MATCH(B104,Facturación!$A:$A,0)),"")</f>
        <v/>
      </c>
    </row>
    <row r="105" ht="15" customHeight="1" s="1">
      <c r="A105" s="11">
        <f>IF(B105="","",ROW()-1)</f>
        <v/>
      </c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0">
        <f>IF(OR(B105="",L105&lt;&gt;"Sí"),"","Hola, "&amp;B105&amp;", excelente día. Le saluda *Alejandro Estrada* de Toyota Corregidora."&amp;CHAR(10)&amp;"Muchas gracias por visitarnos y conocer la *"&amp;D105&amp;"*.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05" s="11">
        <f>IF(Q105="","",HYPERLINK("https://wa.me/52"&amp;C105&amp;"?text="&amp;_xlfn.ENCODEURL(Q105),"Enviar Bienvenida"))</f>
        <v/>
      </c>
      <c r="S105" s="10">
        <f>IF(B105="","","Hola, "&amp;B105&amp;", muy buen día."&amp;CHAR(10)&amp;"Espero que esté teniendo una excelente semana. Le escribo para saber si tiene alguna duda sobre la oferta del *"&amp;D105&amp;"*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05" s="11">
        <f>IF(S105="","",HYPERLINK("https://wa.me/52"&amp;C105&amp;"?text="&amp;_xlfn.ENCODEURL(S105),"Enviar Seguimiento"))</f>
        <v/>
      </c>
      <c r="U105" s="10">
        <f>IF(B105="","",_xlfn.SWITCH(M105,"Apartado","Hola, "&amp;B105&amp;", buen día. Le confirmo que su apartado por el *"&amp;D105&amp;"* quedó registrado correctamente. Seguimos con el proceso y le mantendré informado(a) de cada paso.","Toma de vehículo","Hola, "&amp;B105&amp;", le comparto que estamos en el proceso de toma de su vehículo actual. En cuanto tengamos el resultado le aviso para continuar con el siguiente paso.","Pago vehículo a cuenta","Hola, "&amp;B105&amp;", quedamos en proceso de pago del vehículo que se toma a cuenta. Cualquier documento o aclaración que se requiera se lo haré saber por este medio.","Firma de contrato","Hola, "&amp;B105&amp;", ya estamos listos para agendar la firma de su contrato. ¿Qué día y hora se le facilita para realizarla?","Facturación","Hola, "&amp;B105&amp;", su unidad ya está en proceso de facturación. En breve le comparto los datos para su confirmación.","Programación de entrega","Hola, "&amp;B105&amp;", con gusto le comparto que ya podemos programar la entrega de su *"&amp;D105&amp;"*. ¿Qué día y hora le acomodan mejor?","Entregado","Hola, "&amp;B105&amp;", ¡muchas felicidades por estrenar su *"&amp;D105&amp;"*! Fue un gusto acompañarle en este proceso. Quedo pendiente de cualquier duda y con gusto le agendo su próxima cita de servicio cuando lo necesite.","Hola, "&amp;B105&amp;", seguimos en contacto para avanzar con el proceso de su próximo Toyota.")&amp;CHAR(10)&amp;CHAR(10)&amp;Config!$B$1)</f>
        <v/>
      </c>
      <c r="V105" s="11">
        <f>IF(U105="","",HYPERLINK("https://wa.me/52"&amp;C105&amp;"?text="&amp;_xlfn.ENCODEURL(U105),"Enviar aviso de etapa"))</f>
        <v/>
      </c>
      <c r="W105" s="10">
        <f>IF(OR(B105="",O105=""),"","Hola, "&amp;B105&amp;", ¡feliz cumpleaños! Le deseo un excelente día rodeado de quienes más quiere. Ha sido un placer acompañarle desde que estrenó su Toyota. ¡Un abrazo!"&amp;CHAR(10)&amp;CHAR(10)&amp;Config!$B$1)</f>
        <v/>
      </c>
      <c r="X105" s="11">
        <f>IF(W105="","",HYPERLINK("https://wa.me/52"&amp;C105&amp;"?text="&amp;_xlfn.ENCODEURL(W105),"Enviar felicitación"))</f>
        <v/>
      </c>
      <c r="Y105" s="10">
        <f>IF(OR(B105="",P105=""),"","Hola, "&amp;B105&amp;", hoy se cumple un año más desde que estrenó su *"&amp;D105&amp;"*. Espero que haya sido un gran compañero de camino. Cualquier cosa que necesite, aquí estoy para apoyarle."&amp;CHAR(10)&amp;CHAR(10)&amp;Config!$B$1)</f>
        <v/>
      </c>
      <c r="Z105" s="11">
        <f>IF(Y105="","",HYPERLINK("https://wa.me/52"&amp;C105&amp;"?text="&amp;_xlfn.ENCODEURL(Y105),"Enviar aniversario"))</f>
        <v/>
      </c>
      <c r="AA105" s="11" t="n"/>
      <c r="AB105" s="11">
        <f>IF(OR(B105="",AA105=""),"",HYPERLINK("https://wa.me/52"&amp;C105&amp;"?text="&amp;_xlfn.ENCODEURL(_xlfn.SWITCH(AA105,"Bienvenida (primera visita)",Q105,"Seguimiento",S105,"Aviso de Etapa",U105,"Requisitos",AC105,"Datos de Facturación",AD105,"Cumpleaños",W105,"Aniversario",Y105,"")),"Enviar mensaje seleccionado"))</f>
        <v/>
      </c>
      <c r="AC105" s="10">
        <f>IF(B105="","",_xlfn.SWITCH(F105&amp;"|"&amp;G105,"Crédito|Persona física","Hola, "&amp;B105&amp;", para continuar con el proceso de tu *"&amp;D105&amp;"* por "&amp;F105&amp;",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"&amp;B105&amp;", para continuar con el proceso de tu *"&amp;D105&amp;"* por "&amp;F105&amp;",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"&amp;B105&amp;", para continuar con el proceso de tu *"&amp;D105&amp;"* por "&amp;F105&amp;",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"&amp;B105&amp;", para continuar con el proceso de tu *"&amp;D105&amp;"* por "&amp;F105&amp;", estos son los documentos que necesitamos:"&amp;CHAR(10)&amp;CHAR(10)&amp;"- INE"&amp;CHAR(10)&amp;"- Comprobante de domicilio"&amp;CHAR(10)&amp;"- Constancia de situación fiscal (no mayor a 3 meses)","Contado|Persona física con actividad empresarial","Hola, "&amp;B105&amp;", para continuar con el proceso de tu *"&amp;D105&amp;"* por "&amp;F105&amp;", estos son los documentos que necesitamos:"&amp;CHAR(10)&amp;CHAR(10)&amp;"- INE"&amp;CHAR(10)&amp;"- Comprobante de domicilio"&amp;CHAR(10)&amp;"- Constancia de situación fiscal (no mayor a 3 meses)","Contado|Persona moral","Hola, "&amp;B105&amp;", para continuar con el proceso de tu *"&amp;D105&amp;"* por "&amp;F105&amp;",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05" s="10">
        <f>IFERROR(INDEX(Facturación!$Q:$Q,MATCH(B105,Facturación!$A:$A,0)),"")</f>
        <v/>
      </c>
    </row>
    <row r="106" ht="15" customHeight="1" s="1">
      <c r="A106" s="11">
        <f>IF(B106="","",ROW()-1)</f>
        <v/>
      </c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0">
        <f>IF(OR(B106="",L106&lt;&gt;"Sí"),"","Hola, "&amp;B106&amp;", excelente día. Le saluda *Alejandro Estrada* de Toyota Corregidora."&amp;CHAR(10)&amp;"Muchas gracias por visitarnos y conocer la *"&amp;D106&amp;"*.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06" s="11">
        <f>IF(Q106="","",HYPERLINK("https://wa.me/52"&amp;C106&amp;"?text="&amp;_xlfn.ENCODEURL(Q106),"Enviar Bienvenida"))</f>
        <v/>
      </c>
      <c r="S106" s="10">
        <f>IF(B106="","","Hola, "&amp;B106&amp;", muy buen día."&amp;CHAR(10)&amp;"Espero que esté teniendo una excelente semana. Le escribo para saber si tiene alguna duda sobre la oferta del *"&amp;D106&amp;"*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06" s="11">
        <f>IF(S106="","",HYPERLINK("https://wa.me/52"&amp;C106&amp;"?text="&amp;_xlfn.ENCODEURL(S106),"Enviar Seguimiento"))</f>
        <v/>
      </c>
      <c r="U106" s="10">
        <f>IF(B106="","",_xlfn.SWITCH(M106,"Apartado","Hola, "&amp;B106&amp;", buen día. Le confirmo que su apartado por el *"&amp;D106&amp;"* quedó registrado correctamente. Seguimos con el proceso y le mantendré informado(a) de cada paso.","Toma de vehículo","Hola, "&amp;B106&amp;", le comparto que estamos en el proceso de toma de su vehículo actual. En cuanto tengamos el resultado le aviso para continuar con el siguiente paso.","Pago vehículo a cuenta","Hola, "&amp;B106&amp;", quedamos en proceso de pago del vehículo que se toma a cuenta. Cualquier documento o aclaración que se requiera se lo haré saber por este medio.","Firma de contrato","Hola, "&amp;B106&amp;", ya estamos listos para agendar la firma de su contrato. ¿Qué día y hora se le facilita para realizarla?","Facturación","Hola, "&amp;B106&amp;", su unidad ya está en proceso de facturación. En breve le comparto los datos para su confirmación.","Programación de entrega","Hola, "&amp;B106&amp;", con gusto le comparto que ya podemos programar la entrega de su *"&amp;D106&amp;"*. ¿Qué día y hora le acomodan mejor?","Entregado","Hola, "&amp;B106&amp;", ¡muchas felicidades por estrenar su *"&amp;D106&amp;"*! Fue un gusto acompañarle en este proceso. Quedo pendiente de cualquier duda y con gusto le agendo su próxima cita de servicio cuando lo necesite.","Hola, "&amp;B106&amp;", seguimos en contacto para avanzar con el proceso de su próximo Toyota.")&amp;CHAR(10)&amp;CHAR(10)&amp;Config!$B$1)</f>
        <v/>
      </c>
      <c r="V106" s="11">
        <f>IF(U106="","",HYPERLINK("https://wa.me/52"&amp;C106&amp;"?text="&amp;_xlfn.ENCODEURL(U106),"Enviar aviso de etapa"))</f>
        <v/>
      </c>
      <c r="W106" s="10">
        <f>IF(OR(B106="",O106=""),"","Hola, "&amp;B106&amp;", ¡feliz cumpleaños! Le deseo un excelente día rodeado de quienes más quiere. Ha sido un placer acompañarle desde que estrenó su Toyota. ¡Un abrazo!"&amp;CHAR(10)&amp;CHAR(10)&amp;Config!$B$1)</f>
        <v/>
      </c>
      <c r="X106" s="11">
        <f>IF(W106="","",HYPERLINK("https://wa.me/52"&amp;C106&amp;"?text="&amp;_xlfn.ENCODEURL(W106),"Enviar felicitación"))</f>
        <v/>
      </c>
      <c r="Y106" s="10">
        <f>IF(OR(B106="",P106=""),"","Hola, "&amp;B106&amp;", hoy se cumple un año más desde que estrenó su *"&amp;D106&amp;"*. Espero que haya sido un gran compañero de camino. Cualquier cosa que necesite, aquí estoy para apoyarle."&amp;CHAR(10)&amp;CHAR(10)&amp;Config!$B$1)</f>
        <v/>
      </c>
      <c r="Z106" s="11">
        <f>IF(Y106="","",HYPERLINK("https://wa.me/52"&amp;C106&amp;"?text="&amp;_xlfn.ENCODEURL(Y106),"Enviar aniversario"))</f>
        <v/>
      </c>
      <c r="AA106" s="11" t="n"/>
      <c r="AB106" s="11">
        <f>IF(OR(B106="",AA106=""),"",HYPERLINK("https://wa.me/52"&amp;C106&amp;"?text="&amp;_xlfn.ENCODEURL(_xlfn.SWITCH(AA106,"Bienvenida (primera visita)",Q106,"Seguimiento",S106,"Aviso de Etapa",U106,"Requisitos",AC106,"Datos de Facturación",AD106,"Cumpleaños",W106,"Aniversario",Y106,"")),"Enviar mensaje seleccionado"))</f>
        <v/>
      </c>
      <c r="AC106" s="10">
        <f>IF(B106="","",_xlfn.SWITCH(F106&amp;"|"&amp;G106,"Crédito|Persona física","Hola, "&amp;B106&amp;", para continuar con el proceso de tu *"&amp;D106&amp;"* por "&amp;F106&amp;",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"&amp;B106&amp;", para continuar con el proceso de tu *"&amp;D106&amp;"* por "&amp;F106&amp;",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"&amp;B106&amp;", para continuar con el proceso de tu *"&amp;D106&amp;"* por "&amp;F106&amp;",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"&amp;B106&amp;", para continuar con el proceso de tu *"&amp;D106&amp;"* por "&amp;F106&amp;", estos son los documentos que necesitamos:"&amp;CHAR(10)&amp;CHAR(10)&amp;"- INE"&amp;CHAR(10)&amp;"- Comprobante de domicilio"&amp;CHAR(10)&amp;"- Constancia de situación fiscal (no mayor a 3 meses)","Contado|Persona física con actividad empresarial","Hola, "&amp;B106&amp;", para continuar con el proceso de tu *"&amp;D106&amp;"* por "&amp;F106&amp;", estos son los documentos que necesitamos:"&amp;CHAR(10)&amp;CHAR(10)&amp;"- INE"&amp;CHAR(10)&amp;"- Comprobante de domicilio"&amp;CHAR(10)&amp;"- Constancia de situación fiscal (no mayor a 3 meses)","Contado|Persona moral","Hola, "&amp;B106&amp;", para continuar con el proceso de tu *"&amp;D106&amp;"* por "&amp;F106&amp;",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06" s="10">
        <f>IFERROR(INDEX(Facturación!$Q:$Q,MATCH(B106,Facturación!$A:$A,0)),"")</f>
        <v/>
      </c>
    </row>
    <row r="107" ht="15" customHeight="1" s="1">
      <c r="A107" s="11">
        <f>IF(B107="","",ROW()-1)</f>
        <v/>
      </c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0">
        <f>IF(OR(B107="",L107&lt;&gt;"Sí"),"","Hola, "&amp;B107&amp;", excelente día. Le saluda *Alejandro Estrada* de Toyota Corregidora."&amp;CHAR(10)&amp;"Muchas gracias por visitarnos y conocer la *"&amp;D107&amp;"*.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07" s="11">
        <f>IF(Q107="","",HYPERLINK("https://wa.me/52"&amp;C107&amp;"?text="&amp;_xlfn.ENCODEURL(Q107),"Enviar Bienvenida"))</f>
        <v/>
      </c>
      <c r="S107" s="10">
        <f>IF(B107="","","Hola, "&amp;B107&amp;", muy buen día."&amp;CHAR(10)&amp;"Espero que esté teniendo una excelente semana. Le escribo para saber si tiene alguna duda sobre la oferta del *"&amp;D107&amp;"*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07" s="11">
        <f>IF(S107="","",HYPERLINK("https://wa.me/52"&amp;C107&amp;"?text="&amp;_xlfn.ENCODEURL(S107),"Enviar Seguimiento"))</f>
        <v/>
      </c>
      <c r="U107" s="10">
        <f>IF(B107="","",_xlfn.SWITCH(M107,"Apartado","Hola, "&amp;B107&amp;", buen día. Le confirmo que su apartado por el *"&amp;D107&amp;"* quedó registrado correctamente. Seguimos con el proceso y le mantendré informado(a) de cada paso.","Toma de vehículo","Hola, "&amp;B107&amp;", le comparto que estamos en el proceso de toma de su vehículo actual. En cuanto tengamos el resultado le aviso para continuar con el siguiente paso.","Pago vehículo a cuenta","Hola, "&amp;B107&amp;", quedamos en proceso de pago del vehículo que se toma a cuenta. Cualquier documento o aclaración que se requiera se lo haré saber por este medio.","Firma de contrato","Hola, "&amp;B107&amp;", ya estamos listos para agendar la firma de su contrato. ¿Qué día y hora se le facilita para realizarla?","Facturación","Hola, "&amp;B107&amp;", su unidad ya está en proceso de facturación. En breve le comparto los datos para su confirmación.","Programación de entrega","Hola, "&amp;B107&amp;", con gusto le comparto que ya podemos programar la entrega de su *"&amp;D107&amp;"*. ¿Qué día y hora le acomodan mejor?","Entregado","Hola, "&amp;B107&amp;", ¡muchas felicidades por estrenar su *"&amp;D107&amp;"*! Fue un gusto acompañarle en este proceso. Quedo pendiente de cualquier duda y con gusto le agendo su próxima cita de servicio cuando lo necesite.","Hola, "&amp;B107&amp;", seguimos en contacto para avanzar con el proceso de su próximo Toyota.")&amp;CHAR(10)&amp;CHAR(10)&amp;Config!$B$1)</f>
        <v/>
      </c>
      <c r="V107" s="11">
        <f>IF(U107="","",HYPERLINK("https://wa.me/52"&amp;C107&amp;"?text="&amp;_xlfn.ENCODEURL(U107),"Enviar aviso de etapa"))</f>
        <v/>
      </c>
      <c r="W107" s="10">
        <f>IF(OR(B107="",O107=""),"","Hola, "&amp;B107&amp;", ¡feliz cumpleaños! Le deseo un excelente día rodeado de quienes más quiere. Ha sido un placer acompañarle desde que estrenó su Toyota. ¡Un abrazo!"&amp;CHAR(10)&amp;CHAR(10)&amp;Config!$B$1)</f>
        <v/>
      </c>
      <c r="X107" s="11">
        <f>IF(W107="","",HYPERLINK("https://wa.me/52"&amp;C107&amp;"?text="&amp;_xlfn.ENCODEURL(W107),"Enviar felicitación"))</f>
        <v/>
      </c>
      <c r="Y107" s="10">
        <f>IF(OR(B107="",P107=""),"","Hola, "&amp;B107&amp;", hoy se cumple un año más desde que estrenó su *"&amp;D107&amp;"*. Espero que haya sido un gran compañero de camino. Cualquier cosa que necesite, aquí estoy para apoyarle."&amp;CHAR(10)&amp;CHAR(10)&amp;Config!$B$1)</f>
        <v/>
      </c>
      <c r="Z107" s="11">
        <f>IF(Y107="","",HYPERLINK("https://wa.me/52"&amp;C107&amp;"?text="&amp;_xlfn.ENCODEURL(Y107),"Enviar aniversario"))</f>
        <v/>
      </c>
      <c r="AA107" s="11" t="n"/>
      <c r="AB107" s="11">
        <f>IF(OR(B107="",AA107=""),"",HYPERLINK("https://wa.me/52"&amp;C107&amp;"?text="&amp;_xlfn.ENCODEURL(_xlfn.SWITCH(AA107,"Bienvenida (primera visita)",Q107,"Seguimiento",S107,"Aviso de Etapa",U107,"Requisitos",AC107,"Datos de Facturación",AD107,"Cumpleaños",W107,"Aniversario",Y107,"")),"Enviar mensaje seleccionado"))</f>
        <v/>
      </c>
      <c r="AC107" s="10">
        <f>IF(B107="","",_xlfn.SWITCH(F107&amp;"|"&amp;G107,"Crédito|Persona física","Hola, "&amp;B107&amp;", para continuar con el proceso de tu *"&amp;D107&amp;"* por "&amp;F107&amp;",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"&amp;B107&amp;", para continuar con el proceso de tu *"&amp;D107&amp;"* por "&amp;F107&amp;",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"&amp;B107&amp;", para continuar con el proceso de tu *"&amp;D107&amp;"* por "&amp;F107&amp;",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"&amp;B107&amp;", para continuar con el proceso de tu *"&amp;D107&amp;"* por "&amp;F107&amp;", estos son los documentos que necesitamos:"&amp;CHAR(10)&amp;CHAR(10)&amp;"- INE"&amp;CHAR(10)&amp;"- Comprobante de domicilio"&amp;CHAR(10)&amp;"- Constancia de situación fiscal (no mayor a 3 meses)","Contado|Persona física con actividad empresarial","Hola, "&amp;B107&amp;", para continuar con el proceso de tu *"&amp;D107&amp;"* por "&amp;F107&amp;", estos son los documentos que necesitamos:"&amp;CHAR(10)&amp;CHAR(10)&amp;"- INE"&amp;CHAR(10)&amp;"- Comprobante de domicilio"&amp;CHAR(10)&amp;"- Constancia de situación fiscal (no mayor a 3 meses)","Contado|Persona moral","Hola, "&amp;B107&amp;", para continuar con el proceso de tu *"&amp;D107&amp;"* por "&amp;F107&amp;",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07" s="10">
        <f>IFERROR(INDEX(Facturación!$Q:$Q,MATCH(B107,Facturación!$A:$A,0)),"")</f>
        <v/>
      </c>
    </row>
    <row r="108" ht="15" customHeight="1" s="1">
      <c r="A108" s="11">
        <f>IF(B108="","",ROW()-1)</f>
        <v/>
      </c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0">
        <f>IF(OR(B108="",L108&lt;&gt;"Sí"),"","Hola, "&amp;B108&amp;", excelente día. Le saluda *Alejandro Estrada* de Toyota Corregidora."&amp;CHAR(10)&amp;"Muchas gracias por visitarnos y conocer la *"&amp;D108&amp;"*.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08" s="11">
        <f>IF(Q108="","",HYPERLINK("https://wa.me/52"&amp;C108&amp;"?text="&amp;_xlfn.ENCODEURL(Q108),"Enviar Bienvenida"))</f>
        <v/>
      </c>
      <c r="S108" s="10">
        <f>IF(B108="","","Hola, "&amp;B108&amp;", muy buen día."&amp;CHAR(10)&amp;"Espero que esté teniendo una excelente semana. Le escribo para saber si tiene alguna duda sobre la oferta del *"&amp;D108&amp;"*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08" s="11">
        <f>IF(S108="","",HYPERLINK("https://wa.me/52"&amp;C108&amp;"?text="&amp;_xlfn.ENCODEURL(S108),"Enviar Seguimiento"))</f>
        <v/>
      </c>
      <c r="U108" s="10">
        <f>IF(B108="","",_xlfn.SWITCH(M108,"Apartado","Hola, "&amp;B108&amp;", buen día. Le confirmo que su apartado por el *"&amp;D108&amp;"* quedó registrado correctamente. Seguimos con el proceso y le mantendré informado(a) de cada paso.","Toma de vehículo","Hola, "&amp;B108&amp;", le comparto que estamos en el proceso de toma de su vehículo actual. En cuanto tengamos el resultado le aviso para continuar con el siguiente paso.","Pago vehículo a cuenta","Hola, "&amp;B108&amp;", quedamos en proceso de pago del vehículo que se toma a cuenta. Cualquier documento o aclaración que se requiera se lo haré saber por este medio.","Firma de contrato","Hola, "&amp;B108&amp;", ya estamos listos para agendar la firma de su contrato. ¿Qué día y hora se le facilita para realizarla?","Facturación","Hola, "&amp;B108&amp;", su unidad ya está en proceso de facturación. En breve le comparto los datos para su confirmación.","Programación de entrega","Hola, "&amp;B108&amp;", con gusto le comparto que ya podemos programar la entrega de su *"&amp;D108&amp;"*. ¿Qué día y hora le acomodan mejor?","Entregado","Hola, "&amp;B108&amp;", ¡muchas felicidades por estrenar su *"&amp;D108&amp;"*! Fue un gusto acompañarle en este proceso. Quedo pendiente de cualquier duda y con gusto le agendo su próxima cita de servicio cuando lo necesite.","Hola, "&amp;B108&amp;", seguimos en contacto para avanzar con el proceso de su próximo Toyota.")&amp;CHAR(10)&amp;CHAR(10)&amp;Config!$B$1)</f>
        <v/>
      </c>
      <c r="V108" s="11">
        <f>IF(U108="","",HYPERLINK("https://wa.me/52"&amp;C108&amp;"?text="&amp;_xlfn.ENCODEURL(U108),"Enviar aviso de etapa"))</f>
        <v/>
      </c>
      <c r="W108" s="10">
        <f>IF(OR(B108="",O108=""),"","Hola, "&amp;B108&amp;", ¡feliz cumpleaños! Le deseo un excelente día rodeado de quienes más quiere. Ha sido un placer acompañarle desde que estrenó su Toyota. ¡Un abrazo!"&amp;CHAR(10)&amp;CHAR(10)&amp;Config!$B$1)</f>
        <v/>
      </c>
      <c r="X108" s="11">
        <f>IF(W108="","",HYPERLINK("https://wa.me/52"&amp;C108&amp;"?text="&amp;_xlfn.ENCODEURL(W108),"Enviar felicitación"))</f>
        <v/>
      </c>
      <c r="Y108" s="10">
        <f>IF(OR(B108="",P108=""),"","Hola, "&amp;B108&amp;", hoy se cumple un año más desde que estrenó su *"&amp;D108&amp;"*. Espero que haya sido un gran compañero de camino. Cualquier cosa que necesite, aquí estoy para apoyarle."&amp;CHAR(10)&amp;CHAR(10)&amp;Config!$B$1)</f>
        <v/>
      </c>
      <c r="Z108" s="11">
        <f>IF(Y108="","",HYPERLINK("https://wa.me/52"&amp;C108&amp;"?text="&amp;_xlfn.ENCODEURL(Y108),"Enviar aniversario"))</f>
        <v/>
      </c>
      <c r="AA108" s="11" t="n"/>
      <c r="AB108" s="11">
        <f>IF(OR(B108="",AA108=""),"",HYPERLINK("https://wa.me/52"&amp;C108&amp;"?text="&amp;_xlfn.ENCODEURL(_xlfn.SWITCH(AA108,"Bienvenida (primera visita)",Q108,"Seguimiento",S108,"Aviso de Etapa",U108,"Requisitos",AC108,"Datos de Facturación",AD108,"Cumpleaños",W108,"Aniversario",Y108,"")),"Enviar mensaje seleccionado"))</f>
        <v/>
      </c>
      <c r="AC108" s="10">
        <f>IF(B108="","",_xlfn.SWITCH(F108&amp;"|"&amp;G108,"Crédito|Persona física","Hola, "&amp;B108&amp;", para continuar con el proceso de tu *"&amp;D108&amp;"* por "&amp;F108&amp;",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"&amp;B108&amp;", para continuar con el proceso de tu *"&amp;D108&amp;"* por "&amp;F108&amp;",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"&amp;B108&amp;", para continuar con el proceso de tu *"&amp;D108&amp;"* por "&amp;F108&amp;",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"&amp;B108&amp;", para continuar con el proceso de tu *"&amp;D108&amp;"* por "&amp;F108&amp;", estos son los documentos que necesitamos:"&amp;CHAR(10)&amp;CHAR(10)&amp;"- INE"&amp;CHAR(10)&amp;"- Comprobante de domicilio"&amp;CHAR(10)&amp;"- Constancia de situación fiscal (no mayor a 3 meses)","Contado|Persona física con actividad empresarial","Hola, "&amp;B108&amp;", para continuar con el proceso de tu *"&amp;D108&amp;"* por "&amp;F108&amp;", estos son los documentos que necesitamos:"&amp;CHAR(10)&amp;CHAR(10)&amp;"- INE"&amp;CHAR(10)&amp;"- Comprobante de domicilio"&amp;CHAR(10)&amp;"- Constancia de situación fiscal (no mayor a 3 meses)","Contado|Persona moral","Hola, "&amp;B108&amp;", para continuar con el proceso de tu *"&amp;D108&amp;"* por "&amp;F108&amp;",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08" s="10">
        <f>IFERROR(INDEX(Facturación!$Q:$Q,MATCH(B108,Facturación!$A:$A,0)),"")</f>
        <v/>
      </c>
    </row>
    <row r="109" ht="15" customHeight="1" s="1">
      <c r="A109" s="11">
        <f>IF(B109="","",ROW()-1)</f>
        <v/>
      </c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0">
        <f>IF(OR(B109="",L109&lt;&gt;"Sí"),"","Hola, "&amp;B109&amp;", excelente día. Le saluda *Alejandro Estrada* de Toyota Corregidora."&amp;CHAR(10)&amp;"Muchas gracias por visitarnos y conocer la *"&amp;D109&amp;"*.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09" s="11">
        <f>IF(Q109="","",HYPERLINK("https://wa.me/52"&amp;C109&amp;"?text="&amp;_xlfn.ENCODEURL(Q109),"Enviar Bienvenida"))</f>
        <v/>
      </c>
      <c r="S109" s="10">
        <f>IF(B109="","","Hola, "&amp;B109&amp;", muy buen día."&amp;CHAR(10)&amp;"Espero que esté teniendo una excelente semana. Le escribo para saber si tiene alguna duda sobre la oferta del *"&amp;D109&amp;"*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09" s="11">
        <f>IF(S109="","",HYPERLINK("https://wa.me/52"&amp;C109&amp;"?text="&amp;_xlfn.ENCODEURL(S109),"Enviar Seguimiento"))</f>
        <v/>
      </c>
      <c r="U109" s="10">
        <f>IF(B109="","",_xlfn.SWITCH(M109,"Apartado","Hola, "&amp;B109&amp;", buen día. Le confirmo que su apartado por el *"&amp;D109&amp;"* quedó registrado correctamente. Seguimos con el proceso y le mantendré informado(a) de cada paso.","Toma de vehículo","Hola, "&amp;B109&amp;", le comparto que estamos en el proceso de toma de su vehículo actual. En cuanto tengamos el resultado le aviso para continuar con el siguiente paso.","Pago vehículo a cuenta","Hola, "&amp;B109&amp;", quedamos en proceso de pago del vehículo que se toma a cuenta. Cualquier documento o aclaración que se requiera se lo haré saber por este medio.","Firma de contrato","Hola, "&amp;B109&amp;", ya estamos listos para agendar la firma de su contrato. ¿Qué día y hora se le facilita para realizarla?","Facturación","Hola, "&amp;B109&amp;", su unidad ya está en proceso de facturación. En breve le comparto los datos para su confirmación.","Programación de entrega","Hola, "&amp;B109&amp;", con gusto le comparto que ya podemos programar la entrega de su *"&amp;D109&amp;"*. ¿Qué día y hora le acomodan mejor?","Entregado","Hola, "&amp;B109&amp;", ¡muchas felicidades por estrenar su *"&amp;D109&amp;"*! Fue un gusto acompañarle en este proceso. Quedo pendiente de cualquier duda y con gusto le agendo su próxima cita de servicio cuando lo necesite.","Hola, "&amp;B109&amp;", seguimos en contacto para avanzar con el proceso de su próximo Toyota.")&amp;CHAR(10)&amp;CHAR(10)&amp;Config!$B$1)</f>
        <v/>
      </c>
      <c r="V109" s="11">
        <f>IF(U109="","",HYPERLINK("https://wa.me/52"&amp;C109&amp;"?text="&amp;_xlfn.ENCODEURL(U109),"Enviar aviso de etapa"))</f>
        <v/>
      </c>
      <c r="W109" s="10">
        <f>IF(OR(B109="",O109=""),"","Hola, "&amp;B109&amp;", ¡feliz cumpleaños! Le deseo un excelente día rodeado de quienes más quiere. Ha sido un placer acompañarle desde que estrenó su Toyota. ¡Un abrazo!"&amp;CHAR(10)&amp;CHAR(10)&amp;Config!$B$1)</f>
        <v/>
      </c>
      <c r="X109" s="11">
        <f>IF(W109="","",HYPERLINK("https://wa.me/52"&amp;C109&amp;"?text="&amp;_xlfn.ENCODEURL(W109),"Enviar felicitación"))</f>
        <v/>
      </c>
      <c r="Y109" s="10">
        <f>IF(OR(B109="",P109=""),"","Hola, "&amp;B109&amp;", hoy se cumple un año más desde que estrenó su *"&amp;D109&amp;"*. Espero que haya sido un gran compañero de camino. Cualquier cosa que necesite, aquí estoy para apoyarle."&amp;CHAR(10)&amp;CHAR(10)&amp;Config!$B$1)</f>
        <v/>
      </c>
      <c r="Z109" s="11">
        <f>IF(Y109="","",HYPERLINK("https://wa.me/52"&amp;C109&amp;"?text="&amp;_xlfn.ENCODEURL(Y109),"Enviar aniversario"))</f>
        <v/>
      </c>
      <c r="AA109" s="11" t="n"/>
      <c r="AB109" s="11">
        <f>IF(OR(B109="",AA109=""),"",HYPERLINK("https://wa.me/52"&amp;C109&amp;"?text="&amp;_xlfn.ENCODEURL(_xlfn.SWITCH(AA109,"Bienvenida (primera visita)",Q109,"Seguimiento",S109,"Aviso de Etapa",U109,"Requisitos",AC109,"Datos de Facturación",AD109,"Cumpleaños",W109,"Aniversario",Y109,"")),"Enviar mensaje seleccionado"))</f>
        <v/>
      </c>
      <c r="AC109" s="10">
        <f>IF(B109="","",_xlfn.SWITCH(F109&amp;"|"&amp;G109,"Crédito|Persona física","Hola, "&amp;B109&amp;", para continuar con el proceso de tu *"&amp;D109&amp;"* por "&amp;F109&amp;",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"&amp;B109&amp;", para continuar con el proceso de tu *"&amp;D109&amp;"* por "&amp;F109&amp;",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"&amp;B109&amp;", para continuar con el proceso de tu *"&amp;D109&amp;"* por "&amp;F109&amp;",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"&amp;B109&amp;", para continuar con el proceso de tu *"&amp;D109&amp;"* por "&amp;F109&amp;", estos son los documentos que necesitamos:"&amp;CHAR(10)&amp;CHAR(10)&amp;"- INE"&amp;CHAR(10)&amp;"- Comprobante de domicilio"&amp;CHAR(10)&amp;"- Constancia de situación fiscal (no mayor a 3 meses)","Contado|Persona física con actividad empresarial","Hola, "&amp;B109&amp;", para continuar con el proceso de tu *"&amp;D109&amp;"* por "&amp;F109&amp;", estos son los documentos que necesitamos:"&amp;CHAR(10)&amp;CHAR(10)&amp;"- INE"&amp;CHAR(10)&amp;"- Comprobante de domicilio"&amp;CHAR(10)&amp;"- Constancia de situación fiscal (no mayor a 3 meses)","Contado|Persona moral","Hola, "&amp;B109&amp;", para continuar con el proceso de tu *"&amp;D109&amp;"* por "&amp;F109&amp;",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09" s="10">
        <f>IFERROR(INDEX(Facturación!$Q:$Q,MATCH(B109,Facturación!$A:$A,0)),"")</f>
        <v/>
      </c>
    </row>
    <row r="110" ht="15" customHeight="1" s="1">
      <c r="A110" s="11">
        <f>IF(B110="","",ROW()-1)</f>
        <v/>
      </c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0">
        <f>IF(OR(B110="",L110&lt;&gt;"Sí"),"","Hola, "&amp;B110&amp;", excelente día. Le saluda *Alejandro Estrada* de Toyota Corregidora."&amp;CHAR(10)&amp;"Muchas gracias por visitarnos y conocer la *"&amp;D110&amp;"*.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10" s="11">
        <f>IF(Q110="","",HYPERLINK("https://wa.me/52"&amp;C110&amp;"?text="&amp;_xlfn.ENCODEURL(Q110),"Enviar Bienvenida"))</f>
        <v/>
      </c>
      <c r="S110" s="10">
        <f>IF(B110="","","Hola, "&amp;B110&amp;", muy buen día."&amp;CHAR(10)&amp;"Espero que esté teniendo una excelente semana. Le escribo para saber si tiene alguna duda sobre la oferta del *"&amp;D110&amp;"*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10" s="11">
        <f>IF(S110="","",HYPERLINK("https://wa.me/52"&amp;C110&amp;"?text="&amp;_xlfn.ENCODEURL(S110),"Enviar Seguimiento"))</f>
        <v/>
      </c>
      <c r="U110" s="10">
        <f>IF(B110="","",_xlfn.SWITCH(M110,"Apartado","Hola, "&amp;B110&amp;", buen día. Le confirmo que su apartado por el *"&amp;D110&amp;"* quedó registrado correctamente. Seguimos con el proceso y le mantendré informado(a) de cada paso.","Toma de vehículo","Hola, "&amp;B110&amp;", le comparto que estamos en el proceso de toma de su vehículo actual. En cuanto tengamos el resultado le aviso para continuar con el siguiente paso.","Pago vehículo a cuenta","Hola, "&amp;B110&amp;", quedamos en proceso de pago del vehículo que se toma a cuenta. Cualquier documento o aclaración que se requiera se lo haré saber por este medio.","Firma de contrato","Hola, "&amp;B110&amp;", ya estamos listos para agendar la firma de su contrato. ¿Qué día y hora se le facilita para realizarla?","Facturación","Hola, "&amp;B110&amp;", su unidad ya está en proceso de facturación. En breve le comparto los datos para su confirmación.","Programación de entrega","Hola, "&amp;B110&amp;", con gusto le comparto que ya podemos programar la entrega de su *"&amp;D110&amp;"*. ¿Qué día y hora le acomodan mejor?","Entregado","Hola, "&amp;B110&amp;", ¡muchas felicidades por estrenar su *"&amp;D110&amp;"*! Fue un gusto acompañarle en este proceso. Quedo pendiente de cualquier duda y con gusto le agendo su próxima cita de servicio cuando lo necesite.","Hola, "&amp;B110&amp;", seguimos en contacto para avanzar con el proceso de su próximo Toyota.")&amp;CHAR(10)&amp;CHAR(10)&amp;Config!$B$1)</f>
        <v/>
      </c>
      <c r="V110" s="11">
        <f>IF(U110="","",HYPERLINK("https://wa.me/52"&amp;C110&amp;"?text="&amp;_xlfn.ENCODEURL(U110),"Enviar aviso de etapa"))</f>
        <v/>
      </c>
      <c r="W110" s="10">
        <f>IF(OR(B110="",O110=""),"","Hola, "&amp;B110&amp;", ¡feliz cumpleaños! Le deseo un excelente día rodeado de quienes más quiere. Ha sido un placer acompañarle desde que estrenó su Toyota. ¡Un abrazo!"&amp;CHAR(10)&amp;CHAR(10)&amp;Config!$B$1)</f>
        <v/>
      </c>
      <c r="X110" s="11">
        <f>IF(W110="","",HYPERLINK("https://wa.me/52"&amp;C110&amp;"?text="&amp;_xlfn.ENCODEURL(W110),"Enviar felicitación"))</f>
        <v/>
      </c>
      <c r="Y110" s="10">
        <f>IF(OR(B110="",P110=""),"","Hola, "&amp;B110&amp;", hoy se cumple un año más desde que estrenó su *"&amp;D110&amp;"*. Espero que haya sido un gran compañero de camino. Cualquier cosa que necesite, aquí estoy para apoyarle."&amp;CHAR(10)&amp;CHAR(10)&amp;Config!$B$1)</f>
        <v/>
      </c>
      <c r="Z110" s="11">
        <f>IF(Y110="","",HYPERLINK("https://wa.me/52"&amp;C110&amp;"?text="&amp;_xlfn.ENCODEURL(Y110),"Enviar aniversario"))</f>
        <v/>
      </c>
      <c r="AA110" s="11" t="n"/>
      <c r="AB110" s="11">
        <f>IF(OR(B110="",AA110=""),"",HYPERLINK("https://wa.me/52"&amp;C110&amp;"?text="&amp;_xlfn.ENCODEURL(_xlfn.SWITCH(AA110,"Bienvenida (primera visita)",Q110,"Seguimiento",S110,"Aviso de Etapa",U110,"Requisitos",AC110,"Datos de Facturación",AD110,"Cumpleaños",W110,"Aniversario",Y110,"")),"Enviar mensaje seleccionado"))</f>
        <v/>
      </c>
      <c r="AC110" s="10">
        <f>IF(B110="","",_xlfn.SWITCH(F110&amp;"|"&amp;G110,"Crédito|Persona física","Hola, "&amp;B110&amp;", para continuar con el proceso de tu *"&amp;D110&amp;"* por "&amp;F110&amp;",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"&amp;B110&amp;", para continuar con el proceso de tu *"&amp;D110&amp;"* por "&amp;F110&amp;",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"&amp;B110&amp;", para continuar con el proceso de tu *"&amp;D110&amp;"* por "&amp;F110&amp;",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"&amp;B110&amp;", para continuar con el proceso de tu *"&amp;D110&amp;"* por "&amp;F110&amp;", estos son los documentos que necesitamos:"&amp;CHAR(10)&amp;CHAR(10)&amp;"- INE"&amp;CHAR(10)&amp;"- Comprobante de domicilio"&amp;CHAR(10)&amp;"- Constancia de situación fiscal (no mayor a 3 meses)","Contado|Persona física con actividad empresarial","Hola, "&amp;B110&amp;", para continuar con el proceso de tu *"&amp;D110&amp;"* por "&amp;F110&amp;", estos son los documentos que necesitamos:"&amp;CHAR(10)&amp;CHAR(10)&amp;"- INE"&amp;CHAR(10)&amp;"- Comprobante de domicilio"&amp;CHAR(10)&amp;"- Constancia de situación fiscal (no mayor a 3 meses)","Contado|Persona moral","Hola, "&amp;B110&amp;", para continuar con el proceso de tu *"&amp;D110&amp;"* por "&amp;F110&amp;",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10" s="10">
        <f>IFERROR(INDEX(Facturación!$Q:$Q,MATCH(B110,Facturación!$A:$A,0)),"")</f>
        <v/>
      </c>
    </row>
    <row r="111" ht="15" customHeight="1" s="1">
      <c r="A111" s="11">
        <f>IF(B111="","",ROW()-1)</f>
        <v/>
      </c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0">
        <f>IF(OR(B111="",L111&lt;&gt;"Sí"),"","Hola, "&amp;B111&amp;", excelente día. Le saluda *Alejandro Estrada* de Toyota Corregidora."&amp;CHAR(10)&amp;"Muchas gracias por visitarnos y conocer la *"&amp;D111&amp;"*.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11" s="11">
        <f>IF(Q111="","",HYPERLINK("https://wa.me/52"&amp;C111&amp;"?text="&amp;_xlfn.ENCODEURL(Q111),"Enviar Bienvenida"))</f>
        <v/>
      </c>
      <c r="S111" s="10">
        <f>IF(B111="","","Hola, "&amp;B111&amp;", muy buen día."&amp;CHAR(10)&amp;"Espero que esté teniendo una excelente semana. Le escribo para saber si tiene alguna duda sobre la oferta del *"&amp;D111&amp;"*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11" s="11">
        <f>IF(S111="","",HYPERLINK("https://wa.me/52"&amp;C111&amp;"?text="&amp;_xlfn.ENCODEURL(S111),"Enviar Seguimiento"))</f>
        <v/>
      </c>
      <c r="U111" s="10">
        <f>IF(B111="","",_xlfn.SWITCH(M111,"Apartado","Hola, "&amp;B111&amp;", buen día. Le confirmo que su apartado por el *"&amp;D111&amp;"* quedó registrado correctamente. Seguimos con el proceso y le mantendré informado(a) de cada paso.","Toma de vehículo","Hola, "&amp;B111&amp;", le comparto que estamos en el proceso de toma de su vehículo actual. En cuanto tengamos el resultado le aviso para continuar con el siguiente paso.","Pago vehículo a cuenta","Hola, "&amp;B111&amp;", quedamos en proceso de pago del vehículo que se toma a cuenta. Cualquier documento o aclaración que se requiera se lo haré saber por este medio.","Firma de contrato","Hola, "&amp;B111&amp;", ya estamos listos para agendar la firma de su contrato. ¿Qué día y hora se le facilita para realizarla?","Facturación","Hola, "&amp;B111&amp;", su unidad ya está en proceso de facturación. En breve le comparto los datos para su confirmación.","Programación de entrega","Hola, "&amp;B111&amp;", con gusto le comparto que ya podemos programar la entrega de su *"&amp;D111&amp;"*. ¿Qué día y hora le acomodan mejor?","Entregado","Hola, "&amp;B111&amp;", ¡muchas felicidades por estrenar su *"&amp;D111&amp;"*! Fue un gusto acompañarle en este proceso. Quedo pendiente de cualquier duda y con gusto le agendo su próxima cita de servicio cuando lo necesite.","Hola, "&amp;B111&amp;", seguimos en contacto para avanzar con el proceso de su próximo Toyota.")&amp;CHAR(10)&amp;CHAR(10)&amp;Config!$B$1)</f>
        <v/>
      </c>
      <c r="V111" s="11">
        <f>IF(U111="","",HYPERLINK("https://wa.me/52"&amp;C111&amp;"?text="&amp;_xlfn.ENCODEURL(U111),"Enviar aviso de etapa"))</f>
        <v/>
      </c>
      <c r="W111" s="10">
        <f>IF(OR(B111="",O111=""),"","Hola, "&amp;B111&amp;", ¡feliz cumpleaños! Le deseo un excelente día rodeado de quienes más quiere. Ha sido un placer acompañarle desde que estrenó su Toyota. ¡Un abrazo!"&amp;CHAR(10)&amp;CHAR(10)&amp;Config!$B$1)</f>
        <v/>
      </c>
      <c r="X111" s="11">
        <f>IF(W111="","",HYPERLINK("https://wa.me/52"&amp;C111&amp;"?text="&amp;_xlfn.ENCODEURL(W111),"Enviar felicitación"))</f>
        <v/>
      </c>
      <c r="Y111" s="10">
        <f>IF(OR(B111="",P111=""),"","Hola, "&amp;B111&amp;", hoy se cumple un año más desde que estrenó su *"&amp;D111&amp;"*. Espero que haya sido un gran compañero de camino. Cualquier cosa que necesite, aquí estoy para apoyarle."&amp;CHAR(10)&amp;CHAR(10)&amp;Config!$B$1)</f>
        <v/>
      </c>
      <c r="Z111" s="11">
        <f>IF(Y111="","",HYPERLINK("https://wa.me/52"&amp;C111&amp;"?text="&amp;_xlfn.ENCODEURL(Y111),"Enviar aniversario"))</f>
        <v/>
      </c>
      <c r="AA111" s="11" t="n"/>
      <c r="AB111" s="11">
        <f>IF(OR(B111="",AA111=""),"",HYPERLINK("https://wa.me/52"&amp;C111&amp;"?text="&amp;_xlfn.ENCODEURL(_xlfn.SWITCH(AA111,"Bienvenida (primera visita)",Q111,"Seguimiento",S111,"Aviso de Etapa",U111,"Requisitos",AC111,"Datos de Facturación",AD111,"Cumpleaños",W111,"Aniversario",Y111,"")),"Enviar mensaje seleccionado"))</f>
        <v/>
      </c>
      <c r="AC111" s="10">
        <f>IF(B111="","",_xlfn.SWITCH(F111&amp;"|"&amp;G111,"Crédito|Persona física","Hola, "&amp;B111&amp;", para continuar con el proceso de tu *"&amp;D111&amp;"* por "&amp;F111&amp;",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"&amp;B111&amp;", para continuar con el proceso de tu *"&amp;D111&amp;"* por "&amp;F111&amp;",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"&amp;B111&amp;", para continuar con el proceso de tu *"&amp;D111&amp;"* por "&amp;F111&amp;",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"&amp;B111&amp;", para continuar con el proceso de tu *"&amp;D111&amp;"* por "&amp;F111&amp;", estos son los documentos que necesitamos:"&amp;CHAR(10)&amp;CHAR(10)&amp;"- INE"&amp;CHAR(10)&amp;"- Comprobante de domicilio"&amp;CHAR(10)&amp;"- Constancia de situación fiscal (no mayor a 3 meses)","Contado|Persona física con actividad empresarial","Hola, "&amp;B111&amp;", para continuar con el proceso de tu *"&amp;D111&amp;"* por "&amp;F111&amp;", estos son los documentos que necesitamos:"&amp;CHAR(10)&amp;CHAR(10)&amp;"- INE"&amp;CHAR(10)&amp;"- Comprobante de domicilio"&amp;CHAR(10)&amp;"- Constancia de situación fiscal (no mayor a 3 meses)","Contado|Persona moral","Hola, "&amp;B111&amp;", para continuar con el proceso de tu *"&amp;D111&amp;"* por "&amp;F111&amp;",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11" s="10">
        <f>IFERROR(INDEX(Facturación!$Q:$Q,MATCH(B111,Facturación!$A:$A,0)),"")</f>
        <v/>
      </c>
    </row>
    <row r="112" ht="15" customHeight="1" s="1">
      <c r="A112" s="11">
        <f>IF(B112="","",ROW()-1)</f>
        <v/>
      </c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0">
        <f>IF(OR(B112="",L112&lt;&gt;"Sí"),"","Hola, "&amp;B112&amp;", excelente día. Le saluda *Alejandro Estrada* de Toyota Corregidora."&amp;CHAR(10)&amp;"Muchas gracias por visitarnos y conocer la *"&amp;D112&amp;"*.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12" s="11">
        <f>IF(Q112="","",HYPERLINK("https://wa.me/52"&amp;C112&amp;"?text="&amp;_xlfn.ENCODEURL(Q112),"Enviar Bienvenida"))</f>
        <v/>
      </c>
      <c r="S112" s="10">
        <f>IF(B112="","","Hola, "&amp;B112&amp;", muy buen día."&amp;CHAR(10)&amp;"Espero que esté teniendo una excelente semana. Le escribo para saber si tiene alguna duda sobre la oferta del *"&amp;D112&amp;"*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12" s="11">
        <f>IF(S112="","",HYPERLINK("https://wa.me/52"&amp;C112&amp;"?text="&amp;_xlfn.ENCODEURL(S112),"Enviar Seguimiento"))</f>
        <v/>
      </c>
      <c r="U112" s="10">
        <f>IF(B112="","",_xlfn.SWITCH(M112,"Apartado","Hola, "&amp;B112&amp;", buen día. Le confirmo que su apartado por el *"&amp;D112&amp;"* quedó registrado correctamente. Seguimos con el proceso y le mantendré informado(a) de cada paso.","Toma de vehículo","Hola, "&amp;B112&amp;", le comparto que estamos en el proceso de toma de su vehículo actual. En cuanto tengamos el resultado le aviso para continuar con el siguiente paso.","Pago vehículo a cuenta","Hola, "&amp;B112&amp;", quedamos en proceso de pago del vehículo que se toma a cuenta. Cualquier documento o aclaración que se requiera se lo haré saber por este medio.","Firma de contrato","Hola, "&amp;B112&amp;", ya estamos listos para agendar la firma de su contrato. ¿Qué día y hora se le facilita para realizarla?","Facturación","Hola, "&amp;B112&amp;", su unidad ya está en proceso de facturación. En breve le comparto los datos para su confirmación.","Programación de entrega","Hola, "&amp;B112&amp;", con gusto le comparto que ya podemos programar la entrega de su *"&amp;D112&amp;"*. ¿Qué día y hora le acomodan mejor?","Entregado","Hola, "&amp;B112&amp;", ¡muchas felicidades por estrenar su *"&amp;D112&amp;"*! Fue un gusto acompañarle en este proceso. Quedo pendiente de cualquier duda y con gusto le agendo su próxima cita de servicio cuando lo necesite.","Hola, "&amp;B112&amp;", seguimos en contacto para avanzar con el proceso de su próximo Toyota.")&amp;CHAR(10)&amp;CHAR(10)&amp;Config!$B$1)</f>
        <v/>
      </c>
      <c r="V112" s="11">
        <f>IF(U112="","",HYPERLINK("https://wa.me/52"&amp;C112&amp;"?text="&amp;_xlfn.ENCODEURL(U112),"Enviar aviso de etapa"))</f>
        <v/>
      </c>
      <c r="W112" s="10">
        <f>IF(OR(B112="",O112=""),"","Hola, "&amp;B112&amp;", ¡feliz cumpleaños! Le deseo un excelente día rodeado de quienes más quiere. Ha sido un placer acompañarle desde que estrenó su Toyota. ¡Un abrazo!"&amp;CHAR(10)&amp;CHAR(10)&amp;Config!$B$1)</f>
        <v/>
      </c>
      <c r="X112" s="11">
        <f>IF(W112="","",HYPERLINK("https://wa.me/52"&amp;C112&amp;"?text="&amp;_xlfn.ENCODEURL(W112),"Enviar felicitación"))</f>
        <v/>
      </c>
      <c r="Y112" s="10">
        <f>IF(OR(B112="",P112=""),"","Hola, "&amp;B112&amp;", hoy se cumple un año más desde que estrenó su *"&amp;D112&amp;"*. Espero que haya sido un gran compañero de camino. Cualquier cosa que necesite, aquí estoy para apoyarle."&amp;CHAR(10)&amp;CHAR(10)&amp;Config!$B$1)</f>
        <v/>
      </c>
      <c r="Z112" s="11">
        <f>IF(Y112="","",HYPERLINK("https://wa.me/52"&amp;C112&amp;"?text="&amp;_xlfn.ENCODEURL(Y112),"Enviar aniversario"))</f>
        <v/>
      </c>
      <c r="AA112" s="11" t="n"/>
      <c r="AB112" s="11">
        <f>IF(OR(B112="",AA112=""),"",HYPERLINK("https://wa.me/52"&amp;C112&amp;"?text="&amp;_xlfn.ENCODEURL(_xlfn.SWITCH(AA112,"Bienvenida (primera visita)",Q112,"Seguimiento",S112,"Aviso de Etapa",U112,"Requisitos",AC112,"Datos de Facturación",AD112,"Cumpleaños",W112,"Aniversario",Y112,"")),"Enviar mensaje seleccionado"))</f>
        <v/>
      </c>
      <c r="AC112" s="10">
        <f>IF(B112="","",_xlfn.SWITCH(F112&amp;"|"&amp;G112,"Crédito|Persona física","Hola, "&amp;B112&amp;", para continuar con el proceso de tu *"&amp;D112&amp;"* por "&amp;F112&amp;",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"&amp;B112&amp;", para continuar con el proceso de tu *"&amp;D112&amp;"* por "&amp;F112&amp;",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"&amp;B112&amp;", para continuar con el proceso de tu *"&amp;D112&amp;"* por "&amp;F112&amp;",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"&amp;B112&amp;", para continuar con el proceso de tu *"&amp;D112&amp;"* por "&amp;F112&amp;", estos son los documentos que necesitamos:"&amp;CHAR(10)&amp;CHAR(10)&amp;"- INE"&amp;CHAR(10)&amp;"- Comprobante de domicilio"&amp;CHAR(10)&amp;"- Constancia de situación fiscal (no mayor a 3 meses)","Contado|Persona física con actividad empresarial","Hola, "&amp;B112&amp;", para continuar con el proceso de tu *"&amp;D112&amp;"* por "&amp;F112&amp;", estos son los documentos que necesitamos:"&amp;CHAR(10)&amp;CHAR(10)&amp;"- INE"&amp;CHAR(10)&amp;"- Comprobante de domicilio"&amp;CHAR(10)&amp;"- Constancia de situación fiscal (no mayor a 3 meses)","Contado|Persona moral","Hola, "&amp;B112&amp;", para continuar con el proceso de tu *"&amp;D112&amp;"* por "&amp;F112&amp;",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12" s="10">
        <f>IFERROR(INDEX(Facturación!$Q:$Q,MATCH(B112,Facturación!$A:$A,0)),"")</f>
        <v/>
      </c>
    </row>
    <row r="113" ht="15" customHeight="1" s="1">
      <c r="A113" s="11">
        <f>IF(B113="","",ROW()-1)</f>
        <v/>
      </c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0">
        <f>IF(OR(B113="",L113&lt;&gt;"Sí"),"","Hola, "&amp;B113&amp;", excelente día. Le saluda *Alejandro Estrada* de Toyota Corregidora."&amp;CHAR(10)&amp;"Muchas gracias por visitarnos y conocer la *"&amp;D113&amp;"*.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13" s="11">
        <f>IF(Q113="","",HYPERLINK("https://wa.me/52"&amp;C113&amp;"?text="&amp;_xlfn.ENCODEURL(Q113),"Enviar Bienvenida"))</f>
        <v/>
      </c>
      <c r="S113" s="10">
        <f>IF(B113="","","Hola, "&amp;B113&amp;", muy buen día."&amp;CHAR(10)&amp;"Espero que esté teniendo una excelente semana. Le escribo para saber si tiene alguna duda sobre la oferta del *"&amp;D113&amp;"*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13" s="11">
        <f>IF(S113="","",HYPERLINK("https://wa.me/52"&amp;C113&amp;"?text="&amp;_xlfn.ENCODEURL(S113),"Enviar Seguimiento"))</f>
        <v/>
      </c>
      <c r="U113" s="10">
        <f>IF(B113="","",_xlfn.SWITCH(M113,"Apartado","Hola, "&amp;B113&amp;", buen día. Le confirmo que su apartado por el *"&amp;D113&amp;"* quedó registrado correctamente. Seguimos con el proceso y le mantendré informado(a) de cada paso.","Toma de vehículo","Hola, "&amp;B113&amp;", le comparto que estamos en el proceso de toma de su vehículo actual. En cuanto tengamos el resultado le aviso para continuar con el siguiente paso.","Pago vehículo a cuenta","Hola, "&amp;B113&amp;", quedamos en proceso de pago del vehículo que se toma a cuenta. Cualquier documento o aclaración que se requiera se lo haré saber por este medio.","Firma de contrato","Hola, "&amp;B113&amp;", ya estamos listos para agendar la firma de su contrato. ¿Qué día y hora se le facilita para realizarla?","Facturación","Hola, "&amp;B113&amp;", su unidad ya está en proceso de facturación. En breve le comparto los datos para su confirmación.","Programación de entrega","Hola, "&amp;B113&amp;", con gusto le comparto que ya podemos programar la entrega de su *"&amp;D113&amp;"*. ¿Qué día y hora le acomodan mejor?","Entregado","Hola, "&amp;B113&amp;", ¡muchas felicidades por estrenar su *"&amp;D113&amp;"*! Fue un gusto acompañarle en este proceso. Quedo pendiente de cualquier duda y con gusto le agendo su próxima cita de servicio cuando lo necesite.","Hola, "&amp;B113&amp;", seguimos en contacto para avanzar con el proceso de su próximo Toyota.")&amp;CHAR(10)&amp;CHAR(10)&amp;Config!$B$1)</f>
        <v/>
      </c>
      <c r="V113" s="11">
        <f>IF(U113="","",HYPERLINK("https://wa.me/52"&amp;C113&amp;"?text="&amp;_xlfn.ENCODEURL(U113),"Enviar aviso de etapa"))</f>
        <v/>
      </c>
      <c r="W113" s="10">
        <f>IF(OR(B113="",O113=""),"","Hola, "&amp;B113&amp;", ¡feliz cumpleaños! Le deseo un excelente día rodeado de quienes más quiere. Ha sido un placer acompañarle desde que estrenó su Toyota. ¡Un abrazo!"&amp;CHAR(10)&amp;CHAR(10)&amp;Config!$B$1)</f>
        <v/>
      </c>
      <c r="X113" s="11">
        <f>IF(W113="","",HYPERLINK("https://wa.me/52"&amp;C113&amp;"?text="&amp;_xlfn.ENCODEURL(W113),"Enviar felicitación"))</f>
        <v/>
      </c>
      <c r="Y113" s="10">
        <f>IF(OR(B113="",P113=""),"","Hola, "&amp;B113&amp;", hoy se cumple un año más desde que estrenó su *"&amp;D113&amp;"*. Espero que haya sido un gran compañero de camino. Cualquier cosa que necesite, aquí estoy para apoyarle."&amp;CHAR(10)&amp;CHAR(10)&amp;Config!$B$1)</f>
        <v/>
      </c>
      <c r="Z113" s="11">
        <f>IF(Y113="","",HYPERLINK("https://wa.me/52"&amp;C113&amp;"?text="&amp;_xlfn.ENCODEURL(Y113),"Enviar aniversario"))</f>
        <v/>
      </c>
      <c r="AA113" s="11" t="n"/>
      <c r="AB113" s="11">
        <f>IF(OR(B113="",AA113=""),"",HYPERLINK("https://wa.me/52"&amp;C113&amp;"?text="&amp;_xlfn.ENCODEURL(_xlfn.SWITCH(AA113,"Bienvenida (primera visita)",Q113,"Seguimiento",S113,"Aviso de Etapa",U113,"Requisitos",AC113,"Datos de Facturación",AD113,"Cumpleaños",W113,"Aniversario",Y113,"")),"Enviar mensaje seleccionado"))</f>
        <v/>
      </c>
      <c r="AC113" s="10">
        <f>IF(B113="","",_xlfn.SWITCH(F113&amp;"|"&amp;G113,"Crédito|Persona física","Hola, "&amp;B113&amp;", para continuar con el proceso de tu *"&amp;D113&amp;"* por "&amp;F113&amp;",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"&amp;B113&amp;", para continuar con el proceso de tu *"&amp;D113&amp;"* por "&amp;F113&amp;",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"&amp;B113&amp;", para continuar con el proceso de tu *"&amp;D113&amp;"* por "&amp;F113&amp;",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"&amp;B113&amp;", para continuar con el proceso de tu *"&amp;D113&amp;"* por "&amp;F113&amp;", estos son los documentos que necesitamos:"&amp;CHAR(10)&amp;CHAR(10)&amp;"- INE"&amp;CHAR(10)&amp;"- Comprobante de domicilio"&amp;CHAR(10)&amp;"- Constancia de situación fiscal (no mayor a 3 meses)","Contado|Persona física con actividad empresarial","Hola, "&amp;B113&amp;", para continuar con el proceso de tu *"&amp;D113&amp;"* por "&amp;F113&amp;", estos son los documentos que necesitamos:"&amp;CHAR(10)&amp;CHAR(10)&amp;"- INE"&amp;CHAR(10)&amp;"- Comprobante de domicilio"&amp;CHAR(10)&amp;"- Constancia de situación fiscal (no mayor a 3 meses)","Contado|Persona moral","Hola, "&amp;B113&amp;", para continuar con el proceso de tu *"&amp;D113&amp;"* por "&amp;F113&amp;",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13" s="10">
        <f>IFERROR(INDEX(Facturación!$Q:$Q,MATCH(B113,Facturación!$A:$A,0)),"")</f>
        <v/>
      </c>
    </row>
    <row r="114" ht="15" customHeight="1" s="1">
      <c r="A114" s="11">
        <f>IF(B114="","",ROW()-1)</f>
        <v/>
      </c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0">
        <f>IF(OR(B114="",L114&lt;&gt;"Sí"),"","Hola, "&amp;B114&amp;", excelente día. Le saluda *Alejandro Estrada* de Toyota Corregidora."&amp;CHAR(10)&amp;"Muchas gracias por visitarnos y conocer la *"&amp;D114&amp;"*.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14" s="11">
        <f>IF(Q114="","",HYPERLINK("https://wa.me/52"&amp;C114&amp;"?text="&amp;_xlfn.ENCODEURL(Q114),"Enviar Bienvenida"))</f>
        <v/>
      </c>
      <c r="S114" s="10">
        <f>IF(B114="","","Hola, "&amp;B114&amp;", muy buen día."&amp;CHAR(10)&amp;"Espero que esté teniendo una excelente semana. Le escribo para saber si tiene alguna duda sobre la oferta del *"&amp;D114&amp;"*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14" s="11">
        <f>IF(S114="","",HYPERLINK("https://wa.me/52"&amp;C114&amp;"?text="&amp;_xlfn.ENCODEURL(S114),"Enviar Seguimiento"))</f>
        <v/>
      </c>
      <c r="U114" s="10">
        <f>IF(B114="","",_xlfn.SWITCH(M114,"Apartado","Hola, "&amp;B114&amp;", buen día. Le confirmo que su apartado por el *"&amp;D114&amp;"* quedó registrado correctamente. Seguimos con el proceso y le mantendré informado(a) de cada paso.","Toma de vehículo","Hola, "&amp;B114&amp;", le comparto que estamos en el proceso de toma de su vehículo actual. En cuanto tengamos el resultado le aviso para continuar con el siguiente paso.","Pago vehículo a cuenta","Hola, "&amp;B114&amp;", quedamos en proceso de pago del vehículo que se toma a cuenta. Cualquier documento o aclaración que se requiera se lo haré saber por este medio.","Firma de contrato","Hola, "&amp;B114&amp;", ya estamos listos para agendar la firma de su contrato. ¿Qué día y hora se le facilita para realizarla?","Facturación","Hola, "&amp;B114&amp;", su unidad ya está en proceso de facturación. En breve le comparto los datos para su confirmación.","Programación de entrega","Hola, "&amp;B114&amp;", con gusto le comparto que ya podemos programar la entrega de su *"&amp;D114&amp;"*. ¿Qué día y hora le acomodan mejor?","Entregado","Hola, "&amp;B114&amp;", ¡muchas felicidades por estrenar su *"&amp;D114&amp;"*! Fue un gusto acompañarle en este proceso. Quedo pendiente de cualquier duda y con gusto le agendo su próxima cita de servicio cuando lo necesite.","Hola, "&amp;B114&amp;", seguimos en contacto para avanzar con el proceso de su próximo Toyota.")&amp;CHAR(10)&amp;CHAR(10)&amp;Config!$B$1)</f>
        <v/>
      </c>
      <c r="V114" s="11">
        <f>IF(U114="","",HYPERLINK("https://wa.me/52"&amp;C114&amp;"?text="&amp;_xlfn.ENCODEURL(U114),"Enviar aviso de etapa"))</f>
        <v/>
      </c>
      <c r="W114" s="10">
        <f>IF(OR(B114="",O114=""),"","Hola, "&amp;B114&amp;", ¡feliz cumpleaños! Le deseo un excelente día rodeado de quienes más quiere. Ha sido un placer acompañarle desde que estrenó su Toyota. ¡Un abrazo!"&amp;CHAR(10)&amp;CHAR(10)&amp;Config!$B$1)</f>
        <v/>
      </c>
      <c r="X114" s="11">
        <f>IF(W114="","",HYPERLINK("https://wa.me/52"&amp;C114&amp;"?text="&amp;_xlfn.ENCODEURL(W114),"Enviar felicitación"))</f>
        <v/>
      </c>
      <c r="Y114" s="10">
        <f>IF(OR(B114="",P114=""),"","Hola, "&amp;B114&amp;", hoy se cumple un año más desde que estrenó su *"&amp;D114&amp;"*. Espero que haya sido un gran compañero de camino. Cualquier cosa que necesite, aquí estoy para apoyarle."&amp;CHAR(10)&amp;CHAR(10)&amp;Config!$B$1)</f>
        <v/>
      </c>
      <c r="Z114" s="11">
        <f>IF(Y114="","",HYPERLINK("https://wa.me/52"&amp;C114&amp;"?text="&amp;_xlfn.ENCODEURL(Y114),"Enviar aniversario"))</f>
        <v/>
      </c>
      <c r="AA114" s="11" t="n"/>
      <c r="AB114" s="11">
        <f>IF(OR(B114="",AA114=""),"",HYPERLINK("https://wa.me/52"&amp;C114&amp;"?text="&amp;_xlfn.ENCODEURL(_xlfn.SWITCH(AA114,"Bienvenida (primera visita)",Q114,"Seguimiento",S114,"Aviso de Etapa",U114,"Requisitos",AC114,"Datos de Facturación",AD114,"Cumpleaños",W114,"Aniversario",Y114,"")),"Enviar mensaje seleccionado"))</f>
        <v/>
      </c>
      <c r="AC114" s="10">
        <f>IF(B114="","",_xlfn.SWITCH(F114&amp;"|"&amp;G114,"Crédito|Persona física","Hola, "&amp;B114&amp;", para continuar con el proceso de tu *"&amp;D114&amp;"* por "&amp;F114&amp;",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"&amp;B114&amp;", para continuar con el proceso de tu *"&amp;D114&amp;"* por "&amp;F114&amp;",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"&amp;B114&amp;", para continuar con el proceso de tu *"&amp;D114&amp;"* por "&amp;F114&amp;",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"&amp;B114&amp;", para continuar con el proceso de tu *"&amp;D114&amp;"* por "&amp;F114&amp;", estos son los documentos que necesitamos:"&amp;CHAR(10)&amp;CHAR(10)&amp;"- INE"&amp;CHAR(10)&amp;"- Comprobante de domicilio"&amp;CHAR(10)&amp;"- Constancia de situación fiscal (no mayor a 3 meses)","Contado|Persona física con actividad empresarial","Hola, "&amp;B114&amp;", para continuar con el proceso de tu *"&amp;D114&amp;"* por "&amp;F114&amp;", estos son los documentos que necesitamos:"&amp;CHAR(10)&amp;CHAR(10)&amp;"- INE"&amp;CHAR(10)&amp;"- Comprobante de domicilio"&amp;CHAR(10)&amp;"- Constancia de situación fiscal (no mayor a 3 meses)","Contado|Persona moral","Hola, "&amp;B114&amp;", para continuar con el proceso de tu *"&amp;D114&amp;"* por "&amp;F114&amp;",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14" s="10">
        <f>IFERROR(INDEX(Facturación!$Q:$Q,MATCH(B114,Facturación!$A:$A,0)),"")</f>
        <v/>
      </c>
    </row>
    <row r="115" ht="15" customHeight="1" s="1">
      <c r="A115" s="11">
        <f>IF(B115="","",ROW()-1)</f>
        <v/>
      </c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0">
        <f>IF(OR(B115="",L115&lt;&gt;"Sí"),"","Hola, "&amp;B115&amp;", excelente día. Le saluda *Alejandro Estrada* de Toyota Corregidora."&amp;CHAR(10)&amp;"Muchas gracias por visitarnos y conocer la *"&amp;D115&amp;"*.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15" s="11">
        <f>IF(Q115="","",HYPERLINK("https://wa.me/52"&amp;C115&amp;"?text="&amp;_xlfn.ENCODEURL(Q115),"Enviar Bienvenida"))</f>
        <v/>
      </c>
      <c r="S115" s="10">
        <f>IF(B115="","","Hola, "&amp;B115&amp;", muy buen día."&amp;CHAR(10)&amp;"Espero que esté teniendo una excelente semana. Le escribo para saber si tiene alguna duda sobre la oferta del *"&amp;D115&amp;"*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15" s="11">
        <f>IF(S115="","",HYPERLINK("https://wa.me/52"&amp;C115&amp;"?text="&amp;_xlfn.ENCODEURL(S115),"Enviar Seguimiento"))</f>
        <v/>
      </c>
      <c r="U115" s="10">
        <f>IF(B115="","",_xlfn.SWITCH(M115,"Apartado","Hola, "&amp;B115&amp;", buen día. Le confirmo que su apartado por el *"&amp;D115&amp;"* quedó registrado correctamente. Seguimos con el proceso y le mantendré informado(a) de cada paso.","Toma de vehículo","Hola, "&amp;B115&amp;", le comparto que estamos en el proceso de toma de su vehículo actual. En cuanto tengamos el resultado le aviso para continuar con el siguiente paso.","Pago vehículo a cuenta","Hola, "&amp;B115&amp;", quedamos en proceso de pago del vehículo que se toma a cuenta. Cualquier documento o aclaración que se requiera se lo haré saber por este medio.","Firma de contrato","Hola, "&amp;B115&amp;", ya estamos listos para agendar la firma de su contrato. ¿Qué día y hora se le facilita para realizarla?","Facturación","Hola, "&amp;B115&amp;", su unidad ya está en proceso de facturación. En breve le comparto los datos para su confirmación.","Programación de entrega","Hola, "&amp;B115&amp;", con gusto le comparto que ya podemos programar la entrega de su *"&amp;D115&amp;"*. ¿Qué día y hora le acomodan mejor?","Entregado","Hola, "&amp;B115&amp;", ¡muchas felicidades por estrenar su *"&amp;D115&amp;"*! Fue un gusto acompañarle en este proceso. Quedo pendiente de cualquier duda y con gusto le agendo su próxima cita de servicio cuando lo necesite.","Hola, "&amp;B115&amp;", seguimos en contacto para avanzar con el proceso de su próximo Toyota.")&amp;CHAR(10)&amp;CHAR(10)&amp;Config!$B$1)</f>
        <v/>
      </c>
      <c r="V115" s="11">
        <f>IF(U115="","",HYPERLINK("https://wa.me/52"&amp;C115&amp;"?text="&amp;_xlfn.ENCODEURL(U115),"Enviar aviso de etapa"))</f>
        <v/>
      </c>
      <c r="W115" s="10">
        <f>IF(OR(B115="",O115=""),"","Hola, "&amp;B115&amp;", ¡feliz cumpleaños! Le deseo un excelente día rodeado de quienes más quiere. Ha sido un placer acompañarle desde que estrenó su Toyota. ¡Un abrazo!"&amp;CHAR(10)&amp;CHAR(10)&amp;Config!$B$1)</f>
        <v/>
      </c>
      <c r="X115" s="11">
        <f>IF(W115="","",HYPERLINK("https://wa.me/52"&amp;C115&amp;"?text="&amp;_xlfn.ENCODEURL(W115),"Enviar felicitación"))</f>
        <v/>
      </c>
      <c r="Y115" s="10">
        <f>IF(OR(B115="",P115=""),"","Hola, "&amp;B115&amp;", hoy se cumple un año más desde que estrenó su *"&amp;D115&amp;"*. Espero que haya sido un gran compañero de camino. Cualquier cosa que necesite, aquí estoy para apoyarle."&amp;CHAR(10)&amp;CHAR(10)&amp;Config!$B$1)</f>
        <v/>
      </c>
      <c r="Z115" s="11">
        <f>IF(Y115="","",HYPERLINK("https://wa.me/52"&amp;C115&amp;"?text="&amp;_xlfn.ENCODEURL(Y115),"Enviar aniversario"))</f>
        <v/>
      </c>
      <c r="AA115" s="11" t="n"/>
      <c r="AB115" s="11">
        <f>IF(OR(B115="",AA115=""),"",HYPERLINK("https://wa.me/52"&amp;C115&amp;"?text="&amp;_xlfn.ENCODEURL(_xlfn.SWITCH(AA115,"Bienvenida (primera visita)",Q115,"Seguimiento",S115,"Aviso de Etapa",U115,"Requisitos",AC115,"Datos de Facturación",AD115,"Cumpleaños",W115,"Aniversario",Y115,"")),"Enviar mensaje seleccionado"))</f>
        <v/>
      </c>
      <c r="AC115" s="10">
        <f>IF(B115="","",_xlfn.SWITCH(F115&amp;"|"&amp;G115,"Crédito|Persona física","Hola, "&amp;B115&amp;", para continuar con el proceso de tu *"&amp;D115&amp;"* por "&amp;F115&amp;",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"&amp;B115&amp;", para continuar con el proceso de tu *"&amp;D115&amp;"* por "&amp;F115&amp;",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"&amp;B115&amp;", para continuar con el proceso de tu *"&amp;D115&amp;"* por "&amp;F115&amp;",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"&amp;B115&amp;", para continuar con el proceso de tu *"&amp;D115&amp;"* por "&amp;F115&amp;", estos son los documentos que necesitamos:"&amp;CHAR(10)&amp;CHAR(10)&amp;"- INE"&amp;CHAR(10)&amp;"- Comprobante de domicilio"&amp;CHAR(10)&amp;"- Constancia de situación fiscal (no mayor a 3 meses)","Contado|Persona física con actividad empresarial","Hola, "&amp;B115&amp;", para continuar con el proceso de tu *"&amp;D115&amp;"* por "&amp;F115&amp;", estos son los documentos que necesitamos:"&amp;CHAR(10)&amp;CHAR(10)&amp;"- INE"&amp;CHAR(10)&amp;"- Comprobante de domicilio"&amp;CHAR(10)&amp;"- Constancia de situación fiscal (no mayor a 3 meses)","Contado|Persona moral","Hola, "&amp;B115&amp;", para continuar con el proceso de tu *"&amp;D115&amp;"* por "&amp;F115&amp;",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15" s="10">
        <f>IFERROR(INDEX(Facturación!$Q:$Q,MATCH(B115,Facturación!$A:$A,0)),"")</f>
        <v/>
      </c>
    </row>
    <row r="116" ht="15" customHeight="1" s="1">
      <c r="A116" s="11">
        <f>IF(B116="","",ROW()-1)</f>
        <v/>
      </c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0">
        <f>IF(OR(B116="",L116&lt;&gt;"Sí"),"","Hola, "&amp;B116&amp;", excelente día. Le saluda *Alejandro Estrada* de Toyota Corregidora."&amp;CHAR(10)&amp;"Muchas gracias por visitarnos y conocer la *"&amp;D116&amp;"*.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16" s="11">
        <f>IF(Q116="","",HYPERLINK("https://wa.me/52"&amp;C116&amp;"?text="&amp;_xlfn.ENCODEURL(Q116),"Enviar Bienvenida"))</f>
        <v/>
      </c>
      <c r="S116" s="10">
        <f>IF(B116="","","Hola, "&amp;B116&amp;", muy buen día."&amp;CHAR(10)&amp;"Espero que esté teniendo una excelente semana. Le escribo para saber si tiene alguna duda sobre la oferta del *"&amp;D116&amp;"*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16" s="11">
        <f>IF(S116="","",HYPERLINK("https://wa.me/52"&amp;C116&amp;"?text="&amp;_xlfn.ENCODEURL(S116),"Enviar Seguimiento"))</f>
        <v/>
      </c>
      <c r="U116" s="10">
        <f>IF(B116="","",_xlfn.SWITCH(M116,"Apartado","Hola, "&amp;B116&amp;", buen día. Le confirmo que su apartado por el *"&amp;D116&amp;"* quedó registrado correctamente. Seguimos con el proceso y le mantendré informado(a) de cada paso.","Toma de vehículo","Hola, "&amp;B116&amp;", le comparto que estamos en el proceso de toma de su vehículo actual. En cuanto tengamos el resultado le aviso para continuar con el siguiente paso.","Pago vehículo a cuenta","Hola, "&amp;B116&amp;", quedamos en proceso de pago del vehículo que se toma a cuenta. Cualquier documento o aclaración que se requiera se lo haré saber por este medio.","Firma de contrato","Hola, "&amp;B116&amp;", ya estamos listos para agendar la firma de su contrato. ¿Qué día y hora se le facilita para realizarla?","Facturación","Hola, "&amp;B116&amp;", su unidad ya está en proceso de facturación. En breve le comparto los datos para su confirmación.","Programación de entrega","Hola, "&amp;B116&amp;", con gusto le comparto que ya podemos programar la entrega de su *"&amp;D116&amp;"*. ¿Qué día y hora le acomodan mejor?","Entregado","Hola, "&amp;B116&amp;", ¡muchas felicidades por estrenar su *"&amp;D116&amp;"*! Fue un gusto acompañarle en este proceso. Quedo pendiente de cualquier duda y con gusto le agendo su próxima cita de servicio cuando lo necesite.","Hola, "&amp;B116&amp;", seguimos en contacto para avanzar con el proceso de su próximo Toyota.")&amp;CHAR(10)&amp;CHAR(10)&amp;Config!$B$1)</f>
        <v/>
      </c>
      <c r="V116" s="11">
        <f>IF(U116="","",HYPERLINK("https://wa.me/52"&amp;C116&amp;"?text="&amp;_xlfn.ENCODEURL(U116),"Enviar aviso de etapa"))</f>
        <v/>
      </c>
      <c r="W116" s="10">
        <f>IF(OR(B116="",O116=""),"","Hola, "&amp;B116&amp;", ¡feliz cumpleaños! Le deseo un excelente día rodeado de quienes más quiere. Ha sido un placer acompañarle desde que estrenó su Toyota. ¡Un abrazo!"&amp;CHAR(10)&amp;CHAR(10)&amp;Config!$B$1)</f>
        <v/>
      </c>
      <c r="X116" s="11">
        <f>IF(W116="","",HYPERLINK("https://wa.me/52"&amp;C116&amp;"?text="&amp;_xlfn.ENCODEURL(W116),"Enviar felicitación"))</f>
        <v/>
      </c>
      <c r="Y116" s="10">
        <f>IF(OR(B116="",P116=""),"","Hola, "&amp;B116&amp;", hoy se cumple un año más desde que estrenó su *"&amp;D116&amp;"*. Espero que haya sido un gran compañero de camino. Cualquier cosa que necesite, aquí estoy para apoyarle."&amp;CHAR(10)&amp;CHAR(10)&amp;Config!$B$1)</f>
        <v/>
      </c>
      <c r="Z116" s="11">
        <f>IF(Y116="","",HYPERLINK("https://wa.me/52"&amp;C116&amp;"?text="&amp;_xlfn.ENCODEURL(Y116),"Enviar aniversario"))</f>
        <v/>
      </c>
      <c r="AA116" s="11" t="n"/>
      <c r="AB116" s="11">
        <f>IF(OR(B116="",AA116=""),"",HYPERLINK("https://wa.me/52"&amp;C116&amp;"?text="&amp;_xlfn.ENCODEURL(_xlfn.SWITCH(AA116,"Bienvenida (primera visita)",Q116,"Seguimiento",S116,"Aviso de Etapa",U116,"Requisitos",AC116,"Datos de Facturación",AD116,"Cumpleaños",W116,"Aniversario",Y116,"")),"Enviar mensaje seleccionado"))</f>
        <v/>
      </c>
      <c r="AC116" s="10">
        <f>IF(B116="","",_xlfn.SWITCH(F116&amp;"|"&amp;G116,"Crédito|Persona física","Hola, "&amp;B116&amp;", para continuar con el proceso de tu *"&amp;D116&amp;"* por "&amp;F116&amp;",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"&amp;B116&amp;", para continuar con el proceso de tu *"&amp;D116&amp;"* por "&amp;F116&amp;",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"&amp;B116&amp;", para continuar con el proceso de tu *"&amp;D116&amp;"* por "&amp;F116&amp;",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"&amp;B116&amp;", para continuar con el proceso de tu *"&amp;D116&amp;"* por "&amp;F116&amp;", estos son los documentos que necesitamos:"&amp;CHAR(10)&amp;CHAR(10)&amp;"- INE"&amp;CHAR(10)&amp;"- Comprobante de domicilio"&amp;CHAR(10)&amp;"- Constancia de situación fiscal (no mayor a 3 meses)","Contado|Persona física con actividad empresarial","Hola, "&amp;B116&amp;", para continuar con el proceso de tu *"&amp;D116&amp;"* por "&amp;F116&amp;", estos son los documentos que necesitamos:"&amp;CHAR(10)&amp;CHAR(10)&amp;"- INE"&amp;CHAR(10)&amp;"- Comprobante de domicilio"&amp;CHAR(10)&amp;"- Constancia de situación fiscal (no mayor a 3 meses)","Contado|Persona moral","Hola, "&amp;B116&amp;", para continuar con el proceso de tu *"&amp;D116&amp;"* por "&amp;F116&amp;",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16" s="10">
        <f>IFERROR(INDEX(Facturación!$Q:$Q,MATCH(B116,Facturación!$A:$A,0)),"")</f>
        <v/>
      </c>
    </row>
    <row r="117" ht="15" customHeight="1" s="1">
      <c r="A117" s="11">
        <f>IF(B117="","",ROW()-1)</f>
        <v/>
      </c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0">
        <f>IF(OR(B117="",L117&lt;&gt;"Sí"),"","Hola, "&amp;B117&amp;", excelente día. Le saluda *Alejandro Estrada* de Toyota Corregidora."&amp;CHAR(10)&amp;"Muchas gracias por visitarnos y conocer la *"&amp;D117&amp;"*.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17" s="11">
        <f>IF(Q117="","",HYPERLINK("https://wa.me/52"&amp;C117&amp;"?text="&amp;_xlfn.ENCODEURL(Q117),"Enviar Bienvenida"))</f>
        <v/>
      </c>
      <c r="S117" s="10">
        <f>IF(B117="","","Hola, "&amp;B117&amp;", muy buen día."&amp;CHAR(10)&amp;"Espero que esté teniendo una excelente semana. Le escribo para saber si tiene alguna duda sobre la oferta del *"&amp;D117&amp;"*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17" s="11">
        <f>IF(S117="","",HYPERLINK("https://wa.me/52"&amp;C117&amp;"?text="&amp;_xlfn.ENCODEURL(S117),"Enviar Seguimiento"))</f>
        <v/>
      </c>
      <c r="U117" s="10">
        <f>IF(B117="","",_xlfn.SWITCH(M117,"Apartado","Hola, "&amp;B117&amp;", buen día. Le confirmo que su apartado por el *"&amp;D117&amp;"* quedó registrado correctamente. Seguimos con el proceso y le mantendré informado(a) de cada paso.","Toma de vehículo","Hola, "&amp;B117&amp;", le comparto que estamos en el proceso de toma de su vehículo actual. En cuanto tengamos el resultado le aviso para continuar con el siguiente paso.","Pago vehículo a cuenta","Hola, "&amp;B117&amp;", quedamos en proceso de pago del vehículo que se toma a cuenta. Cualquier documento o aclaración que se requiera se lo haré saber por este medio.","Firma de contrato","Hola, "&amp;B117&amp;", ya estamos listos para agendar la firma de su contrato. ¿Qué día y hora se le facilita para realizarla?","Facturación","Hola, "&amp;B117&amp;", su unidad ya está en proceso de facturación. En breve le comparto los datos para su confirmación.","Programación de entrega","Hola, "&amp;B117&amp;", con gusto le comparto que ya podemos programar la entrega de su *"&amp;D117&amp;"*. ¿Qué día y hora le acomodan mejor?","Entregado","Hola, "&amp;B117&amp;", ¡muchas felicidades por estrenar su *"&amp;D117&amp;"*! Fue un gusto acompañarle en este proceso. Quedo pendiente de cualquier duda y con gusto le agendo su próxima cita de servicio cuando lo necesite.","Hola, "&amp;B117&amp;", seguimos en contacto para avanzar con el proceso de su próximo Toyota.")&amp;CHAR(10)&amp;CHAR(10)&amp;Config!$B$1)</f>
        <v/>
      </c>
      <c r="V117" s="11">
        <f>IF(U117="","",HYPERLINK("https://wa.me/52"&amp;C117&amp;"?text="&amp;_xlfn.ENCODEURL(U117),"Enviar aviso de etapa"))</f>
        <v/>
      </c>
      <c r="W117" s="10">
        <f>IF(OR(B117="",O117=""),"","Hola, "&amp;B117&amp;", ¡feliz cumpleaños! Le deseo un excelente día rodeado de quienes más quiere. Ha sido un placer acompañarle desde que estrenó su Toyota. ¡Un abrazo!"&amp;CHAR(10)&amp;CHAR(10)&amp;Config!$B$1)</f>
        <v/>
      </c>
      <c r="X117" s="11">
        <f>IF(W117="","",HYPERLINK("https://wa.me/52"&amp;C117&amp;"?text="&amp;_xlfn.ENCODEURL(W117),"Enviar felicitación"))</f>
        <v/>
      </c>
      <c r="Y117" s="10">
        <f>IF(OR(B117="",P117=""),"","Hola, "&amp;B117&amp;", hoy se cumple un año más desde que estrenó su *"&amp;D117&amp;"*. Espero que haya sido un gran compañero de camino. Cualquier cosa que necesite, aquí estoy para apoyarle."&amp;CHAR(10)&amp;CHAR(10)&amp;Config!$B$1)</f>
        <v/>
      </c>
      <c r="Z117" s="11">
        <f>IF(Y117="","",HYPERLINK("https://wa.me/52"&amp;C117&amp;"?text="&amp;_xlfn.ENCODEURL(Y117),"Enviar aniversario"))</f>
        <v/>
      </c>
      <c r="AA117" s="11" t="n"/>
      <c r="AB117" s="11">
        <f>IF(OR(B117="",AA117=""),"",HYPERLINK("https://wa.me/52"&amp;C117&amp;"?text="&amp;_xlfn.ENCODEURL(_xlfn.SWITCH(AA117,"Bienvenida (primera visita)",Q117,"Seguimiento",S117,"Aviso de Etapa",U117,"Requisitos",AC117,"Datos de Facturación",AD117,"Cumpleaños",W117,"Aniversario",Y117,"")),"Enviar mensaje seleccionado"))</f>
        <v/>
      </c>
      <c r="AC117" s="10">
        <f>IF(B117="","",_xlfn.SWITCH(F117&amp;"|"&amp;G117,"Crédito|Persona física","Hola, "&amp;B117&amp;", para continuar con el proceso de tu *"&amp;D117&amp;"* por "&amp;F117&amp;",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"&amp;B117&amp;", para continuar con el proceso de tu *"&amp;D117&amp;"* por "&amp;F117&amp;",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"&amp;B117&amp;", para continuar con el proceso de tu *"&amp;D117&amp;"* por "&amp;F117&amp;",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"&amp;B117&amp;", para continuar con el proceso de tu *"&amp;D117&amp;"* por "&amp;F117&amp;", estos son los documentos que necesitamos:"&amp;CHAR(10)&amp;CHAR(10)&amp;"- INE"&amp;CHAR(10)&amp;"- Comprobante de domicilio"&amp;CHAR(10)&amp;"- Constancia de situación fiscal (no mayor a 3 meses)","Contado|Persona física con actividad empresarial","Hola, "&amp;B117&amp;", para continuar con el proceso de tu *"&amp;D117&amp;"* por "&amp;F117&amp;", estos son los documentos que necesitamos:"&amp;CHAR(10)&amp;CHAR(10)&amp;"- INE"&amp;CHAR(10)&amp;"- Comprobante de domicilio"&amp;CHAR(10)&amp;"- Constancia de situación fiscal (no mayor a 3 meses)","Contado|Persona moral","Hola, "&amp;B117&amp;", para continuar con el proceso de tu *"&amp;D117&amp;"* por "&amp;F117&amp;",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17" s="10">
        <f>IFERROR(INDEX(Facturación!$Q:$Q,MATCH(B117,Facturación!$A:$A,0)),"")</f>
        <v/>
      </c>
    </row>
    <row r="118" ht="15" customHeight="1" s="1">
      <c r="A118" s="11">
        <f>IF(B118="","",ROW()-1)</f>
        <v/>
      </c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0">
        <f>IF(OR(B118="",L118&lt;&gt;"Sí"),"","Hola, "&amp;B118&amp;", excelente día. Le saluda *Alejandro Estrada* de Toyota Corregidora."&amp;CHAR(10)&amp;"Muchas gracias por visitarnos y conocer la *"&amp;D118&amp;"*.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18" s="11">
        <f>IF(Q118="","",HYPERLINK("https://wa.me/52"&amp;C118&amp;"?text="&amp;_xlfn.ENCODEURL(Q118),"Enviar Bienvenida"))</f>
        <v/>
      </c>
      <c r="S118" s="10">
        <f>IF(B118="","","Hola, "&amp;B118&amp;", muy buen día."&amp;CHAR(10)&amp;"Espero que esté teniendo una excelente semana. Le escribo para saber si tiene alguna duda sobre la oferta del *"&amp;D118&amp;"*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18" s="11">
        <f>IF(S118="","",HYPERLINK("https://wa.me/52"&amp;C118&amp;"?text="&amp;_xlfn.ENCODEURL(S118),"Enviar Seguimiento"))</f>
        <v/>
      </c>
      <c r="U118" s="10">
        <f>IF(B118="","",_xlfn.SWITCH(M118,"Apartado","Hola, "&amp;B118&amp;", buen día. Le confirmo que su apartado por el *"&amp;D118&amp;"* quedó registrado correctamente. Seguimos con el proceso y le mantendré informado(a) de cada paso.","Toma de vehículo","Hola, "&amp;B118&amp;", le comparto que estamos en el proceso de toma de su vehículo actual. En cuanto tengamos el resultado le aviso para continuar con el siguiente paso.","Pago vehículo a cuenta","Hola, "&amp;B118&amp;", quedamos en proceso de pago del vehículo que se toma a cuenta. Cualquier documento o aclaración que se requiera se lo haré saber por este medio.","Firma de contrato","Hola, "&amp;B118&amp;", ya estamos listos para agendar la firma de su contrato. ¿Qué día y hora se le facilita para realizarla?","Facturación","Hola, "&amp;B118&amp;", su unidad ya está en proceso de facturación. En breve le comparto los datos para su confirmación.","Programación de entrega","Hola, "&amp;B118&amp;", con gusto le comparto que ya podemos programar la entrega de su *"&amp;D118&amp;"*. ¿Qué día y hora le acomodan mejor?","Entregado","Hola, "&amp;B118&amp;", ¡muchas felicidades por estrenar su *"&amp;D118&amp;"*! Fue un gusto acompañarle en este proceso. Quedo pendiente de cualquier duda y con gusto le agendo su próxima cita de servicio cuando lo necesite.","Hola, "&amp;B118&amp;", seguimos en contacto para avanzar con el proceso de su próximo Toyota.")&amp;CHAR(10)&amp;CHAR(10)&amp;Config!$B$1)</f>
        <v/>
      </c>
      <c r="V118" s="11">
        <f>IF(U118="","",HYPERLINK("https://wa.me/52"&amp;C118&amp;"?text="&amp;_xlfn.ENCODEURL(U118),"Enviar aviso de etapa"))</f>
        <v/>
      </c>
      <c r="W118" s="10">
        <f>IF(OR(B118="",O118=""),"","Hola, "&amp;B118&amp;", ¡feliz cumpleaños! Le deseo un excelente día rodeado de quienes más quiere. Ha sido un placer acompañarle desde que estrenó su Toyota. ¡Un abrazo!"&amp;CHAR(10)&amp;CHAR(10)&amp;Config!$B$1)</f>
        <v/>
      </c>
      <c r="X118" s="11">
        <f>IF(W118="","",HYPERLINK("https://wa.me/52"&amp;C118&amp;"?text="&amp;_xlfn.ENCODEURL(W118),"Enviar felicitación"))</f>
        <v/>
      </c>
      <c r="Y118" s="10">
        <f>IF(OR(B118="",P118=""),"","Hola, "&amp;B118&amp;", hoy se cumple un año más desde que estrenó su *"&amp;D118&amp;"*. Espero que haya sido un gran compañero de camino. Cualquier cosa que necesite, aquí estoy para apoyarle."&amp;CHAR(10)&amp;CHAR(10)&amp;Config!$B$1)</f>
        <v/>
      </c>
      <c r="Z118" s="11">
        <f>IF(Y118="","",HYPERLINK("https://wa.me/52"&amp;C118&amp;"?text="&amp;_xlfn.ENCODEURL(Y118),"Enviar aniversario"))</f>
        <v/>
      </c>
      <c r="AA118" s="11" t="n"/>
      <c r="AB118" s="11">
        <f>IF(OR(B118="",AA118=""),"",HYPERLINK("https://wa.me/52"&amp;C118&amp;"?text="&amp;_xlfn.ENCODEURL(_xlfn.SWITCH(AA118,"Bienvenida (primera visita)",Q118,"Seguimiento",S118,"Aviso de Etapa",U118,"Requisitos",AC118,"Datos de Facturación",AD118,"Cumpleaños",W118,"Aniversario",Y118,"")),"Enviar mensaje seleccionado"))</f>
        <v/>
      </c>
      <c r="AC118" s="10">
        <f>IF(B118="","",_xlfn.SWITCH(F118&amp;"|"&amp;G118,"Crédito|Persona física","Hola, "&amp;B118&amp;", para continuar con el proceso de tu *"&amp;D118&amp;"* por "&amp;F118&amp;",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"&amp;B118&amp;", para continuar con el proceso de tu *"&amp;D118&amp;"* por "&amp;F118&amp;",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"&amp;B118&amp;", para continuar con el proceso de tu *"&amp;D118&amp;"* por "&amp;F118&amp;",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"&amp;B118&amp;", para continuar con el proceso de tu *"&amp;D118&amp;"* por "&amp;F118&amp;", estos son los documentos que necesitamos:"&amp;CHAR(10)&amp;CHAR(10)&amp;"- INE"&amp;CHAR(10)&amp;"- Comprobante de domicilio"&amp;CHAR(10)&amp;"- Constancia de situación fiscal (no mayor a 3 meses)","Contado|Persona física con actividad empresarial","Hola, "&amp;B118&amp;", para continuar con el proceso de tu *"&amp;D118&amp;"* por "&amp;F118&amp;", estos son los documentos que necesitamos:"&amp;CHAR(10)&amp;CHAR(10)&amp;"- INE"&amp;CHAR(10)&amp;"- Comprobante de domicilio"&amp;CHAR(10)&amp;"- Constancia de situación fiscal (no mayor a 3 meses)","Contado|Persona moral","Hola, "&amp;B118&amp;", para continuar con el proceso de tu *"&amp;D118&amp;"* por "&amp;F118&amp;",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18" s="10">
        <f>IFERROR(INDEX(Facturación!$Q:$Q,MATCH(B118,Facturación!$A:$A,0)),"")</f>
        <v/>
      </c>
    </row>
    <row r="119" ht="15" customHeight="1" s="1">
      <c r="A119" s="11">
        <f>IF(B119="","",ROW()-1)</f>
        <v/>
      </c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0">
        <f>IF(OR(B119="",L119&lt;&gt;"Sí"),"","Hola, "&amp;B119&amp;", excelente día. Le saluda *Alejandro Estrada* de Toyota Corregidora."&amp;CHAR(10)&amp;"Muchas gracias por visitarnos y conocer la *"&amp;D119&amp;"*.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19" s="11">
        <f>IF(Q119="","",HYPERLINK("https://wa.me/52"&amp;C119&amp;"?text="&amp;_xlfn.ENCODEURL(Q119),"Enviar Bienvenida"))</f>
        <v/>
      </c>
      <c r="S119" s="10">
        <f>IF(B119="","","Hola, "&amp;B119&amp;", muy buen día."&amp;CHAR(10)&amp;"Espero que esté teniendo una excelente semana. Le escribo para saber si tiene alguna duda sobre la oferta del *"&amp;D119&amp;"*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19" s="11">
        <f>IF(S119="","",HYPERLINK("https://wa.me/52"&amp;C119&amp;"?text="&amp;_xlfn.ENCODEURL(S119),"Enviar Seguimiento"))</f>
        <v/>
      </c>
      <c r="U119" s="10">
        <f>IF(B119="","",_xlfn.SWITCH(M119,"Apartado","Hola, "&amp;B119&amp;", buen día. Le confirmo que su apartado por el *"&amp;D119&amp;"* quedó registrado correctamente. Seguimos con el proceso y le mantendré informado(a) de cada paso.","Toma de vehículo","Hola, "&amp;B119&amp;", le comparto que estamos en el proceso de toma de su vehículo actual. En cuanto tengamos el resultado le aviso para continuar con el siguiente paso.","Pago vehículo a cuenta","Hola, "&amp;B119&amp;", quedamos en proceso de pago del vehículo que se toma a cuenta. Cualquier documento o aclaración que se requiera se lo haré saber por este medio.","Firma de contrato","Hola, "&amp;B119&amp;", ya estamos listos para agendar la firma de su contrato. ¿Qué día y hora se le facilita para realizarla?","Facturación","Hola, "&amp;B119&amp;", su unidad ya está en proceso de facturación. En breve le comparto los datos para su confirmación.","Programación de entrega","Hola, "&amp;B119&amp;", con gusto le comparto que ya podemos programar la entrega de su *"&amp;D119&amp;"*. ¿Qué día y hora le acomodan mejor?","Entregado","Hola, "&amp;B119&amp;", ¡muchas felicidades por estrenar su *"&amp;D119&amp;"*! Fue un gusto acompañarle en este proceso. Quedo pendiente de cualquier duda y con gusto le agendo su próxima cita de servicio cuando lo necesite.","Hola, "&amp;B119&amp;", seguimos en contacto para avanzar con el proceso de su próximo Toyota.")&amp;CHAR(10)&amp;CHAR(10)&amp;Config!$B$1)</f>
        <v/>
      </c>
      <c r="V119" s="11">
        <f>IF(U119="","",HYPERLINK("https://wa.me/52"&amp;C119&amp;"?text="&amp;_xlfn.ENCODEURL(U119),"Enviar aviso de etapa"))</f>
        <v/>
      </c>
      <c r="W119" s="10">
        <f>IF(OR(B119="",O119=""),"","Hola, "&amp;B119&amp;", ¡feliz cumpleaños! Le deseo un excelente día rodeado de quienes más quiere. Ha sido un placer acompañarle desde que estrenó su Toyota. ¡Un abrazo!"&amp;CHAR(10)&amp;CHAR(10)&amp;Config!$B$1)</f>
        <v/>
      </c>
      <c r="X119" s="11">
        <f>IF(W119="","",HYPERLINK("https://wa.me/52"&amp;C119&amp;"?text="&amp;_xlfn.ENCODEURL(W119),"Enviar felicitación"))</f>
        <v/>
      </c>
      <c r="Y119" s="10">
        <f>IF(OR(B119="",P119=""),"","Hola, "&amp;B119&amp;", hoy se cumple un año más desde que estrenó su *"&amp;D119&amp;"*. Espero que haya sido un gran compañero de camino. Cualquier cosa que necesite, aquí estoy para apoyarle."&amp;CHAR(10)&amp;CHAR(10)&amp;Config!$B$1)</f>
        <v/>
      </c>
      <c r="Z119" s="11">
        <f>IF(Y119="","",HYPERLINK("https://wa.me/52"&amp;C119&amp;"?text="&amp;_xlfn.ENCODEURL(Y119),"Enviar aniversario"))</f>
        <v/>
      </c>
      <c r="AA119" s="11" t="n"/>
      <c r="AB119" s="11">
        <f>IF(OR(B119="",AA119=""),"",HYPERLINK("https://wa.me/52"&amp;C119&amp;"?text="&amp;_xlfn.ENCODEURL(_xlfn.SWITCH(AA119,"Bienvenida (primera visita)",Q119,"Seguimiento",S119,"Aviso de Etapa",U119,"Requisitos",AC119,"Datos de Facturación",AD119,"Cumpleaños",W119,"Aniversario",Y119,"")),"Enviar mensaje seleccionado"))</f>
        <v/>
      </c>
      <c r="AC119" s="10">
        <f>IF(B119="","",_xlfn.SWITCH(F119&amp;"|"&amp;G119,"Crédito|Persona física","Hola, "&amp;B119&amp;", para continuar con el proceso de tu *"&amp;D119&amp;"* por "&amp;F119&amp;",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"&amp;B119&amp;", para continuar con el proceso de tu *"&amp;D119&amp;"* por "&amp;F119&amp;",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"&amp;B119&amp;", para continuar con el proceso de tu *"&amp;D119&amp;"* por "&amp;F119&amp;",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"&amp;B119&amp;", para continuar con el proceso de tu *"&amp;D119&amp;"* por "&amp;F119&amp;", estos son los documentos que necesitamos:"&amp;CHAR(10)&amp;CHAR(10)&amp;"- INE"&amp;CHAR(10)&amp;"- Comprobante de domicilio"&amp;CHAR(10)&amp;"- Constancia de situación fiscal (no mayor a 3 meses)","Contado|Persona física con actividad empresarial","Hola, "&amp;B119&amp;", para continuar con el proceso de tu *"&amp;D119&amp;"* por "&amp;F119&amp;", estos son los documentos que necesitamos:"&amp;CHAR(10)&amp;CHAR(10)&amp;"- INE"&amp;CHAR(10)&amp;"- Comprobante de domicilio"&amp;CHAR(10)&amp;"- Constancia de situación fiscal (no mayor a 3 meses)","Contado|Persona moral","Hola, "&amp;B119&amp;", para continuar con el proceso de tu *"&amp;D119&amp;"* por "&amp;F119&amp;",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19" s="10">
        <f>IFERROR(INDEX(Facturación!$Q:$Q,MATCH(B119,Facturación!$A:$A,0)),"")</f>
        <v/>
      </c>
    </row>
    <row r="120" ht="15" customHeight="1" s="1">
      <c r="A120" s="11">
        <f>IF(B120="","",ROW()-1)</f>
        <v/>
      </c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0">
        <f>IF(OR(B120="",L120&lt;&gt;"Sí"),"","Hola, "&amp;B120&amp;", excelente día. Le saluda *Alejandro Estrada* de Toyota Corregidora."&amp;CHAR(10)&amp;"Muchas gracias por visitarnos y conocer la *"&amp;D120&amp;"*.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20" s="11">
        <f>IF(Q120="","",HYPERLINK("https://wa.me/52"&amp;C120&amp;"?text="&amp;_xlfn.ENCODEURL(Q120),"Enviar Bienvenida"))</f>
        <v/>
      </c>
      <c r="S120" s="10">
        <f>IF(B120="","","Hola, "&amp;B120&amp;", muy buen día."&amp;CHAR(10)&amp;"Espero que esté teniendo una excelente semana. Le escribo para saber si tiene alguna duda sobre la oferta del *"&amp;D120&amp;"*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20" s="11">
        <f>IF(S120="","",HYPERLINK("https://wa.me/52"&amp;C120&amp;"?text="&amp;_xlfn.ENCODEURL(S120),"Enviar Seguimiento"))</f>
        <v/>
      </c>
      <c r="U120" s="10">
        <f>IF(B120="","",_xlfn.SWITCH(M120,"Apartado","Hola, "&amp;B120&amp;", buen día. Le confirmo que su apartado por el *"&amp;D120&amp;"* quedó registrado correctamente. Seguimos con el proceso y le mantendré informado(a) de cada paso.","Toma de vehículo","Hola, "&amp;B120&amp;", le comparto que estamos en el proceso de toma de su vehículo actual. En cuanto tengamos el resultado le aviso para continuar con el siguiente paso.","Pago vehículo a cuenta","Hola, "&amp;B120&amp;", quedamos en proceso de pago del vehículo que se toma a cuenta. Cualquier documento o aclaración que se requiera se lo haré saber por este medio.","Firma de contrato","Hola, "&amp;B120&amp;", ya estamos listos para agendar la firma de su contrato. ¿Qué día y hora se le facilita para realizarla?","Facturación","Hola, "&amp;B120&amp;", su unidad ya está en proceso de facturación. En breve le comparto los datos para su confirmación.","Programación de entrega","Hola, "&amp;B120&amp;", con gusto le comparto que ya podemos programar la entrega de su *"&amp;D120&amp;"*. ¿Qué día y hora le acomodan mejor?","Entregado","Hola, "&amp;B120&amp;", ¡muchas felicidades por estrenar su *"&amp;D120&amp;"*! Fue un gusto acompañarle en este proceso. Quedo pendiente de cualquier duda y con gusto le agendo su próxima cita de servicio cuando lo necesite.","Hola, "&amp;B120&amp;", seguimos en contacto para avanzar con el proceso de su próximo Toyota.")&amp;CHAR(10)&amp;CHAR(10)&amp;Config!$B$1)</f>
        <v/>
      </c>
      <c r="V120" s="11">
        <f>IF(U120="","",HYPERLINK("https://wa.me/52"&amp;C120&amp;"?text="&amp;_xlfn.ENCODEURL(U120),"Enviar aviso de etapa"))</f>
        <v/>
      </c>
      <c r="W120" s="10">
        <f>IF(OR(B120="",O120=""),"","Hola, "&amp;B120&amp;", ¡feliz cumpleaños! Le deseo un excelente día rodeado de quienes más quiere. Ha sido un placer acompañarle desde que estrenó su Toyota. ¡Un abrazo!"&amp;CHAR(10)&amp;CHAR(10)&amp;Config!$B$1)</f>
        <v/>
      </c>
      <c r="X120" s="11">
        <f>IF(W120="","",HYPERLINK("https://wa.me/52"&amp;C120&amp;"?text="&amp;_xlfn.ENCODEURL(W120),"Enviar felicitación"))</f>
        <v/>
      </c>
      <c r="Y120" s="10">
        <f>IF(OR(B120="",P120=""),"","Hola, "&amp;B120&amp;", hoy se cumple un año más desde que estrenó su *"&amp;D120&amp;"*. Espero que haya sido un gran compañero de camino. Cualquier cosa que necesite, aquí estoy para apoyarle."&amp;CHAR(10)&amp;CHAR(10)&amp;Config!$B$1)</f>
        <v/>
      </c>
      <c r="Z120" s="11">
        <f>IF(Y120="","",HYPERLINK("https://wa.me/52"&amp;C120&amp;"?text="&amp;_xlfn.ENCODEURL(Y120),"Enviar aniversario"))</f>
        <v/>
      </c>
      <c r="AA120" s="11" t="n"/>
      <c r="AB120" s="11">
        <f>IF(OR(B120="",AA120=""),"",HYPERLINK("https://wa.me/52"&amp;C120&amp;"?text="&amp;_xlfn.ENCODEURL(_xlfn.SWITCH(AA120,"Bienvenida (primera visita)",Q120,"Seguimiento",S120,"Aviso de Etapa",U120,"Requisitos",AC120,"Datos de Facturación",AD120,"Cumpleaños",W120,"Aniversario",Y120,"")),"Enviar mensaje seleccionado"))</f>
        <v/>
      </c>
      <c r="AC120" s="10">
        <f>IF(B120="","",_xlfn.SWITCH(F120&amp;"|"&amp;G120,"Crédito|Persona física","Hola, "&amp;B120&amp;", para continuar con el proceso de tu *"&amp;D120&amp;"* por "&amp;F120&amp;",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"&amp;B120&amp;", para continuar con el proceso de tu *"&amp;D120&amp;"* por "&amp;F120&amp;",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"&amp;B120&amp;", para continuar con el proceso de tu *"&amp;D120&amp;"* por "&amp;F120&amp;",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"&amp;B120&amp;", para continuar con el proceso de tu *"&amp;D120&amp;"* por "&amp;F120&amp;", estos son los documentos que necesitamos:"&amp;CHAR(10)&amp;CHAR(10)&amp;"- INE"&amp;CHAR(10)&amp;"- Comprobante de domicilio"&amp;CHAR(10)&amp;"- Constancia de situación fiscal (no mayor a 3 meses)","Contado|Persona física con actividad empresarial","Hola, "&amp;B120&amp;", para continuar con el proceso de tu *"&amp;D120&amp;"* por "&amp;F120&amp;", estos son los documentos que necesitamos:"&amp;CHAR(10)&amp;CHAR(10)&amp;"- INE"&amp;CHAR(10)&amp;"- Comprobante de domicilio"&amp;CHAR(10)&amp;"- Constancia de situación fiscal (no mayor a 3 meses)","Contado|Persona moral","Hola, "&amp;B120&amp;", para continuar con el proceso de tu *"&amp;D120&amp;"* por "&amp;F120&amp;",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20" s="10">
        <f>IFERROR(INDEX(Facturación!$Q:$Q,MATCH(B120,Facturación!$A:$A,0)),"")</f>
        <v/>
      </c>
    </row>
    <row r="121" ht="15" customHeight="1" s="1">
      <c r="A121" s="11">
        <f>IF(B121="","",ROW()-1)</f>
        <v/>
      </c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0">
        <f>IF(OR(B121="",L121&lt;&gt;"Sí"),"","Hola, "&amp;B121&amp;", excelente día. Le saluda *Alejandro Estrada* de Toyota Corregidora."&amp;CHAR(10)&amp;"Muchas gracias por visitarnos y conocer la *"&amp;D121&amp;"*.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21" s="11">
        <f>IF(Q121="","",HYPERLINK("https://wa.me/52"&amp;C121&amp;"?text="&amp;_xlfn.ENCODEURL(Q121),"Enviar Bienvenida"))</f>
        <v/>
      </c>
      <c r="S121" s="10">
        <f>IF(B121="","","Hola, "&amp;B121&amp;", muy buen día."&amp;CHAR(10)&amp;"Espero que esté teniendo una excelente semana. Le escribo para saber si tiene alguna duda sobre la oferta del *"&amp;D121&amp;"*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21" s="11">
        <f>IF(S121="","",HYPERLINK("https://wa.me/52"&amp;C121&amp;"?text="&amp;_xlfn.ENCODEURL(S121),"Enviar Seguimiento"))</f>
        <v/>
      </c>
      <c r="U121" s="10">
        <f>IF(B121="","",_xlfn.SWITCH(M121,"Apartado","Hola, "&amp;B121&amp;", buen día. Le confirmo que su apartado por el *"&amp;D121&amp;"* quedó registrado correctamente. Seguimos con el proceso y le mantendré informado(a) de cada paso.","Toma de vehículo","Hola, "&amp;B121&amp;", le comparto que estamos en el proceso de toma de su vehículo actual. En cuanto tengamos el resultado le aviso para continuar con el siguiente paso.","Pago vehículo a cuenta","Hola, "&amp;B121&amp;", quedamos en proceso de pago del vehículo que se toma a cuenta. Cualquier documento o aclaración que se requiera se lo haré saber por este medio.","Firma de contrato","Hola, "&amp;B121&amp;", ya estamos listos para agendar la firma de su contrato. ¿Qué día y hora se le facilita para realizarla?","Facturación","Hola, "&amp;B121&amp;", su unidad ya está en proceso de facturación. En breve le comparto los datos para su confirmación.","Programación de entrega","Hola, "&amp;B121&amp;", con gusto le comparto que ya podemos programar la entrega de su *"&amp;D121&amp;"*. ¿Qué día y hora le acomodan mejor?","Entregado","Hola, "&amp;B121&amp;", ¡muchas felicidades por estrenar su *"&amp;D121&amp;"*! Fue un gusto acompañarle en este proceso. Quedo pendiente de cualquier duda y con gusto le agendo su próxima cita de servicio cuando lo necesite.","Hola, "&amp;B121&amp;", seguimos en contacto para avanzar con el proceso de su próximo Toyota.")&amp;CHAR(10)&amp;CHAR(10)&amp;Config!$B$1)</f>
        <v/>
      </c>
      <c r="V121" s="11">
        <f>IF(U121="","",HYPERLINK("https://wa.me/52"&amp;C121&amp;"?text="&amp;_xlfn.ENCODEURL(U121),"Enviar aviso de etapa"))</f>
        <v/>
      </c>
      <c r="W121" s="10">
        <f>IF(OR(B121="",O121=""),"","Hola, "&amp;B121&amp;", ¡feliz cumpleaños! Le deseo un excelente día rodeado de quienes más quiere. Ha sido un placer acompañarle desde que estrenó su Toyota. ¡Un abrazo!"&amp;CHAR(10)&amp;CHAR(10)&amp;Config!$B$1)</f>
        <v/>
      </c>
      <c r="X121" s="11">
        <f>IF(W121="","",HYPERLINK("https://wa.me/52"&amp;C121&amp;"?text="&amp;_xlfn.ENCODEURL(W121),"Enviar felicitación"))</f>
        <v/>
      </c>
      <c r="Y121" s="10">
        <f>IF(OR(B121="",P121=""),"","Hola, "&amp;B121&amp;", hoy se cumple un año más desde que estrenó su *"&amp;D121&amp;"*. Espero que haya sido un gran compañero de camino. Cualquier cosa que necesite, aquí estoy para apoyarle."&amp;CHAR(10)&amp;CHAR(10)&amp;Config!$B$1)</f>
        <v/>
      </c>
      <c r="Z121" s="11">
        <f>IF(Y121="","",HYPERLINK("https://wa.me/52"&amp;C121&amp;"?text="&amp;_xlfn.ENCODEURL(Y121),"Enviar aniversario"))</f>
        <v/>
      </c>
      <c r="AA121" s="11" t="n"/>
      <c r="AB121" s="11">
        <f>IF(OR(B121="",AA121=""),"",HYPERLINK("https://wa.me/52"&amp;C121&amp;"?text="&amp;_xlfn.ENCODEURL(_xlfn.SWITCH(AA121,"Bienvenida (primera visita)",Q121,"Seguimiento",S121,"Aviso de Etapa",U121,"Requisitos",AC121,"Datos de Facturación",AD121,"Cumpleaños",W121,"Aniversario",Y121,"")),"Enviar mensaje seleccionado"))</f>
        <v/>
      </c>
      <c r="AC121" s="10">
        <f>IF(B121="","",_xlfn.SWITCH(F121&amp;"|"&amp;G121,"Crédito|Persona física","Hola, "&amp;B121&amp;", para continuar con el proceso de tu *"&amp;D121&amp;"* por "&amp;F121&amp;",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"&amp;B121&amp;", para continuar con el proceso de tu *"&amp;D121&amp;"* por "&amp;F121&amp;",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"&amp;B121&amp;", para continuar con el proceso de tu *"&amp;D121&amp;"* por "&amp;F121&amp;",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"&amp;B121&amp;", para continuar con el proceso de tu *"&amp;D121&amp;"* por "&amp;F121&amp;", estos son los documentos que necesitamos:"&amp;CHAR(10)&amp;CHAR(10)&amp;"- INE"&amp;CHAR(10)&amp;"- Comprobante de domicilio"&amp;CHAR(10)&amp;"- Constancia de situación fiscal (no mayor a 3 meses)","Contado|Persona física con actividad empresarial","Hola, "&amp;B121&amp;", para continuar con el proceso de tu *"&amp;D121&amp;"* por "&amp;F121&amp;", estos son los documentos que necesitamos:"&amp;CHAR(10)&amp;CHAR(10)&amp;"- INE"&amp;CHAR(10)&amp;"- Comprobante de domicilio"&amp;CHAR(10)&amp;"- Constancia de situación fiscal (no mayor a 3 meses)","Contado|Persona moral","Hola, "&amp;B121&amp;", para continuar con el proceso de tu *"&amp;D121&amp;"* por "&amp;F121&amp;",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21" s="10">
        <f>IFERROR(INDEX(Facturación!$Q:$Q,MATCH(B121,Facturación!$A:$A,0)),"")</f>
        <v/>
      </c>
    </row>
    <row r="122" ht="15" customHeight="1" s="1">
      <c r="A122" s="11">
        <f>IF(B122="","",ROW()-1)</f>
        <v/>
      </c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0">
        <f>IF(OR(B122="",L122&lt;&gt;"Sí"),"","Hola, "&amp;B122&amp;", excelente día. Le saluda *Alejandro Estrada* de Toyota Corregidora."&amp;CHAR(10)&amp;"Muchas gracias por visitarnos y conocer la *"&amp;D122&amp;"*.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22" s="11">
        <f>IF(Q122="","",HYPERLINK("https://wa.me/52"&amp;C122&amp;"?text="&amp;_xlfn.ENCODEURL(Q122),"Enviar Bienvenida"))</f>
        <v/>
      </c>
      <c r="S122" s="10">
        <f>IF(B122="","","Hola, "&amp;B122&amp;", muy buen día."&amp;CHAR(10)&amp;"Espero que esté teniendo una excelente semana. Le escribo para saber si tiene alguna duda sobre la oferta del *"&amp;D122&amp;"*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22" s="11">
        <f>IF(S122="","",HYPERLINK("https://wa.me/52"&amp;C122&amp;"?text="&amp;_xlfn.ENCODEURL(S122),"Enviar Seguimiento"))</f>
        <v/>
      </c>
      <c r="U122" s="10">
        <f>IF(B122="","",_xlfn.SWITCH(M122,"Apartado","Hola, "&amp;B122&amp;", buen día. Le confirmo que su apartado por el *"&amp;D122&amp;"* quedó registrado correctamente. Seguimos con el proceso y le mantendré informado(a) de cada paso.","Toma de vehículo","Hola, "&amp;B122&amp;", le comparto que estamos en el proceso de toma de su vehículo actual. En cuanto tengamos el resultado le aviso para continuar con el siguiente paso.","Pago vehículo a cuenta","Hola, "&amp;B122&amp;", quedamos en proceso de pago del vehículo que se toma a cuenta. Cualquier documento o aclaración que se requiera se lo haré saber por este medio.","Firma de contrato","Hola, "&amp;B122&amp;", ya estamos listos para agendar la firma de su contrato. ¿Qué día y hora se le facilita para realizarla?","Facturación","Hola, "&amp;B122&amp;", su unidad ya está en proceso de facturación. En breve le comparto los datos para su confirmación.","Programación de entrega","Hola, "&amp;B122&amp;", con gusto le comparto que ya podemos programar la entrega de su *"&amp;D122&amp;"*. ¿Qué día y hora le acomodan mejor?","Entregado","Hola, "&amp;B122&amp;", ¡muchas felicidades por estrenar su *"&amp;D122&amp;"*! Fue un gusto acompañarle en este proceso. Quedo pendiente de cualquier duda y con gusto le agendo su próxima cita de servicio cuando lo necesite.","Hola, "&amp;B122&amp;", seguimos en contacto para avanzar con el proceso de su próximo Toyota.")&amp;CHAR(10)&amp;CHAR(10)&amp;Config!$B$1)</f>
        <v/>
      </c>
      <c r="V122" s="11">
        <f>IF(U122="","",HYPERLINK("https://wa.me/52"&amp;C122&amp;"?text="&amp;_xlfn.ENCODEURL(U122),"Enviar aviso de etapa"))</f>
        <v/>
      </c>
      <c r="W122" s="10">
        <f>IF(OR(B122="",O122=""),"","Hola, "&amp;B122&amp;", ¡feliz cumpleaños! Le deseo un excelente día rodeado de quienes más quiere. Ha sido un placer acompañarle desde que estrenó su Toyota. ¡Un abrazo!"&amp;CHAR(10)&amp;CHAR(10)&amp;Config!$B$1)</f>
        <v/>
      </c>
      <c r="X122" s="11">
        <f>IF(W122="","",HYPERLINK("https://wa.me/52"&amp;C122&amp;"?text="&amp;_xlfn.ENCODEURL(W122),"Enviar felicitación"))</f>
        <v/>
      </c>
      <c r="Y122" s="10">
        <f>IF(OR(B122="",P122=""),"","Hola, "&amp;B122&amp;", hoy se cumple un año más desde que estrenó su *"&amp;D122&amp;"*. Espero que haya sido un gran compañero de camino. Cualquier cosa que necesite, aquí estoy para apoyarle."&amp;CHAR(10)&amp;CHAR(10)&amp;Config!$B$1)</f>
        <v/>
      </c>
      <c r="Z122" s="11">
        <f>IF(Y122="","",HYPERLINK("https://wa.me/52"&amp;C122&amp;"?text="&amp;_xlfn.ENCODEURL(Y122),"Enviar aniversario"))</f>
        <v/>
      </c>
      <c r="AA122" s="11" t="n"/>
      <c r="AB122" s="11">
        <f>IF(OR(B122="",AA122=""),"",HYPERLINK("https://wa.me/52"&amp;C122&amp;"?text="&amp;_xlfn.ENCODEURL(_xlfn.SWITCH(AA122,"Bienvenida (primera visita)",Q122,"Seguimiento",S122,"Aviso de Etapa",U122,"Requisitos",AC122,"Datos de Facturación",AD122,"Cumpleaños",W122,"Aniversario",Y122,"")),"Enviar mensaje seleccionado"))</f>
        <v/>
      </c>
      <c r="AC122" s="10">
        <f>IF(B122="","",_xlfn.SWITCH(F122&amp;"|"&amp;G122,"Crédito|Persona física","Hola, "&amp;B122&amp;", para continuar con el proceso de tu *"&amp;D122&amp;"* por "&amp;F122&amp;",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"&amp;B122&amp;", para continuar con el proceso de tu *"&amp;D122&amp;"* por "&amp;F122&amp;",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"&amp;B122&amp;", para continuar con el proceso de tu *"&amp;D122&amp;"* por "&amp;F122&amp;",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"&amp;B122&amp;", para continuar con el proceso de tu *"&amp;D122&amp;"* por "&amp;F122&amp;", estos son los documentos que necesitamos:"&amp;CHAR(10)&amp;CHAR(10)&amp;"- INE"&amp;CHAR(10)&amp;"- Comprobante de domicilio"&amp;CHAR(10)&amp;"- Constancia de situación fiscal (no mayor a 3 meses)","Contado|Persona física con actividad empresarial","Hola, "&amp;B122&amp;", para continuar con el proceso de tu *"&amp;D122&amp;"* por "&amp;F122&amp;", estos son los documentos que necesitamos:"&amp;CHAR(10)&amp;CHAR(10)&amp;"- INE"&amp;CHAR(10)&amp;"- Comprobante de domicilio"&amp;CHAR(10)&amp;"- Constancia de situación fiscal (no mayor a 3 meses)","Contado|Persona moral","Hola, "&amp;B122&amp;", para continuar con el proceso de tu *"&amp;D122&amp;"* por "&amp;F122&amp;",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22" s="10">
        <f>IFERROR(INDEX(Facturación!$Q:$Q,MATCH(B122,Facturación!$A:$A,0)),"")</f>
        <v/>
      </c>
    </row>
    <row r="123" ht="15" customHeight="1" s="1">
      <c r="A123" s="11">
        <f>IF(B123="","",ROW()-1)</f>
        <v/>
      </c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0">
        <f>IF(OR(B123="",L123&lt;&gt;"Sí"),"","Hola, "&amp;B123&amp;", excelente día. Le saluda *Alejandro Estrada* de Toyota Corregidora."&amp;CHAR(10)&amp;"Muchas gracias por visitarnos y conocer la *"&amp;D123&amp;"*.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23" s="11">
        <f>IF(Q123="","",HYPERLINK("https://wa.me/52"&amp;C123&amp;"?text="&amp;_xlfn.ENCODEURL(Q123),"Enviar Bienvenida"))</f>
        <v/>
      </c>
      <c r="S123" s="10">
        <f>IF(B123="","","Hola, "&amp;B123&amp;", muy buen día."&amp;CHAR(10)&amp;"Espero que esté teniendo una excelente semana. Le escribo para saber si tiene alguna duda sobre la oferta del *"&amp;D123&amp;"*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23" s="11">
        <f>IF(S123="","",HYPERLINK("https://wa.me/52"&amp;C123&amp;"?text="&amp;_xlfn.ENCODEURL(S123),"Enviar Seguimiento"))</f>
        <v/>
      </c>
      <c r="U123" s="10">
        <f>IF(B123="","",_xlfn.SWITCH(M123,"Apartado","Hola, "&amp;B123&amp;", buen día. Le confirmo que su apartado por el *"&amp;D123&amp;"* quedó registrado correctamente. Seguimos con el proceso y le mantendré informado(a) de cada paso.","Toma de vehículo","Hola, "&amp;B123&amp;", le comparto que estamos en el proceso de toma de su vehículo actual. En cuanto tengamos el resultado le aviso para continuar con el siguiente paso.","Pago vehículo a cuenta","Hola, "&amp;B123&amp;", quedamos en proceso de pago del vehículo que se toma a cuenta. Cualquier documento o aclaración que se requiera se lo haré saber por este medio.","Firma de contrato","Hola, "&amp;B123&amp;", ya estamos listos para agendar la firma de su contrato. ¿Qué día y hora se le facilita para realizarla?","Facturación","Hola, "&amp;B123&amp;", su unidad ya está en proceso de facturación. En breve le comparto los datos para su confirmación.","Programación de entrega","Hola, "&amp;B123&amp;", con gusto le comparto que ya podemos programar la entrega de su *"&amp;D123&amp;"*. ¿Qué día y hora le acomodan mejor?","Entregado","Hola, "&amp;B123&amp;", ¡muchas felicidades por estrenar su *"&amp;D123&amp;"*! Fue un gusto acompañarle en este proceso. Quedo pendiente de cualquier duda y con gusto le agendo su próxima cita de servicio cuando lo necesite.","Hola, "&amp;B123&amp;", seguimos en contacto para avanzar con el proceso de su próximo Toyota.")&amp;CHAR(10)&amp;CHAR(10)&amp;Config!$B$1)</f>
        <v/>
      </c>
      <c r="V123" s="11">
        <f>IF(U123="","",HYPERLINK("https://wa.me/52"&amp;C123&amp;"?text="&amp;_xlfn.ENCODEURL(U123),"Enviar aviso de etapa"))</f>
        <v/>
      </c>
      <c r="W123" s="10">
        <f>IF(OR(B123="",O123=""),"","Hola, "&amp;B123&amp;", ¡feliz cumpleaños! Le deseo un excelente día rodeado de quienes más quiere. Ha sido un placer acompañarle desde que estrenó su Toyota. ¡Un abrazo!"&amp;CHAR(10)&amp;CHAR(10)&amp;Config!$B$1)</f>
        <v/>
      </c>
      <c r="X123" s="11">
        <f>IF(W123="","",HYPERLINK("https://wa.me/52"&amp;C123&amp;"?text="&amp;_xlfn.ENCODEURL(W123),"Enviar felicitación"))</f>
        <v/>
      </c>
      <c r="Y123" s="10">
        <f>IF(OR(B123="",P123=""),"","Hola, "&amp;B123&amp;", hoy se cumple un año más desde que estrenó su *"&amp;D123&amp;"*. Espero que haya sido un gran compañero de camino. Cualquier cosa que necesite, aquí estoy para apoyarle."&amp;CHAR(10)&amp;CHAR(10)&amp;Config!$B$1)</f>
        <v/>
      </c>
      <c r="Z123" s="11">
        <f>IF(Y123="","",HYPERLINK("https://wa.me/52"&amp;C123&amp;"?text="&amp;_xlfn.ENCODEURL(Y123),"Enviar aniversario"))</f>
        <v/>
      </c>
      <c r="AA123" s="11" t="n"/>
      <c r="AB123" s="11">
        <f>IF(OR(B123="",AA123=""),"",HYPERLINK("https://wa.me/52"&amp;C123&amp;"?text="&amp;_xlfn.ENCODEURL(_xlfn.SWITCH(AA123,"Bienvenida (primera visita)",Q123,"Seguimiento",S123,"Aviso de Etapa",U123,"Requisitos",AC123,"Datos de Facturación",AD123,"Cumpleaños",W123,"Aniversario",Y123,"")),"Enviar mensaje seleccionado"))</f>
        <v/>
      </c>
      <c r="AC123" s="10">
        <f>IF(B123="","",_xlfn.SWITCH(F123&amp;"|"&amp;G123,"Crédito|Persona física","Hola, "&amp;B123&amp;", para continuar con el proceso de tu *"&amp;D123&amp;"* por "&amp;F123&amp;",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"&amp;B123&amp;", para continuar con el proceso de tu *"&amp;D123&amp;"* por "&amp;F123&amp;",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"&amp;B123&amp;", para continuar con el proceso de tu *"&amp;D123&amp;"* por "&amp;F123&amp;",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"&amp;B123&amp;", para continuar con el proceso de tu *"&amp;D123&amp;"* por "&amp;F123&amp;", estos son los documentos que necesitamos:"&amp;CHAR(10)&amp;CHAR(10)&amp;"- INE"&amp;CHAR(10)&amp;"- Comprobante de domicilio"&amp;CHAR(10)&amp;"- Constancia de situación fiscal (no mayor a 3 meses)","Contado|Persona física con actividad empresarial","Hola, "&amp;B123&amp;", para continuar con el proceso de tu *"&amp;D123&amp;"* por "&amp;F123&amp;", estos son los documentos que necesitamos:"&amp;CHAR(10)&amp;CHAR(10)&amp;"- INE"&amp;CHAR(10)&amp;"- Comprobante de domicilio"&amp;CHAR(10)&amp;"- Constancia de situación fiscal (no mayor a 3 meses)","Contado|Persona moral","Hola, "&amp;B123&amp;", para continuar con el proceso de tu *"&amp;D123&amp;"* por "&amp;F123&amp;",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23" s="10">
        <f>IFERROR(INDEX(Facturación!$Q:$Q,MATCH(B123,Facturación!$A:$A,0)),"")</f>
        <v/>
      </c>
    </row>
    <row r="124" ht="15" customHeight="1" s="1">
      <c r="A124" s="11">
        <f>IF(B124="","",ROW()-1)</f>
        <v/>
      </c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0">
        <f>IF(OR(B124="",L124&lt;&gt;"Sí"),"","Hola, "&amp;B124&amp;", excelente día. Le saluda *Alejandro Estrada* de Toyota Corregidora."&amp;CHAR(10)&amp;"Muchas gracias por visitarnos y conocer la *"&amp;D124&amp;"*.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24" s="11">
        <f>IF(Q124="","",HYPERLINK("https://wa.me/52"&amp;C124&amp;"?text="&amp;_xlfn.ENCODEURL(Q124),"Enviar Bienvenida"))</f>
        <v/>
      </c>
      <c r="S124" s="10">
        <f>IF(B124="","","Hola, "&amp;B124&amp;", muy buen día."&amp;CHAR(10)&amp;"Espero que esté teniendo una excelente semana. Le escribo para saber si tiene alguna duda sobre la oferta del *"&amp;D124&amp;"*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24" s="11">
        <f>IF(S124="","",HYPERLINK("https://wa.me/52"&amp;C124&amp;"?text="&amp;_xlfn.ENCODEURL(S124),"Enviar Seguimiento"))</f>
        <v/>
      </c>
      <c r="U124" s="10">
        <f>IF(B124="","",_xlfn.SWITCH(M124,"Apartado","Hola, "&amp;B124&amp;", buen día. Le confirmo que su apartado por el *"&amp;D124&amp;"* quedó registrado correctamente. Seguimos con el proceso y le mantendré informado(a) de cada paso.","Toma de vehículo","Hola, "&amp;B124&amp;", le comparto que estamos en el proceso de toma de su vehículo actual. En cuanto tengamos el resultado le aviso para continuar con el siguiente paso.","Pago vehículo a cuenta","Hola, "&amp;B124&amp;", quedamos en proceso de pago del vehículo que se toma a cuenta. Cualquier documento o aclaración que se requiera se lo haré saber por este medio.","Firma de contrato","Hola, "&amp;B124&amp;", ya estamos listos para agendar la firma de su contrato. ¿Qué día y hora se le facilita para realizarla?","Facturación","Hola, "&amp;B124&amp;", su unidad ya está en proceso de facturación. En breve le comparto los datos para su confirmación.","Programación de entrega","Hola, "&amp;B124&amp;", con gusto le comparto que ya podemos programar la entrega de su *"&amp;D124&amp;"*. ¿Qué día y hora le acomodan mejor?","Entregado","Hola, "&amp;B124&amp;", ¡muchas felicidades por estrenar su *"&amp;D124&amp;"*! Fue un gusto acompañarle en este proceso. Quedo pendiente de cualquier duda y con gusto le agendo su próxima cita de servicio cuando lo necesite.","Hola, "&amp;B124&amp;", seguimos en contacto para avanzar con el proceso de su próximo Toyota.")&amp;CHAR(10)&amp;CHAR(10)&amp;Config!$B$1)</f>
        <v/>
      </c>
      <c r="V124" s="11">
        <f>IF(U124="","",HYPERLINK("https://wa.me/52"&amp;C124&amp;"?text="&amp;_xlfn.ENCODEURL(U124),"Enviar aviso de etapa"))</f>
        <v/>
      </c>
      <c r="W124" s="10">
        <f>IF(OR(B124="",O124=""),"","Hola, "&amp;B124&amp;", ¡feliz cumpleaños! Le deseo un excelente día rodeado de quienes más quiere. Ha sido un placer acompañarle desde que estrenó su Toyota. ¡Un abrazo!"&amp;CHAR(10)&amp;CHAR(10)&amp;Config!$B$1)</f>
        <v/>
      </c>
      <c r="X124" s="11">
        <f>IF(W124="","",HYPERLINK("https://wa.me/52"&amp;C124&amp;"?text="&amp;_xlfn.ENCODEURL(W124),"Enviar felicitación"))</f>
        <v/>
      </c>
      <c r="Y124" s="10">
        <f>IF(OR(B124="",P124=""),"","Hola, "&amp;B124&amp;", hoy se cumple un año más desde que estrenó su *"&amp;D124&amp;"*. Espero que haya sido un gran compañero de camino. Cualquier cosa que necesite, aquí estoy para apoyarle."&amp;CHAR(10)&amp;CHAR(10)&amp;Config!$B$1)</f>
        <v/>
      </c>
      <c r="Z124" s="11">
        <f>IF(Y124="","",HYPERLINK("https://wa.me/52"&amp;C124&amp;"?text="&amp;_xlfn.ENCODEURL(Y124),"Enviar aniversario"))</f>
        <v/>
      </c>
      <c r="AA124" s="11" t="n"/>
      <c r="AB124" s="11">
        <f>IF(OR(B124="",AA124=""),"",HYPERLINK("https://wa.me/52"&amp;C124&amp;"?text="&amp;_xlfn.ENCODEURL(_xlfn.SWITCH(AA124,"Bienvenida (primera visita)",Q124,"Seguimiento",S124,"Aviso de Etapa",U124,"Requisitos",AC124,"Datos de Facturación",AD124,"Cumpleaños",W124,"Aniversario",Y124,"")),"Enviar mensaje seleccionado"))</f>
        <v/>
      </c>
      <c r="AC124" s="10">
        <f>IF(B124="","",_xlfn.SWITCH(F124&amp;"|"&amp;G124,"Crédito|Persona física","Hola, "&amp;B124&amp;", para continuar con el proceso de tu *"&amp;D124&amp;"* por "&amp;F124&amp;",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"&amp;B124&amp;", para continuar con el proceso de tu *"&amp;D124&amp;"* por "&amp;F124&amp;",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"&amp;B124&amp;", para continuar con el proceso de tu *"&amp;D124&amp;"* por "&amp;F124&amp;",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"&amp;B124&amp;", para continuar con el proceso de tu *"&amp;D124&amp;"* por "&amp;F124&amp;", estos son los documentos que necesitamos:"&amp;CHAR(10)&amp;CHAR(10)&amp;"- INE"&amp;CHAR(10)&amp;"- Comprobante de domicilio"&amp;CHAR(10)&amp;"- Constancia de situación fiscal (no mayor a 3 meses)","Contado|Persona física con actividad empresarial","Hola, "&amp;B124&amp;", para continuar con el proceso de tu *"&amp;D124&amp;"* por "&amp;F124&amp;", estos son los documentos que necesitamos:"&amp;CHAR(10)&amp;CHAR(10)&amp;"- INE"&amp;CHAR(10)&amp;"- Comprobante de domicilio"&amp;CHAR(10)&amp;"- Constancia de situación fiscal (no mayor a 3 meses)","Contado|Persona moral","Hola, "&amp;B124&amp;", para continuar con el proceso de tu *"&amp;D124&amp;"* por "&amp;F124&amp;",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24" s="10">
        <f>IFERROR(INDEX(Facturación!$Q:$Q,MATCH(B124,Facturación!$A:$A,0)),"")</f>
        <v/>
      </c>
    </row>
    <row r="125" ht="15" customHeight="1" s="1">
      <c r="A125" s="11">
        <f>IF(B125="","",ROW()-1)</f>
        <v/>
      </c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0">
        <f>IF(OR(B125="",L125&lt;&gt;"Sí"),"","Hola, "&amp;B125&amp;", excelente día. Le saluda *Alejandro Estrada* de Toyota Corregidora."&amp;CHAR(10)&amp;"Muchas gracias por visitarnos y conocer la *"&amp;D125&amp;"*.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25" s="11">
        <f>IF(Q125="","",HYPERLINK("https://wa.me/52"&amp;C125&amp;"?text="&amp;_xlfn.ENCODEURL(Q125),"Enviar Bienvenida"))</f>
        <v/>
      </c>
      <c r="S125" s="10">
        <f>IF(B125="","","Hola, "&amp;B125&amp;", muy buen día."&amp;CHAR(10)&amp;"Espero que esté teniendo una excelente semana. Le escribo para saber si tiene alguna duda sobre la oferta del *"&amp;D125&amp;"*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25" s="11">
        <f>IF(S125="","",HYPERLINK("https://wa.me/52"&amp;C125&amp;"?text="&amp;_xlfn.ENCODEURL(S125),"Enviar Seguimiento"))</f>
        <v/>
      </c>
      <c r="U125" s="10">
        <f>IF(B125="","",_xlfn.SWITCH(M125,"Apartado","Hola, "&amp;B125&amp;", buen día. Le confirmo que su apartado por el *"&amp;D125&amp;"* quedó registrado correctamente. Seguimos con el proceso y le mantendré informado(a) de cada paso.","Toma de vehículo","Hola, "&amp;B125&amp;", le comparto que estamos en el proceso de toma de su vehículo actual. En cuanto tengamos el resultado le aviso para continuar con el siguiente paso.","Pago vehículo a cuenta","Hola, "&amp;B125&amp;", quedamos en proceso de pago del vehículo que se toma a cuenta. Cualquier documento o aclaración que se requiera se lo haré saber por este medio.","Firma de contrato","Hola, "&amp;B125&amp;", ya estamos listos para agendar la firma de su contrato. ¿Qué día y hora se le facilita para realizarla?","Facturación","Hola, "&amp;B125&amp;", su unidad ya está en proceso de facturación. En breve le comparto los datos para su confirmación.","Programación de entrega","Hola, "&amp;B125&amp;", con gusto le comparto que ya podemos programar la entrega de su *"&amp;D125&amp;"*. ¿Qué día y hora le acomodan mejor?","Entregado","Hola, "&amp;B125&amp;", ¡muchas felicidades por estrenar su *"&amp;D125&amp;"*! Fue un gusto acompañarle en este proceso. Quedo pendiente de cualquier duda y con gusto le agendo su próxima cita de servicio cuando lo necesite.","Hola, "&amp;B125&amp;", seguimos en contacto para avanzar con el proceso de su próximo Toyota.")&amp;CHAR(10)&amp;CHAR(10)&amp;Config!$B$1)</f>
        <v/>
      </c>
      <c r="V125" s="11">
        <f>IF(U125="","",HYPERLINK("https://wa.me/52"&amp;C125&amp;"?text="&amp;_xlfn.ENCODEURL(U125),"Enviar aviso de etapa"))</f>
        <v/>
      </c>
      <c r="W125" s="10">
        <f>IF(OR(B125="",O125=""),"","Hola, "&amp;B125&amp;", ¡feliz cumpleaños! Le deseo un excelente día rodeado de quienes más quiere. Ha sido un placer acompañarle desde que estrenó su Toyota. ¡Un abrazo!"&amp;CHAR(10)&amp;CHAR(10)&amp;Config!$B$1)</f>
        <v/>
      </c>
      <c r="X125" s="11">
        <f>IF(W125="","",HYPERLINK("https://wa.me/52"&amp;C125&amp;"?text="&amp;_xlfn.ENCODEURL(W125),"Enviar felicitación"))</f>
        <v/>
      </c>
      <c r="Y125" s="10">
        <f>IF(OR(B125="",P125=""),"","Hola, "&amp;B125&amp;", hoy se cumple un año más desde que estrenó su *"&amp;D125&amp;"*. Espero que haya sido un gran compañero de camino. Cualquier cosa que necesite, aquí estoy para apoyarle."&amp;CHAR(10)&amp;CHAR(10)&amp;Config!$B$1)</f>
        <v/>
      </c>
      <c r="Z125" s="11">
        <f>IF(Y125="","",HYPERLINK("https://wa.me/52"&amp;C125&amp;"?text="&amp;_xlfn.ENCODEURL(Y125),"Enviar aniversario"))</f>
        <v/>
      </c>
      <c r="AA125" s="11" t="n"/>
      <c r="AB125" s="11">
        <f>IF(OR(B125="",AA125=""),"",HYPERLINK("https://wa.me/52"&amp;C125&amp;"?text="&amp;_xlfn.ENCODEURL(_xlfn.SWITCH(AA125,"Bienvenida (primera visita)",Q125,"Seguimiento",S125,"Aviso de Etapa",U125,"Requisitos",AC125,"Datos de Facturación",AD125,"Cumpleaños",W125,"Aniversario",Y125,"")),"Enviar mensaje seleccionado"))</f>
        <v/>
      </c>
      <c r="AC125" s="10">
        <f>IF(B125="","",_xlfn.SWITCH(F125&amp;"|"&amp;G125,"Crédito|Persona física","Hola, "&amp;B125&amp;", para continuar con el proceso de tu *"&amp;D125&amp;"* por "&amp;F125&amp;",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"&amp;B125&amp;", para continuar con el proceso de tu *"&amp;D125&amp;"* por "&amp;F125&amp;",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"&amp;B125&amp;", para continuar con el proceso de tu *"&amp;D125&amp;"* por "&amp;F125&amp;",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"&amp;B125&amp;", para continuar con el proceso de tu *"&amp;D125&amp;"* por "&amp;F125&amp;", estos son los documentos que necesitamos:"&amp;CHAR(10)&amp;CHAR(10)&amp;"- INE"&amp;CHAR(10)&amp;"- Comprobante de domicilio"&amp;CHAR(10)&amp;"- Constancia de situación fiscal (no mayor a 3 meses)","Contado|Persona física con actividad empresarial","Hola, "&amp;B125&amp;", para continuar con el proceso de tu *"&amp;D125&amp;"* por "&amp;F125&amp;", estos son los documentos que necesitamos:"&amp;CHAR(10)&amp;CHAR(10)&amp;"- INE"&amp;CHAR(10)&amp;"- Comprobante de domicilio"&amp;CHAR(10)&amp;"- Constancia de situación fiscal (no mayor a 3 meses)","Contado|Persona moral","Hola, "&amp;B125&amp;", para continuar con el proceso de tu *"&amp;D125&amp;"* por "&amp;F125&amp;",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25" s="10">
        <f>IFERROR(INDEX(Facturación!$Q:$Q,MATCH(B125,Facturación!$A:$A,0)),"")</f>
        <v/>
      </c>
    </row>
    <row r="126" ht="15" customHeight="1" s="1">
      <c r="A126" s="11">
        <f>IF(B126="","",ROW()-1)</f>
        <v/>
      </c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0">
        <f>IF(OR(B126="",L126&lt;&gt;"Sí"),"","Hola, "&amp;B126&amp;", excelente día. Le saluda *Alejandro Estrada* de Toyota Corregidora."&amp;CHAR(10)&amp;"Muchas gracias por visitarnos y conocer la *"&amp;D126&amp;"*.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26" s="11">
        <f>IF(Q126="","",HYPERLINK("https://wa.me/52"&amp;C126&amp;"?text="&amp;_xlfn.ENCODEURL(Q126),"Enviar Bienvenida"))</f>
        <v/>
      </c>
      <c r="S126" s="10">
        <f>IF(B126="","","Hola, "&amp;B126&amp;", muy buen día."&amp;CHAR(10)&amp;"Espero que esté teniendo una excelente semana. Le escribo para saber si tiene alguna duda sobre la oferta del *"&amp;D126&amp;"*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26" s="11">
        <f>IF(S126="","",HYPERLINK("https://wa.me/52"&amp;C126&amp;"?text="&amp;_xlfn.ENCODEURL(S126),"Enviar Seguimiento"))</f>
        <v/>
      </c>
      <c r="U126" s="10">
        <f>IF(B126="","",_xlfn.SWITCH(M126,"Apartado","Hola, "&amp;B126&amp;", buen día. Le confirmo que su apartado por el *"&amp;D126&amp;"* quedó registrado correctamente. Seguimos con el proceso y le mantendré informado(a) de cada paso.","Toma de vehículo","Hola, "&amp;B126&amp;", le comparto que estamos en el proceso de toma de su vehículo actual. En cuanto tengamos el resultado le aviso para continuar con el siguiente paso.","Pago vehículo a cuenta","Hola, "&amp;B126&amp;", quedamos en proceso de pago del vehículo que se toma a cuenta. Cualquier documento o aclaración que se requiera se lo haré saber por este medio.","Firma de contrato","Hola, "&amp;B126&amp;", ya estamos listos para agendar la firma de su contrato. ¿Qué día y hora se le facilita para realizarla?","Facturación","Hola, "&amp;B126&amp;", su unidad ya está en proceso de facturación. En breve le comparto los datos para su confirmación.","Programación de entrega","Hola, "&amp;B126&amp;", con gusto le comparto que ya podemos programar la entrega de su *"&amp;D126&amp;"*. ¿Qué día y hora le acomodan mejor?","Entregado","Hola, "&amp;B126&amp;", ¡muchas felicidades por estrenar su *"&amp;D126&amp;"*! Fue un gusto acompañarle en este proceso. Quedo pendiente de cualquier duda y con gusto le agendo su próxima cita de servicio cuando lo necesite.","Hola, "&amp;B126&amp;", seguimos en contacto para avanzar con el proceso de su próximo Toyota.")&amp;CHAR(10)&amp;CHAR(10)&amp;Config!$B$1)</f>
        <v/>
      </c>
      <c r="V126" s="11">
        <f>IF(U126="","",HYPERLINK("https://wa.me/52"&amp;C126&amp;"?text="&amp;_xlfn.ENCODEURL(U126),"Enviar aviso de etapa"))</f>
        <v/>
      </c>
      <c r="W126" s="10">
        <f>IF(OR(B126="",O126=""),"","Hola, "&amp;B126&amp;", ¡feliz cumpleaños! Le deseo un excelente día rodeado de quienes más quiere. Ha sido un placer acompañarle desde que estrenó su Toyota. ¡Un abrazo!"&amp;CHAR(10)&amp;CHAR(10)&amp;Config!$B$1)</f>
        <v/>
      </c>
      <c r="X126" s="11">
        <f>IF(W126="","",HYPERLINK("https://wa.me/52"&amp;C126&amp;"?text="&amp;_xlfn.ENCODEURL(W126),"Enviar felicitación"))</f>
        <v/>
      </c>
      <c r="Y126" s="10">
        <f>IF(OR(B126="",P126=""),"","Hola, "&amp;B126&amp;", hoy se cumple un año más desde que estrenó su *"&amp;D126&amp;"*. Espero que haya sido un gran compañero de camino. Cualquier cosa que necesite, aquí estoy para apoyarle."&amp;CHAR(10)&amp;CHAR(10)&amp;Config!$B$1)</f>
        <v/>
      </c>
      <c r="Z126" s="11">
        <f>IF(Y126="","",HYPERLINK("https://wa.me/52"&amp;C126&amp;"?text="&amp;_xlfn.ENCODEURL(Y126),"Enviar aniversario"))</f>
        <v/>
      </c>
      <c r="AA126" s="11" t="n"/>
      <c r="AB126" s="11">
        <f>IF(OR(B126="",AA126=""),"",HYPERLINK("https://wa.me/52"&amp;C126&amp;"?text="&amp;_xlfn.ENCODEURL(_xlfn.SWITCH(AA126,"Bienvenida (primera visita)",Q126,"Seguimiento",S126,"Aviso de Etapa",U126,"Requisitos",AC126,"Datos de Facturación",AD126,"Cumpleaños",W126,"Aniversario",Y126,"")),"Enviar mensaje seleccionado"))</f>
        <v/>
      </c>
      <c r="AC126" s="10">
        <f>IF(B126="","",_xlfn.SWITCH(F126&amp;"|"&amp;G126,"Crédito|Persona física","Hola, "&amp;B126&amp;", para continuar con el proceso de tu *"&amp;D126&amp;"* por "&amp;F126&amp;",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"&amp;B126&amp;", para continuar con el proceso de tu *"&amp;D126&amp;"* por "&amp;F126&amp;",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"&amp;B126&amp;", para continuar con el proceso de tu *"&amp;D126&amp;"* por "&amp;F126&amp;",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"&amp;B126&amp;", para continuar con el proceso de tu *"&amp;D126&amp;"* por "&amp;F126&amp;", estos son los documentos que necesitamos:"&amp;CHAR(10)&amp;CHAR(10)&amp;"- INE"&amp;CHAR(10)&amp;"- Comprobante de domicilio"&amp;CHAR(10)&amp;"- Constancia de situación fiscal (no mayor a 3 meses)","Contado|Persona física con actividad empresarial","Hola, "&amp;B126&amp;", para continuar con el proceso de tu *"&amp;D126&amp;"* por "&amp;F126&amp;", estos son los documentos que necesitamos:"&amp;CHAR(10)&amp;CHAR(10)&amp;"- INE"&amp;CHAR(10)&amp;"- Comprobante de domicilio"&amp;CHAR(10)&amp;"- Constancia de situación fiscal (no mayor a 3 meses)","Contado|Persona moral","Hola, "&amp;B126&amp;", para continuar con el proceso de tu *"&amp;D126&amp;"* por "&amp;F126&amp;",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26" s="10">
        <f>IFERROR(INDEX(Facturación!$Q:$Q,MATCH(B126,Facturación!$A:$A,0)),"")</f>
        <v/>
      </c>
    </row>
    <row r="127" ht="15" customHeight="1" s="1">
      <c r="A127" s="11">
        <f>IF(B127="","",ROW()-1)</f>
        <v/>
      </c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0">
        <f>IF(OR(B127="",L127&lt;&gt;"Sí"),"","Hola, "&amp;B127&amp;", excelente día. Le saluda *Alejandro Estrada* de Toyota Corregidora."&amp;CHAR(10)&amp;"Muchas gracias por visitarnos y conocer la *"&amp;D127&amp;"*.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27" s="11">
        <f>IF(Q127="","",HYPERLINK("https://wa.me/52"&amp;C127&amp;"?text="&amp;_xlfn.ENCODEURL(Q127),"Enviar Bienvenida"))</f>
        <v/>
      </c>
      <c r="S127" s="10">
        <f>IF(B127="","","Hola, "&amp;B127&amp;", muy buen día."&amp;CHAR(10)&amp;"Espero que esté teniendo una excelente semana. Le escribo para saber si tiene alguna duda sobre la oferta del *"&amp;D127&amp;"*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27" s="11">
        <f>IF(S127="","",HYPERLINK("https://wa.me/52"&amp;C127&amp;"?text="&amp;_xlfn.ENCODEURL(S127),"Enviar Seguimiento"))</f>
        <v/>
      </c>
      <c r="U127" s="10">
        <f>IF(B127="","",_xlfn.SWITCH(M127,"Apartado","Hola, "&amp;B127&amp;", buen día. Le confirmo que su apartado por el *"&amp;D127&amp;"* quedó registrado correctamente. Seguimos con el proceso y le mantendré informado(a) de cada paso.","Toma de vehículo","Hola, "&amp;B127&amp;", le comparto que estamos en el proceso de toma de su vehículo actual. En cuanto tengamos el resultado le aviso para continuar con el siguiente paso.","Pago vehículo a cuenta","Hola, "&amp;B127&amp;", quedamos en proceso de pago del vehículo que se toma a cuenta. Cualquier documento o aclaración que se requiera se lo haré saber por este medio.","Firma de contrato","Hola, "&amp;B127&amp;", ya estamos listos para agendar la firma de su contrato. ¿Qué día y hora se le facilita para realizarla?","Facturación","Hola, "&amp;B127&amp;", su unidad ya está en proceso de facturación. En breve le comparto los datos para su confirmación.","Programación de entrega","Hola, "&amp;B127&amp;", con gusto le comparto que ya podemos programar la entrega de su *"&amp;D127&amp;"*. ¿Qué día y hora le acomodan mejor?","Entregado","Hola, "&amp;B127&amp;", ¡muchas felicidades por estrenar su *"&amp;D127&amp;"*! Fue un gusto acompañarle en este proceso. Quedo pendiente de cualquier duda y con gusto le agendo su próxima cita de servicio cuando lo necesite.","Hola, "&amp;B127&amp;", seguimos en contacto para avanzar con el proceso de su próximo Toyota.")&amp;CHAR(10)&amp;CHAR(10)&amp;Config!$B$1)</f>
        <v/>
      </c>
      <c r="V127" s="11">
        <f>IF(U127="","",HYPERLINK("https://wa.me/52"&amp;C127&amp;"?text="&amp;_xlfn.ENCODEURL(U127),"Enviar aviso de etapa"))</f>
        <v/>
      </c>
      <c r="W127" s="10">
        <f>IF(OR(B127="",O127=""),"","Hola, "&amp;B127&amp;", ¡feliz cumpleaños! Le deseo un excelente día rodeado de quienes más quiere. Ha sido un placer acompañarle desde que estrenó su Toyota. ¡Un abrazo!"&amp;CHAR(10)&amp;CHAR(10)&amp;Config!$B$1)</f>
        <v/>
      </c>
      <c r="X127" s="11">
        <f>IF(W127="","",HYPERLINK("https://wa.me/52"&amp;C127&amp;"?text="&amp;_xlfn.ENCODEURL(W127),"Enviar felicitación"))</f>
        <v/>
      </c>
      <c r="Y127" s="10">
        <f>IF(OR(B127="",P127=""),"","Hola, "&amp;B127&amp;", hoy se cumple un año más desde que estrenó su *"&amp;D127&amp;"*. Espero que haya sido un gran compañero de camino. Cualquier cosa que necesite, aquí estoy para apoyarle."&amp;CHAR(10)&amp;CHAR(10)&amp;Config!$B$1)</f>
        <v/>
      </c>
      <c r="Z127" s="11">
        <f>IF(Y127="","",HYPERLINK("https://wa.me/52"&amp;C127&amp;"?text="&amp;_xlfn.ENCODEURL(Y127),"Enviar aniversario"))</f>
        <v/>
      </c>
      <c r="AA127" s="11" t="n"/>
      <c r="AB127" s="11">
        <f>IF(OR(B127="",AA127=""),"",HYPERLINK("https://wa.me/52"&amp;C127&amp;"?text="&amp;_xlfn.ENCODEURL(_xlfn.SWITCH(AA127,"Bienvenida (primera visita)",Q127,"Seguimiento",S127,"Aviso de Etapa",U127,"Requisitos",AC127,"Datos de Facturación",AD127,"Cumpleaños",W127,"Aniversario",Y127,"")),"Enviar mensaje seleccionado"))</f>
        <v/>
      </c>
      <c r="AC127" s="10">
        <f>IF(B127="","",_xlfn.SWITCH(F127&amp;"|"&amp;G127,"Crédito|Persona física","Hola, "&amp;B127&amp;", para continuar con el proceso de tu *"&amp;D127&amp;"* por "&amp;F127&amp;",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"&amp;B127&amp;", para continuar con el proceso de tu *"&amp;D127&amp;"* por "&amp;F127&amp;",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"&amp;B127&amp;", para continuar con el proceso de tu *"&amp;D127&amp;"* por "&amp;F127&amp;",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"&amp;B127&amp;", para continuar con el proceso de tu *"&amp;D127&amp;"* por "&amp;F127&amp;", estos son los documentos que necesitamos:"&amp;CHAR(10)&amp;CHAR(10)&amp;"- INE"&amp;CHAR(10)&amp;"- Comprobante de domicilio"&amp;CHAR(10)&amp;"- Constancia de situación fiscal (no mayor a 3 meses)","Contado|Persona física con actividad empresarial","Hola, "&amp;B127&amp;", para continuar con el proceso de tu *"&amp;D127&amp;"* por "&amp;F127&amp;", estos son los documentos que necesitamos:"&amp;CHAR(10)&amp;CHAR(10)&amp;"- INE"&amp;CHAR(10)&amp;"- Comprobante de domicilio"&amp;CHAR(10)&amp;"- Constancia de situación fiscal (no mayor a 3 meses)","Contado|Persona moral","Hola, "&amp;B127&amp;", para continuar con el proceso de tu *"&amp;D127&amp;"* por "&amp;F127&amp;",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27" s="10">
        <f>IFERROR(INDEX(Facturación!$Q:$Q,MATCH(B127,Facturación!$A:$A,0)),"")</f>
        <v/>
      </c>
    </row>
    <row r="128" ht="15" customHeight="1" s="1">
      <c r="A128" s="11">
        <f>IF(B128="","",ROW()-1)</f>
        <v/>
      </c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0">
        <f>IF(OR(B128="",L128&lt;&gt;"Sí"),"","Hola, "&amp;B128&amp;", excelente día. Le saluda *Alejandro Estrada* de Toyota Corregidora."&amp;CHAR(10)&amp;"Muchas gracias por visitarnos y conocer la *"&amp;D128&amp;"*.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28" s="11">
        <f>IF(Q128="","",HYPERLINK("https://wa.me/52"&amp;C128&amp;"?text="&amp;_xlfn.ENCODEURL(Q128),"Enviar Bienvenida"))</f>
        <v/>
      </c>
      <c r="S128" s="10">
        <f>IF(B128="","","Hola, "&amp;B128&amp;", muy buen día."&amp;CHAR(10)&amp;"Espero que esté teniendo una excelente semana. Le escribo para saber si tiene alguna duda sobre la oferta del *"&amp;D128&amp;"*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28" s="11">
        <f>IF(S128="","",HYPERLINK("https://wa.me/52"&amp;C128&amp;"?text="&amp;_xlfn.ENCODEURL(S128),"Enviar Seguimiento"))</f>
        <v/>
      </c>
      <c r="U128" s="10">
        <f>IF(B128="","",_xlfn.SWITCH(M128,"Apartado","Hola, "&amp;B128&amp;", buen día. Le confirmo que su apartado por el *"&amp;D128&amp;"* quedó registrado correctamente. Seguimos con el proceso y le mantendré informado(a) de cada paso.","Toma de vehículo","Hola, "&amp;B128&amp;", le comparto que estamos en el proceso de toma de su vehículo actual. En cuanto tengamos el resultado le aviso para continuar con el siguiente paso.","Pago vehículo a cuenta","Hola, "&amp;B128&amp;", quedamos en proceso de pago del vehículo que se toma a cuenta. Cualquier documento o aclaración que se requiera se lo haré saber por este medio.","Firma de contrato","Hola, "&amp;B128&amp;", ya estamos listos para agendar la firma de su contrato. ¿Qué día y hora se le facilita para realizarla?","Facturación","Hola, "&amp;B128&amp;", su unidad ya está en proceso de facturación. En breve le comparto los datos para su confirmación.","Programación de entrega","Hola, "&amp;B128&amp;", con gusto le comparto que ya podemos programar la entrega de su *"&amp;D128&amp;"*. ¿Qué día y hora le acomodan mejor?","Entregado","Hola, "&amp;B128&amp;", ¡muchas felicidades por estrenar su *"&amp;D128&amp;"*! Fue un gusto acompañarle en este proceso. Quedo pendiente de cualquier duda y con gusto le agendo su próxima cita de servicio cuando lo necesite.","Hola, "&amp;B128&amp;", seguimos en contacto para avanzar con el proceso de su próximo Toyota.")&amp;CHAR(10)&amp;CHAR(10)&amp;Config!$B$1)</f>
        <v/>
      </c>
      <c r="V128" s="11">
        <f>IF(U128="","",HYPERLINK("https://wa.me/52"&amp;C128&amp;"?text="&amp;_xlfn.ENCODEURL(U128),"Enviar aviso de etapa"))</f>
        <v/>
      </c>
      <c r="W128" s="10">
        <f>IF(OR(B128="",O128=""),"","Hola, "&amp;B128&amp;", ¡feliz cumpleaños! Le deseo un excelente día rodeado de quienes más quiere. Ha sido un placer acompañarle desde que estrenó su Toyota. ¡Un abrazo!"&amp;CHAR(10)&amp;CHAR(10)&amp;Config!$B$1)</f>
        <v/>
      </c>
      <c r="X128" s="11">
        <f>IF(W128="","",HYPERLINK("https://wa.me/52"&amp;C128&amp;"?text="&amp;_xlfn.ENCODEURL(W128),"Enviar felicitación"))</f>
        <v/>
      </c>
      <c r="Y128" s="10">
        <f>IF(OR(B128="",P128=""),"","Hola, "&amp;B128&amp;", hoy se cumple un año más desde que estrenó su *"&amp;D128&amp;"*. Espero que haya sido un gran compañero de camino. Cualquier cosa que necesite, aquí estoy para apoyarle."&amp;CHAR(10)&amp;CHAR(10)&amp;Config!$B$1)</f>
        <v/>
      </c>
      <c r="Z128" s="11">
        <f>IF(Y128="","",HYPERLINK("https://wa.me/52"&amp;C128&amp;"?text="&amp;_xlfn.ENCODEURL(Y128),"Enviar aniversario"))</f>
        <v/>
      </c>
      <c r="AA128" s="11" t="n"/>
      <c r="AB128" s="11">
        <f>IF(OR(B128="",AA128=""),"",HYPERLINK("https://wa.me/52"&amp;C128&amp;"?text="&amp;_xlfn.ENCODEURL(_xlfn.SWITCH(AA128,"Bienvenida (primera visita)",Q128,"Seguimiento",S128,"Aviso de Etapa",U128,"Requisitos",AC128,"Datos de Facturación",AD128,"Cumpleaños",W128,"Aniversario",Y128,"")),"Enviar mensaje seleccionado"))</f>
        <v/>
      </c>
      <c r="AC128" s="10">
        <f>IF(B128="","",_xlfn.SWITCH(F128&amp;"|"&amp;G128,"Crédito|Persona física","Hola, "&amp;B128&amp;", para continuar con el proceso de tu *"&amp;D128&amp;"* por "&amp;F128&amp;",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"&amp;B128&amp;", para continuar con el proceso de tu *"&amp;D128&amp;"* por "&amp;F128&amp;",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"&amp;B128&amp;", para continuar con el proceso de tu *"&amp;D128&amp;"* por "&amp;F128&amp;",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"&amp;B128&amp;", para continuar con el proceso de tu *"&amp;D128&amp;"* por "&amp;F128&amp;", estos son los documentos que necesitamos:"&amp;CHAR(10)&amp;CHAR(10)&amp;"- INE"&amp;CHAR(10)&amp;"- Comprobante de domicilio"&amp;CHAR(10)&amp;"- Constancia de situación fiscal (no mayor a 3 meses)","Contado|Persona física con actividad empresarial","Hola, "&amp;B128&amp;", para continuar con el proceso de tu *"&amp;D128&amp;"* por "&amp;F128&amp;", estos son los documentos que necesitamos:"&amp;CHAR(10)&amp;CHAR(10)&amp;"- INE"&amp;CHAR(10)&amp;"- Comprobante de domicilio"&amp;CHAR(10)&amp;"- Constancia de situación fiscal (no mayor a 3 meses)","Contado|Persona moral","Hola, "&amp;B128&amp;", para continuar con el proceso de tu *"&amp;D128&amp;"* por "&amp;F128&amp;",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28" s="10">
        <f>IFERROR(INDEX(Facturación!$Q:$Q,MATCH(B128,Facturación!$A:$A,0)),"")</f>
        <v/>
      </c>
    </row>
    <row r="129" ht="15" customHeight="1" s="1">
      <c r="A129" s="11">
        <f>IF(B129="","",ROW()-1)</f>
        <v/>
      </c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0">
        <f>IF(OR(B129="",L129&lt;&gt;"Sí"),"","Hola, "&amp;B129&amp;", excelente día. Le saluda *Alejandro Estrada* de Toyota Corregidora."&amp;CHAR(10)&amp;"Muchas gracias por visitarnos y conocer la *"&amp;D129&amp;"*.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29" s="11">
        <f>IF(Q129="","",HYPERLINK("https://wa.me/52"&amp;C129&amp;"?text="&amp;_xlfn.ENCODEURL(Q129),"Enviar Bienvenida"))</f>
        <v/>
      </c>
      <c r="S129" s="10">
        <f>IF(B129="","","Hola, "&amp;B129&amp;", muy buen día."&amp;CHAR(10)&amp;"Espero que esté teniendo una excelente semana. Le escribo para saber si tiene alguna duda sobre la oferta del *"&amp;D129&amp;"*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29" s="11">
        <f>IF(S129="","",HYPERLINK("https://wa.me/52"&amp;C129&amp;"?text="&amp;_xlfn.ENCODEURL(S129),"Enviar Seguimiento"))</f>
        <v/>
      </c>
      <c r="U129" s="10">
        <f>IF(B129="","",_xlfn.SWITCH(M129,"Apartado","Hola, "&amp;B129&amp;", buen día. Le confirmo que su apartado por el *"&amp;D129&amp;"* quedó registrado correctamente. Seguimos con el proceso y le mantendré informado(a) de cada paso.","Toma de vehículo","Hola, "&amp;B129&amp;", le comparto que estamos en el proceso de toma de su vehículo actual. En cuanto tengamos el resultado le aviso para continuar con el siguiente paso.","Pago vehículo a cuenta","Hola, "&amp;B129&amp;", quedamos en proceso de pago del vehículo que se toma a cuenta. Cualquier documento o aclaración que se requiera se lo haré saber por este medio.","Firma de contrato","Hola, "&amp;B129&amp;", ya estamos listos para agendar la firma de su contrato. ¿Qué día y hora se le facilita para realizarla?","Facturación","Hola, "&amp;B129&amp;", su unidad ya está en proceso de facturación. En breve le comparto los datos para su confirmación.","Programación de entrega","Hola, "&amp;B129&amp;", con gusto le comparto que ya podemos programar la entrega de su *"&amp;D129&amp;"*. ¿Qué día y hora le acomodan mejor?","Entregado","Hola, "&amp;B129&amp;", ¡muchas felicidades por estrenar su *"&amp;D129&amp;"*! Fue un gusto acompañarle en este proceso. Quedo pendiente de cualquier duda y con gusto le agendo su próxima cita de servicio cuando lo necesite.","Hola, "&amp;B129&amp;", seguimos en contacto para avanzar con el proceso de su próximo Toyota.")&amp;CHAR(10)&amp;CHAR(10)&amp;Config!$B$1)</f>
        <v/>
      </c>
      <c r="V129" s="11">
        <f>IF(U129="","",HYPERLINK("https://wa.me/52"&amp;C129&amp;"?text="&amp;_xlfn.ENCODEURL(U129),"Enviar aviso de etapa"))</f>
        <v/>
      </c>
      <c r="W129" s="10">
        <f>IF(OR(B129="",O129=""),"","Hola, "&amp;B129&amp;", ¡feliz cumpleaños! Le deseo un excelente día rodeado de quienes más quiere. Ha sido un placer acompañarle desde que estrenó su Toyota. ¡Un abrazo!"&amp;CHAR(10)&amp;CHAR(10)&amp;Config!$B$1)</f>
        <v/>
      </c>
      <c r="X129" s="11">
        <f>IF(W129="","",HYPERLINK("https://wa.me/52"&amp;C129&amp;"?text="&amp;_xlfn.ENCODEURL(W129),"Enviar felicitación"))</f>
        <v/>
      </c>
      <c r="Y129" s="10">
        <f>IF(OR(B129="",P129=""),"","Hola, "&amp;B129&amp;", hoy se cumple un año más desde que estrenó su *"&amp;D129&amp;"*. Espero que haya sido un gran compañero de camino. Cualquier cosa que necesite, aquí estoy para apoyarle."&amp;CHAR(10)&amp;CHAR(10)&amp;Config!$B$1)</f>
        <v/>
      </c>
      <c r="Z129" s="11">
        <f>IF(Y129="","",HYPERLINK("https://wa.me/52"&amp;C129&amp;"?text="&amp;_xlfn.ENCODEURL(Y129),"Enviar aniversario"))</f>
        <v/>
      </c>
      <c r="AA129" s="11" t="n"/>
      <c r="AB129" s="11">
        <f>IF(OR(B129="",AA129=""),"",HYPERLINK("https://wa.me/52"&amp;C129&amp;"?text="&amp;_xlfn.ENCODEURL(_xlfn.SWITCH(AA129,"Bienvenida (primera visita)",Q129,"Seguimiento",S129,"Aviso de Etapa",U129,"Requisitos",AC129,"Datos de Facturación",AD129,"Cumpleaños",W129,"Aniversario",Y129,"")),"Enviar mensaje seleccionado"))</f>
        <v/>
      </c>
      <c r="AC129" s="10">
        <f>IF(B129="","",_xlfn.SWITCH(F129&amp;"|"&amp;G129,"Crédito|Persona física","Hola, "&amp;B129&amp;", para continuar con el proceso de tu *"&amp;D129&amp;"* por "&amp;F129&amp;",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"&amp;B129&amp;", para continuar con el proceso de tu *"&amp;D129&amp;"* por "&amp;F129&amp;",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"&amp;B129&amp;", para continuar con el proceso de tu *"&amp;D129&amp;"* por "&amp;F129&amp;",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"&amp;B129&amp;", para continuar con el proceso de tu *"&amp;D129&amp;"* por "&amp;F129&amp;", estos son los documentos que necesitamos:"&amp;CHAR(10)&amp;CHAR(10)&amp;"- INE"&amp;CHAR(10)&amp;"- Comprobante de domicilio"&amp;CHAR(10)&amp;"- Constancia de situación fiscal (no mayor a 3 meses)","Contado|Persona física con actividad empresarial","Hola, "&amp;B129&amp;", para continuar con el proceso de tu *"&amp;D129&amp;"* por "&amp;F129&amp;", estos son los documentos que necesitamos:"&amp;CHAR(10)&amp;CHAR(10)&amp;"- INE"&amp;CHAR(10)&amp;"- Comprobante de domicilio"&amp;CHAR(10)&amp;"- Constancia de situación fiscal (no mayor a 3 meses)","Contado|Persona moral","Hola, "&amp;B129&amp;", para continuar con el proceso de tu *"&amp;D129&amp;"* por "&amp;F129&amp;",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29" s="10">
        <f>IFERROR(INDEX(Facturación!$Q:$Q,MATCH(B129,Facturación!$A:$A,0)),"")</f>
        <v/>
      </c>
    </row>
    <row r="130" ht="15" customHeight="1" s="1">
      <c r="A130" s="11">
        <f>IF(B130="","",ROW()-1)</f>
        <v/>
      </c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0">
        <f>IF(OR(B130="",L130&lt;&gt;"Sí"),"","Hola, "&amp;B130&amp;", excelente día. Le saluda *Alejandro Estrada* de Toyota Corregidora."&amp;CHAR(10)&amp;"Muchas gracias por visitarnos y conocer la *"&amp;D130&amp;"*.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30" s="11">
        <f>IF(Q130="","",HYPERLINK("https://wa.me/52"&amp;C130&amp;"?text="&amp;_xlfn.ENCODEURL(Q130),"Enviar Bienvenida"))</f>
        <v/>
      </c>
      <c r="S130" s="10">
        <f>IF(B130="","","Hola, "&amp;B130&amp;", muy buen día."&amp;CHAR(10)&amp;"Espero que esté teniendo una excelente semana. Le escribo para saber si tiene alguna duda sobre la oferta del *"&amp;D130&amp;"*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30" s="11">
        <f>IF(S130="","",HYPERLINK("https://wa.me/52"&amp;C130&amp;"?text="&amp;_xlfn.ENCODEURL(S130),"Enviar Seguimiento"))</f>
        <v/>
      </c>
      <c r="U130" s="10">
        <f>IF(B130="","",_xlfn.SWITCH(M130,"Apartado","Hola, "&amp;B130&amp;", buen día. Le confirmo que su apartado por el *"&amp;D130&amp;"* quedó registrado correctamente. Seguimos con el proceso y le mantendré informado(a) de cada paso.","Toma de vehículo","Hola, "&amp;B130&amp;", le comparto que estamos en el proceso de toma de su vehículo actual. En cuanto tengamos el resultado le aviso para continuar con el siguiente paso.","Pago vehículo a cuenta","Hola, "&amp;B130&amp;", quedamos en proceso de pago del vehículo que se toma a cuenta. Cualquier documento o aclaración que se requiera se lo haré saber por este medio.","Firma de contrato","Hola, "&amp;B130&amp;", ya estamos listos para agendar la firma de su contrato. ¿Qué día y hora se le facilita para realizarla?","Facturación","Hola, "&amp;B130&amp;", su unidad ya está en proceso de facturación. En breve le comparto los datos para su confirmación.","Programación de entrega","Hola, "&amp;B130&amp;", con gusto le comparto que ya podemos programar la entrega de su *"&amp;D130&amp;"*. ¿Qué día y hora le acomodan mejor?","Entregado","Hola, "&amp;B130&amp;", ¡muchas felicidades por estrenar su *"&amp;D130&amp;"*! Fue un gusto acompañarle en este proceso. Quedo pendiente de cualquier duda y con gusto le agendo su próxima cita de servicio cuando lo necesite.","Hola, "&amp;B130&amp;", seguimos en contacto para avanzar con el proceso de su próximo Toyota.")&amp;CHAR(10)&amp;CHAR(10)&amp;Config!$B$1)</f>
        <v/>
      </c>
      <c r="V130" s="11">
        <f>IF(U130="","",HYPERLINK("https://wa.me/52"&amp;C130&amp;"?text="&amp;_xlfn.ENCODEURL(U130),"Enviar aviso de etapa"))</f>
        <v/>
      </c>
      <c r="W130" s="10">
        <f>IF(OR(B130="",O130=""),"","Hola, "&amp;B130&amp;", ¡feliz cumpleaños! Le deseo un excelente día rodeado de quienes más quiere. Ha sido un placer acompañarle desde que estrenó su Toyota. ¡Un abrazo!"&amp;CHAR(10)&amp;CHAR(10)&amp;Config!$B$1)</f>
        <v/>
      </c>
      <c r="X130" s="11">
        <f>IF(W130="","",HYPERLINK("https://wa.me/52"&amp;C130&amp;"?text="&amp;_xlfn.ENCODEURL(W130),"Enviar felicitación"))</f>
        <v/>
      </c>
      <c r="Y130" s="10">
        <f>IF(OR(B130="",P130=""),"","Hola, "&amp;B130&amp;", hoy se cumple un año más desde que estrenó su *"&amp;D130&amp;"*. Espero que haya sido un gran compañero de camino. Cualquier cosa que necesite, aquí estoy para apoyarle."&amp;CHAR(10)&amp;CHAR(10)&amp;Config!$B$1)</f>
        <v/>
      </c>
      <c r="Z130" s="11">
        <f>IF(Y130="","",HYPERLINK("https://wa.me/52"&amp;C130&amp;"?text="&amp;_xlfn.ENCODEURL(Y130),"Enviar aniversario"))</f>
        <v/>
      </c>
      <c r="AA130" s="11" t="n"/>
      <c r="AB130" s="11">
        <f>IF(OR(B130="",AA130=""),"",HYPERLINK("https://wa.me/52"&amp;C130&amp;"?text="&amp;_xlfn.ENCODEURL(_xlfn.SWITCH(AA130,"Bienvenida (primera visita)",Q130,"Seguimiento",S130,"Aviso de Etapa",U130,"Requisitos",AC130,"Datos de Facturación",AD130,"Cumpleaños",W130,"Aniversario",Y130,"")),"Enviar mensaje seleccionado"))</f>
        <v/>
      </c>
      <c r="AC130" s="10">
        <f>IF(B130="","",_xlfn.SWITCH(F130&amp;"|"&amp;G130,"Crédito|Persona física","Hola, "&amp;B130&amp;", para continuar con el proceso de tu *"&amp;D130&amp;"* por "&amp;F130&amp;",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"&amp;B130&amp;", para continuar con el proceso de tu *"&amp;D130&amp;"* por "&amp;F130&amp;",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"&amp;B130&amp;", para continuar con el proceso de tu *"&amp;D130&amp;"* por "&amp;F130&amp;",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"&amp;B130&amp;", para continuar con el proceso de tu *"&amp;D130&amp;"* por "&amp;F130&amp;", estos son los documentos que necesitamos:"&amp;CHAR(10)&amp;CHAR(10)&amp;"- INE"&amp;CHAR(10)&amp;"- Comprobante de domicilio"&amp;CHAR(10)&amp;"- Constancia de situación fiscal (no mayor a 3 meses)","Contado|Persona física con actividad empresarial","Hola, "&amp;B130&amp;", para continuar con el proceso de tu *"&amp;D130&amp;"* por "&amp;F130&amp;", estos son los documentos que necesitamos:"&amp;CHAR(10)&amp;CHAR(10)&amp;"- INE"&amp;CHAR(10)&amp;"- Comprobante de domicilio"&amp;CHAR(10)&amp;"- Constancia de situación fiscal (no mayor a 3 meses)","Contado|Persona moral","Hola, "&amp;B130&amp;", para continuar con el proceso de tu *"&amp;D130&amp;"* por "&amp;F130&amp;",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30" s="10">
        <f>IFERROR(INDEX(Facturación!$Q:$Q,MATCH(B130,Facturación!$A:$A,0)),"")</f>
        <v/>
      </c>
    </row>
    <row r="131" ht="15" customHeight="1" s="1">
      <c r="A131" s="11">
        <f>IF(B131="","",ROW()-1)</f>
        <v/>
      </c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0">
        <f>IF(OR(B131="",L131&lt;&gt;"Sí"),"","Hola, "&amp;B131&amp;", excelente día. Le saluda *Alejandro Estrada* de Toyota Corregidora."&amp;CHAR(10)&amp;"Muchas gracias por visitarnos y conocer la *"&amp;D131&amp;"*.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31" s="11">
        <f>IF(Q131="","",HYPERLINK("https://wa.me/52"&amp;C131&amp;"?text="&amp;_xlfn.ENCODEURL(Q131),"Enviar Bienvenida"))</f>
        <v/>
      </c>
      <c r="S131" s="10">
        <f>IF(B131="","","Hola, "&amp;B131&amp;", muy buen día."&amp;CHAR(10)&amp;"Espero que esté teniendo una excelente semana. Le escribo para saber si tiene alguna duda sobre la oferta del *"&amp;D131&amp;"*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31" s="11">
        <f>IF(S131="","",HYPERLINK("https://wa.me/52"&amp;C131&amp;"?text="&amp;_xlfn.ENCODEURL(S131),"Enviar Seguimiento"))</f>
        <v/>
      </c>
      <c r="U131" s="10">
        <f>IF(B131="","",_xlfn.SWITCH(M131,"Apartado","Hola, "&amp;B131&amp;", buen día. Le confirmo que su apartado por el *"&amp;D131&amp;"* quedó registrado correctamente. Seguimos con el proceso y le mantendré informado(a) de cada paso.","Toma de vehículo","Hola, "&amp;B131&amp;", le comparto que estamos en el proceso de toma de su vehículo actual. En cuanto tengamos el resultado le aviso para continuar con el siguiente paso.","Pago vehículo a cuenta","Hola, "&amp;B131&amp;", quedamos en proceso de pago del vehículo que se toma a cuenta. Cualquier documento o aclaración que se requiera se lo haré saber por este medio.","Firma de contrato","Hola, "&amp;B131&amp;", ya estamos listos para agendar la firma de su contrato. ¿Qué día y hora se le facilita para realizarla?","Facturación","Hola, "&amp;B131&amp;", su unidad ya está en proceso de facturación. En breve le comparto los datos para su confirmación.","Programación de entrega","Hola, "&amp;B131&amp;", con gusto le comparto que ya podemos programar la entrega de su *"&amp;D131&amp;"*. ¿Qué día y hora le acomodan mejor?","Entregado","Hola, "&amp;B131&amp;", ¡muchas felicidades por estrenar su *"&amp;D131&amp;"*! Fue un gusto acompañarle en este proceso. Quedo pendiente de cualquier duda y con gusto le agendo su próxima cita de servicio cuando lo necesite.","Hola, "&amp;B131&amp;", seguimos en contacto para avanzar con el proceso de su próximo Toyota.")&amp;CHAR(10)&amp;CHAR(10)&amp;Config!$B$1)</f>
        <v/>
      </c>
      <c r="V131" s="11">
        <f>IF(U131="","",HYPERLINK("https://wa.me/52"&amp;C131&amp;"?text="&amp;_xlfn.ENCODEURL(U131),"Enviar aviso de etapa"))</f>
        <v/>
      </c>
      <c r="W131" s="10">
        <f>IF(OR(B131="",O131=""),"","Hola, "&amp;B131&amp;", ¡feliz cumpleaños! Le deseo un excelente día rodeado de quienes más quiere. Ha sido un placer acompañarle desde que estrenó su Toyota. ¡Un abrazo!"&amp;CHAR(10)&amp;CHAR(10)&amp;Config!$B$1)</f>
        <v/>
      </c>
      <c r="X131" s="11">
        <f>IF(W131="","",HYPERLINK("https://wa.me/52"&amp;C131&amp;"?text="&amp;_xlfn.ENCODEURL(W131),"Enviar felicitación"))</f>
        <v/>
      </c>
      <c r="Y131" s="10">
        <f>IF(OR(B131="",P131=""),"","Hola, "&amp;B131&amp;", hoy se cumple un año más desde que estrenó su *"&amp;D131&amp;"*. Espero que haya sido un gran compañero de camino. Cualquier cosa que necesite, aquí estoy para apoyarle."&amp;CHAR(10)&amp;CHAR(10)&amp;Config!$B$1)</f>
        <v/>
      </c>
      <c r="Z131" s="11">
        <f>IF(Y131="","",HYPERLINK("https://wa.me/52"&amp;C131&amp;"?text="&amp;_xlfn.ENCODEURL(Y131),"Enviar aniversario"))</f>
        <v/>
      </c>
      <c r="AA131" s="11" t="n"/>
      <c r="AB131" s="11">
        <f>IF(OR(B131="",AA131=""),"",HYPERLINK("https://wa.me/52"&amp;C131&amp;"?text="&amp;_xlfn.ENCODEURL(_xlfn.SWITCH(AA131,"Bienvenida (primera visita)",Q131,"Seguimiento",S131,"Aviso de Etapa",U131,"Requisitos",AC131,"Datos de Facturación",AD131,"Cumpleaños",W131,"Aniversario",Y131,"")),"Enviar mensaje seleccionado"))</f>
        <v/>
      </c>
      <c r="AC131" s="10">
        <f>IF(B131="","",_xlfn.SWITCH(F131&amp;"|"&amp;G131,"Crédito|Persona física","Hola, "&amp;B131&amp;", para continuar con el proceso de tu *"&amp;D131&amp;"* por "&amp;F131&amp;",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"&amp;B131&amp;", para continuar con el proceso de tu *"&amp;D131&amp;"* por "&amp;F131&amp;",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"&amp;B131&amp;", para continuar con el proceso de tu *"&amp;D131&amp;"* por "&amp;F131&amp;",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"&amp;B131&amp;", para continuar con el proceso de tu *"&amp;D131&amp;"* por "&amp;F131&amp;", estos son los documentos que necesitamos:"&amp;CHAR(10)&amp;CHAR(10)&amp;"- INE"&amp;CHAR(10)&amp;"- Comprobante de domicilio"&amp;CHAR(10)&amp;"- Constancia de situación fiscal (no mayor a 3 meses)","Contado|Persona física con actividad empresarial","Hola, "&amp;B131&amp;", para continuar con el proceso de tu *"&amp;D131&amp;"* por "&amp;F131&amp;", estos son los documentos que necesitamos:"&amp;CHAR(10)&amp;CHAR(10)&amp;"- INE"&amp;CHAR(10)&amp;"- Comprobante de domicilio"&amp;CHAR(10)&amp;"- Constancia de situación fiscal (no mayor a 3 meses)","Contado|Persona moral","Hola, "&amp;B131&amp;", para continuar con el proceso de tu *"&amp;D131&amp;"* por "&amp;F131&amp;",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31" s="10">
        <f>IFERROR(INDEX(Facturación!$Q:$Q,MATCH(B131,Facturación!$A:$A,0)),"")</f>
        <v/>
      </c>
    </row>
    <row r="132" ht="15" customHeight="1" s="1">
      <c r="A132" s="11">
        <f>IF(B132="","",ROW()-1)</f>
        <v/>
      </c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0">
        <f>IF(OR(B132="",L132&lt;&gt;"Sí"),"","Hola, "&amp;B132&amp;", excelente día. Le saluda *Alejandro Estrada* de Toyota Corregidora."&amp;CHAR(10)&amp;"Muchas gracias por visitarnos y conocer la *"&amp;D132&amp;"*.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32" s="11">
        <f>IF(Q132="","",HYPERLINK("https://wa.me/52"&amp;C132&amp;"?text="&amp;_xlfn.ENCODEURL(Q132),"Enviar Bienvenida"))</f>
        <v/>
      </c>
      <c r="S132" s="10">
        <f>IF(B132="","","Hola, "&amp;B132&amp;", muy buen día."&amp;CHAR(10)&amp;"Espero que esté teniendo una excelente semana. Le escribo para saber si tiene alguna duda sobre la oferta del *"&amp;D132&amp;"*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32" s="11">
        <f>IF(S132="","",HYPERLINK("https://wa.me/52"&amp;C132&amp;"?text="&amp;_xlfn.ENCODEURL(S132),"Enviar Seguimiento"))</f>
        <v/>
      </c>
      <c r="U132" s="10">
        <f>IF(B132="","",_xlfn.SWITCH(M132,"Apartado","Hola, "&amp;B132&amp;", buen día. Le confirmo que su apartado por el *"&amp;D132&amp;"* quedó registrado correctamente. Seguimos con el proceso y le mantendré informado(a) de cada paso.","Toma de vehículo","Hola, "&amp;B132&amp;", le comparto que estamos en el proceso de toma de su vehículo actual. En cuanto tengamos el resultado le aviso para continuar con el siguiente paso.","Pago vehículo a cuenta","Hola, "&amp;B132&amp;", quedamos en proceso de pago del vehículo que se toma a cuenta. Cualquier documento o aclaración que se requiera se lo haré saber por este medio.","Firma de contrato","Hola, "&amp;B132&amp;", ya estamos listos para agendar la firma de su contrato. ¿Qué día y hora se le facilita para realizarla?","Facturación","Hola, "&amp;B132&amp;", su unidad ya está en proceso de facturación. En breve le comparto los datos para su confirmación.","Programación de entrega","Hola, "&amp;B132&amp;", con gusto le comparto que ya podemos programar la entrega de su *"&amp;D132&amp;"*. ¿Qué día y hora le acomodan mejor?","Entregado","Hola, "&amp;B132&amp;", ¡muchas felicidades por estrenar su *"&amp;D132&amp;"*! Fue un gusto acompañarle en este proceso. Quedo pendiente de cualquier duda y con gusto le agendo su próxima cita de servicio cuando lo necesite.","Hola, "&amp;B132&amp;", seguimos en contacto para avanzar con el proceso de su próximo Toyota.")&amp;CHAR(10)&amp;CHAR(10)&amp;Config!$B$1)</f>
        <v/>
      </c>
      <c r="V132" s="11">
        <f>IF(U132="","",HYPERLINK("https://wa.me/52"&amp;C132&amp;"?text="&amp;_xlfn.ENCODEURL(U132),"Enviar aviso de etapa"))</f>
        <v/>
      </c>
      <c r="W132" s="10">
        <f>IF(OR(B132="",O132=""),"","Hola, "&amp;B132&amp;", ¡feliz cumpleaños! Le deseo un excelente día rodeado de quienes más quiere. Ha sido un placer acompañarle desde que estrenó su Toyota. ¡Un abrazo!"&amp;CHAR(10)&amp;CHAR(10)&amp;Config!$B$1)</f>
        <v/>
      </c>
      <c r="X132" s="11">
        <f>IF(W132="","",HYPERLINK("https://wa.me/52"&amp;C132&amp;"?text="&amp;_xlfn.ENCODEURL(W132),"Enviar felicitación"))</f>
        <v/>
      </c>
      <c r="Y132" s="10">
        <f>IF(OR(B132="",P132=""),"","Hola, "&amp;B132&amp;", hoy se cumple un año más desde que estrenó su *"&amp;D132&amp;"*. Espero que haya sido un gran compañero de camino. Cualquier cosa que necesite, aquí estoy para apoyarle."&amp;CHAR(10)&amp;CHAR(10)&amp;Config!$B$1)</f>
        <v/>
      </c>
      <c r="Z132" s="11">
        <f>IF(Y132="","",HYPERLINK("https://wa.me/52"&amp;C132&amp;"?text="&amp;_xlfn.ENCODEURL(Y132),"Enviar aniversario"))</f>
        <v/>
      </c>
      <c r="AA132" s="11" t="n"/>
      <c r="AB132" s="11">
        <f>IF(OR(B132="",AA132=""),"",HYPERLINK("https://wa.me/52"&amp;C132&amp;"?text="&amp;_xlfn.ENCODEURL(_xlfn.SWITCH(AA132,"Bienvenida (primera visita)",Q132,"Seguimiento",S132,"Aviso de Etapa",U132,"Requisitos",AC132,"Datos de Facturación",AD132,"Cumpleaños",W132,"Aniversario",Y132,"")),"Enviar mensaje seleccionado"))</f>
        <v/>
      </c>
      <c r="AC132" s="10">
        <f>IF(B132="","",_xlfn.SWITCH(F132&amp;"|"&amp;G132,"Crédito|Persona física","Hola, "&amp;B132&amp;", para continuar con el proceso de tu *"&amp;D132&amp;"* por "&amp;F132&amp;",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"&amp;B132&amp;", para continuar con el proceso de tu *"&amp;D132&amp;"* por "&amp;F132&amp;",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"&amp;B132&amp;", para continuar con el proceso de tu *"&amp;D132&amp;"* por "&amp;F132&amp;",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"&amp;B132&amp;", para continuar con el proceso de tu *"&amp;D132&amp;"* por "&amp;F132&amp;", estos son los documentos que necesitamos:"&amp;CHAR(10)&amp;CHAR(10)&amp;"- INE"&amp;CHAR(10)&amp;"- Comprobante de domicilio"&amp;CHAR(10)&amp;"- Constancia de situación fiscal (no mayor a 3 meses)","Contado|Persona física con actividad empresarial","Hola, "&amp;B132&amp;", para continuar con el proceso de tu *"&amp;D132&amp;"* por "&amp;F132&amp;", estos son los documentos que necesitamos:"&amp;CHAR(10)&amp;CHAR(10)&amp;"- INE"&amp;CHAR(10)&amp;"- Comprobante de domicilio"&amp;CHAR(10)&amp;"- Constancia de situación fiscal (no mayor a 3 meses)","Contado|Persona moral","Hola, "&amp;B132&amp;", para continuar con el proceso de tu *"&amp;D132&amp;"* por "&amp;F132&amp;",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32" s="10">
        <f>IFERROR(INDEX(Facturación!$Q:$Q,MATCH(B132,Facturación!$A:$A,0)),"")</f>
        <v/>
      </c>
    </row>
    <row r="133" ht="15" customHeight="1" s="1">
      <c r="A133" s="11">
        <f>IF(B133="","",ROW()-1)</f>
        <v/>
      </c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0">
        <f>IF(OR(B133="",L133&lt;&gt;"Sí"),"","Hola, "&amp;B133&amp;", excelente día. Le saluda *Alejandro Estrada* de Toyota Corregidora."&amp;CHAR(10)&amp;"Muchas gracias por visitarnos y conocer la *"&amp;D133&amp;"*.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33" s="11">
        <f>IF(Q133="","",HYPERLINK("https://wa.me/52"&amp;C133&amp;"?text="&amp;_xlfn.ENCODEURL(Q133),"Enviar Bienvenida"))</f>
        <v/>
      </c>
      <c r="S133" s="10">
        <f>IF(B133="","","Hola, "&amp;B133&amp;", muy buen día."&amp;CHAR(10)&amp;"Espero que esté teniendo una excelente semana. Le escribo para saber si tiene alguna duda sobre la oferta del *"&amp;D133&amp;"*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33" s="11">
        <f>IF(S133="","",HYPERLINK("https://wa.me/52"&amp;C133&amp;"?text="&amp;_xlfn.ENCODEURL(S133),"Enviar Seguimiento"))</f>
        <v/>
      </c>
      <c r="U133" s="10">
        <f>IF(B133="","",_xlfn.SWITCH(M133,"Apartado","Hola, "&amp;B133&amp;", buen día. Le confirmo que su apartado por el *"&amp;D133&amp;"* quedó registrado correctamente. Seguimos con el proceso y le mantendré informado(a) de cada paso.","Toma de vehículo","Hola, "&amp;B133&amp;", le comparto que estamos en el proceso de toma de su vehículo actual. En cuanto tengamos el resultado le aviso para continuar con el siguiente paso.","Pago vehículo a cuenta","Hola, "&amp;B133&amp;", quedamos en proceso de pago del vehículo que se toma a cuenta. Cualquier documento o aclaración que se requiera se lo haré saber por este medio.","Firma de contrato","Hola, "&amp;B133&amp;", ya estamos listos para agendar la firma de su contrato. ¿Qué día y hora se le facilita para realizarla?","Facturación","Hola, "&amp;B133&amp;", su unidad ya está en proceso de facturación. En breve le comparto los datos para su confirmación.","Programación de entrega","Hola, "&amp;B133&amp;", con gusto le comparto que ya podemos programar la entrega de su *"&amp;D133&amp;"*. ¿Qué día y hora le acomodan mejor?","Entregado","Hola, "&amp;B133&amp;", ¡muchas felicidades por estrenar su *"&amp;D133&amp;"*! Fue un gusto acompañarle en este proceso. Quedo pendiente de cualquier duda y con gusto le agendo su próxima cita de servicio cuando lo necesite.","Hola, "&amp;B133&amp;", seguimos en contacto para avanzar con el proceso de su próximo Toyota.")&amp;CHAR(10)&amp;CHAR(10)&amp;Config!$B$1)</f>
        <v/>
      </c>
      <c r="V133" s="11">
        <f>IF(U133="","",HYPERLINK("https://wa.me/52"&amp;C133&amp;"?text="&amp;_xlfn.ENCODEURL(U133),"Enviar aviso de etapa"))</f>
        <v/>
      </c>
      <c r="W133" s="10">
        <f>IF(OR(B133="",O133=""),"","Hola, "&amp;B133&amp;", ¡feliz cumpleaños! Le deseo un excelente día rodeado de quienes más quiere. Ha sido un placer acompañarle desde que estrenó su Toyota. ¡Un abrazo!"&amp;CHAR(10)&amp;CHAR(10)&amp;Config!$B$1)</f>
        <v/>
      </c>
      <c r="X133" s="11">
        <f>IF(W133="","",HYPERLINK("https://wa.me/52"&amp;C133&amp;"?text="&amp;_xlfn.ENCODEURL(W133),"Enviar felicitación"))</f>
        <v/>
      </c>
      <c r="Y133" s="10">
        <f>IF(OR(B133="",P133=""),"","Hola, "&amp;B133&amp;", hoy se cumple un año más desde que estrenó su *"&amp;D133&amp;"*. Espero que haya sido un gran compañero de camino. Cualquier cosa que necesite, aquí estoy para apoyarle."&amp;CHAR(10)&amp;CHAR(10)&amp;Config!$B$1)</f>
        <v/>
      </c>
      <c r="Z133" s="11">
        <f>IF(Y133="","",HYPERLINK("https://wa.me/52"&amp;C133&amp;"?text="&amp;_xlfn.ENCODEURL(Y133),"Enviar aniversario"))</f>
        <v/>
      </c>
      <c r="AA133" s="11" t="n"/>
      <c r="AB133" s="11">
        <f>IF(OR(B133="",AA133=""),"",HYPERLINK("https://wa.me/52"&amp;C133&amp;"?text="&amp;_xlfn.ENCODEURL(_xlfn.SWITCH(AA133,"Bienvenida (primera visita)",Q133,"Seguimiento",S133,"Aviso de Etapa",U133,"Requisitos",AC133,"Datos de Facturación",AD133,"Cumpleaños",W133,"Aniversario",Y133,"")),"Enviar mensaje seleccionado"))</f>
        <v/>
      </c>
      <c r="AC133" s="10">
        <f>IF(B133="","",_xlfn.SWITCH(F133&amp;"|"&amp;G133,"Crédito|Persona física","Hola, "&amp;B133&amp;", para continuar con el proceso de tu *"&amp;D133&amp;"* por "&amp;F133&amp;",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"&amp;B133&amp;", para continuar con el proceso de tu *"&amp;D133&amp;"* por "&amp;F133&amp;",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"&amp;B133&amp;", para continuar con el proceso de tu *"&amp;D133&amp;"* por "&amp;F133&amp;",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"&amp;B133&amp;", para continuar con el proceso de tu *"&amp;D133&amp;"* por "&amp;F133&amp;", estos son los documentos que necesitamos:"&amp;CHAR(10)&amp;CHAR(10)&amp;"- INE"&amp;CHAR(10)&amp;"- Comprobante de domicilio"&amp;CHAR(10)&amp;"- Constancia de situación fiscal (no mayor a 3 meses)","Contado|Persona física con actividad empresarial","Hola, "&amp;B133&amp;", para continuar con el proceso de tu *"&amp;D133&amp;"* por "&amp;F133&amp;", estos son los documentos que necesitamos:"&amp;CHAR(10)&amp;CHAR(10)&amp;"- INE"&amp;CHAR(10)&amp;"- Comprobante de domicilio"&amp;CHAR(10)&amp;"- Constancia de situación fiscal (no mayor a 3 meses)","Contado|Persona moral","Hola, "&amp;B133&amp;", para continuar con el proceso de tu *"&amp;D133&amp;"* por "&amp;F133&amp;",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33" s="10">
        <f>IFERROR(INDEX(Facturación!$Q:$Q,MATCH(B133,Facturación!$A:$A,0)),"")</f>
        <v/>
      </c>
    </row>
    <row r="134" ht="15" customHeight="1" s="1">
      <c r="A134" s="11">
        <f>IF(B134="","",ROW()-1)</f>
        <v/>
      </c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0">
        <f>IF(OR(B134="",L134&lt;&gt;"Sí"),"","Hola, "&amp;B134&amp;", excelente día. Le saluda *Alejandro Estrada* de Toyota Corregidora."&amp;CHAR(10)&amp;"Muchas gracias por visitarnos y conocer la *"&amp;D134&amp;"*.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34" s="11">
        <f>IF(Q134="","",HYPERLINK("https://wa.me/52"&amp;C134&amp;"?text="&amp;_xlfn.ENCODEURL(Q134),"Enviar Bienvenida"))</f>
        <v/>
      </c>
      <c r="S134" s="10">
        <f>IF(B134="","","Hola, "&amp;B134&amp;", muy buen día."&amp;CHAR(10)&amp;"Espero que esté teniendo una excelente semana. Le escribo para saber si tiene alguna duda sobre la oferta del *"&amp;D134&amp;"*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34" s="11">
        <f>IF(S134="","",HYPERLINK("https://wa.me/52"&amp;C134&amp;"?text="&amp;_xlfn.ENCODEURL(S134),"Enviar Seguimiento"))</f>
        <v/>
      </c>
      <c r="U134" s="10">
        <f>IF(B134="","",_xlfn.SWITCH(M134,"Apartado","Hola, "&amp;B134&amp;", buen día. Le confirmo que su apartado por el *"&amp;D134&amp;"* quedó registrado correctamente. Seguimos con el proceso y le mantendré informado(a) de cada paso.","Toma de vehículo","Hola, "&amp;B134&amp;", le comparto que estamos en el proceso de toma de su vehículo actual. En cuanto tengamos el resultado le aviso para continuar con el siguiente paso.","Pago vehículo a cuenta","Hola, "&amp;B134&amp;", quedamos en proceso de pago del vehículo que se toma a cuenta. Cualquier documento o aclaración que se requiera se lo haré saber por este medio.","Firma de contrato","Hola, "&amp;B134&amp;", ya estamos listos para agendar la firma de su contrato. ¿Qué día y hora se le facilita para realizarla?","Facturación","Hola, "&amp;B134&amp;", su unidad ya está en proceso de facturación. En breve le comparto los datos para su confirmación.","Programación de entrega","Hola, "&amp;B134&amp;", con gusto le comparto que ya podemos programar la entrega de su *"&amp;D134&amp;"*. ¿Qué día y hora le acomodan mejor?","Entregado","Hola, "&amp;B134&amp;", ¡muchas felicidades por estrenar su *"&amp;D134&amp;"*! Fue un gusto acompañarle en este proceso. Quedo pendiente de cualquier duda y con gusto le agendo su próxima cita de servicio cuando lo necesite.","Hola, "&amp;B134&amp;", seguimos en contacto para avanzar con el proceso de su próximo Toyota.")&amp;CHAR(10)&amp;CHAR(10)&amp;Config!$B$1)</f>
        <v/>
      </c>
      <c r="V134" s="11">
        <f>IF(U134="","",HYPERLINK("https://wa.me/52"&amp;C134&amp;"?text="&amp;_xlfn.ENCODEURL(U134),"Enviar aviso de etapa"))</f>
        <v/>
      </c>
      <c r="W134" s="10">
        <f>IF(OR(B134="",O134=""),"","Hola, "&amp;B134&amp;", ¡feliz cumpleaños! Le deseo un excelente día rodeado de quienes más quiere. Ha sido un placer acompañarle desde que estrenó su Toyota. ¡Un abrazo!"&amp;CHAR(10)&amp;CHAR(10)&amp;Config!$B$1)</f>
        <v/>
      </c>
      <c r="X134" s="11">
        <f>IF(W134="","",HYPERLINK("https://wa.me/52"&amp;C134&amp;"?text="&amp;_xlfn.ENCODEURL(W134),"Enviar felicitación"))</f>
        <v/>
      </c>
      <c r="Y134" s="10">
        <f>IF(OR(B134="",P134=""),"","Hola, "&amp;B134&amp;", hoy se cumple un año más desde que estrenó su *"&amp;D134&amp;"*. Espero que haya sido un gran compañero de camino. Cualquier cosa que necesite, aquí estoy para apoyarle."&amp;CHAR(10)&amp;CHAR(10)&amp;Config!$B$1)</f>
        <v/>
      </c>
      <c r="Z134" s="11">
        <f>IF(Y134="","",HYPERLINK("https://wa.me/52"&amp;C134&amp;"?text="&amp;_xlfn.ENCODEURL(Y134),"Enviar aniversario"))</f>
        <v/>
      </c>
      <c r="AA134" s="11" t="n"/>
      <c r="AB134" s="11">
        <f>IF(OR(B134="",AA134=""),"",HYPERLINK("https://wa.me/52"&amp;C134&amp;"?text="&amp;_xlfn.ENCODEURL(_xlfn.SWITCH(AA134,"Bienvenida (primera visita)",Q134,"Seguimiento",S134,"Aviso de Etapa",U134,"Requisitos",AC134,"Datos de Facturación",AD134,"Cumpleaños",W134,"Aniversario",Y134,"")),"Enviar mensaje seleccionado"))</f>
        <v/>
      </c>
      <c r="AC134" s="10">
        <f>IF(B134="","",_xlfn.SWITCH(F134&amp;"|"&amp;G134,"Crédito|Persona física","Hola, "&amp;B134&amp;", para continuar con el proceso de tu *"&amp;D134&amp;"* por "&amp;F134&amp;",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"&amp;B134&amp;", para continuar con el proceso de tu *"&amp;D134&amp;"* por "&amp;F134&amp;",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"&amp;B134&amp;", para continuar con el proceso de tu *"&amp;D134&amp;"* por "&amp;F134&amp;",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"&amp;B134&amp;", para continuar con el proceso de tu *"&amp;D134&amp;"* por "&amp;F134&amp;", estos son los documentos que necesitamos:"&amp;CHAR(10)&amp;CHAR(10)&amp;"- INE"&amp;CHAR(10)&amp;"- Comprobante de domicilio"&amp;CHAR(10)&amp;"- Constancia de situación fiscal (no mayor a 3 meses)","Contado|Persona física con actividad empresarial","Hola, "&amp;B134&amp;", para continuar con el proceso de tu *"&amp;D134&amp;"* por "&amp;F134&amp;", estos son los documentos que necesitamos:"&amp;CHAR(10)&amp;CHAR(10)&amp;"- INE"&amp;CHAR(10)&amp;"- Comprobante de domicilio"&amp;CHAR(10)&amp;"- Constancia de situación fiscal (no mayor a 3 meses)","Contado|Persona moral","Hola, "&amp;B134&amp;", para continuar con el proceso de tu *"&amp;D134&amp;"* por "&amp;F134&amp;",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34" s="10">
        <f>IFERROR(INDEX(Facturación!$Q:$Q,MATCH(B134,Facturación!$A:$A,0)),"")</f>
        <v/>
      </c>
    </row>
    <row r="135" ht="15" customHeight="1" s="1">
      <c r="A135" s="11">
        <f>IF(B135="","",ROW()-1)</f>
        <v/>
      </c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0">
        <f>IF(OR(B135="",L135&lt;&gt;"Sí"),"","Hola, "&amp;B135&amp;", excelente día. Le saluda *Alejandro Estrada* de Toyota Corregidora."&amp;CHAR(10)&amp;"Muchas gracias por visitarnos y conocer la *"&amp;D135&amp;"*.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35" s="11">
        <f>IF(Q135="","",HYPERLINK("https://wa.me/52"&amp;C135&amp;"?text="&amp;_xlfn.ENCODEURL(Q135),"Enviar Bienvenida"))</f>
        <v/>
      </c>
      <c r="S135" s="10">
        <f>IF(B135="","","Hola, "&amp;B135&amp;", muy buen día."&amp;CHAR(10)&amp;"Espero que esté teniendo una excelente semana. Le escribo para saber si tiene alguna duda sobre la oferta del *"&amp;D135&amp;"*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35" s="11">
        <f>IF(S135="","",HYPERLINK("https://wa.me/52"&amp;C135&amp;"?text="&amp;_xlfn.ENCODEURL(S135),"Enviar Seguimiento"))</f>
        <v/>
      </c>
      <c r="U135" s="10">
        <f>IF(B135="","",_xlfn.SWITCH(M135,"Apartado","Hola, "&amp;B135&amp;", buen día. Le confirmo que su apartado por el *"&amp;D135&amp;"* quedó registrado correctamente. Seguimos con el proceso y le mantendré informado(a) de cada paso.","Toma de vehículo","Hola, "&amp;B135&amp;", le comparto que estamos en el proceso de toma de su vehículo actual. En cuanto tengamos el resultado le aviso para continuar con el siguiente paso.","Pago vehículo a cuenta","Hola, "&amp;B135&amp;", quedamos en proceso de pago del vehículo que se toma a cuenta. Cualquier documento o aclaración que se requiera se lo haré saber por este medio.","Firma de contrato","Hola, "&amp;B135&amp;", ya estamos listos para agendar la firma de su contrato. ¿Qué día y hora se le facilita para realizarla?","Facturación","Hola, "&amp;B135&amp;", su unidad ya está en proceso de facturación. En breve le comparto los datos para su confirmación.","Programación de entrega","Hola, "&amp;B135&amp;", con gusto le comparto que ya podemos programar la entrega de su *"&amp;D135&amp;"*. ¿Qué día y hora le acomodan mejor?","Entregado","Hola, "&amp;B135&amp;", ¡muchas felicidades por estrenar su *"&amp;D135&amp;"*! Fue un gusto acompañarle en este proceso. Quedo pendiente de cualquier duda y con gusto le agendo su próxima cita de servicio cuando lo necesite.","Hola, "&amp;B135&amp;", seguimos en contacto para avanzar con el proceso de su próximo Toyota.")&amp;CHAR(10)&amp;CHAR(10)&amp;Config!$B$1)</f>
        <v/>
      </c>
      <c r="V135" s="11">
        <f>IF(U135="","",HYPERLINK("https://wa.me/52"&amp;C135&amp;"?text="&amp;_xlfn.ENCODEURL(U135),"Enviar aviso de etapa"))</f>
        <v/>
      </c>
      <c r="W135" s="10">
        <f>IF(OR(B135="",O135=""),"","Hola, "&amp;B135&amp;", ¡feliz cumpleaños! Le deseo un excelente día rodeado de quienes más quiere. Ha sido un placer acompañarle desde que estrenó su Toyota. ¡Un abrazo!"&amp;CHAR(10)&amp;CHAR(10)&amp;Config!$B$1)</f>
        <v/>
      </c>
      <c r="X135" s="11">
        <f>IF(W135="","",HYPERLINK("https://wa.me/52"&amp;C135&amp;"?text="&amp;_xlfn.ENCODEURL(W135),"Enviar felicitación"))</f>
        <v/>
      </c>
      <c r="Y135" s="10">
        <f>IF(OR(B135="",P135=""),"","Hola, "&amp;B135&amp;", hoy se cumple un año más desde que estrenó su *"&amp;D135&amp;"*. Espero que haya sido un gran compañero de camino. Cualquier cosa que necesite, aquí estoy para apoyarle."&amp;CHAR(10)&amp;CHAR(10)&amp;Config!$B$1)</f>
        <v/>
      </c>
      <c r="Z135" s="11">
        <f>IF(Y135="","",HYPERLINK("https://wa.me/52"&amp;C135&amp;"?text="&amp;_xlfn.ENCODEURL(Y135),"Enviar aniversario"))</f>
        <v/>
      </c>
      <c r="AA135" s="11" t="n"/>
      <c r="AB135" s="11">
        <f>IF(OR(B135="",AA135=""),"",HYPERLINK("https://wa.me/52"&amp;C135&amp;"?text="&amp;_xlfn.ENCODEURL(_xlfn.SWITCH(AA135,"Bienvenida (primera visita)",Q135,"Seguimiento",S135,"Aviso de Etapa",U135,"Requisitos",AC135,"Datos de Facturación",AD135,"Cumpleaños",W135,"Aniversario",Y135,"")),"Enviar mensaje seleccionado"))</f>
        <v/>
      </c>
      <c r="AC135" s="10">
        <f>IF(B135="","",_xlfn.SWITCH(F135&amp;"|"&amp;G135,"Crédito|Persona física","Hola, "&amp;B135&amp;", para continuar con el proceso de tu *"&amp;D135&amp;"* por "&amp;F135&amp;",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"&amp;B135&amp;", para continuar con el proceso de tu *"&amp;D135&amp;"* por "&amp;F135&amp;",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"&amp;B135&amp;", para continuar con el proceso de tu *"&amp;D135&amp;"* por "&amp;F135&amp;",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"&amp;B135&amp;", para continuar con el proceso de tu *"&amp;D135&amp;"* por "&amp;F135&amp;", estos son los documentos que necesitamos:"&amp;CHAR(10)&amp;CHAR(10)&amp;"- INE"&amp;CHAR(10)&amp;"- Comprobante de domicilio"&amp;CHAR(10)&amp;"- Constancia de situación fiscal (no mayor a 3 meses)","Contado|Persona física con actividad empresarial","Hola, "&amp;B135&amp;", para continuar con el proceso de tu *"&amp;D135&amp;"* por "&amp;F135&amp;", estos son los documentos que necesitamos:"&amp;CHAR(10)&amp;CHAR(10)&amp;"- INE"&amp;CHAR(10)&amp;"- Comprobante de domicilio"&amp;CHAR(10)&amp;"- Constancia de situación fiscal (no mayor a 3 meses)","Contado|Persona moral","Hola, "&amp;B135&amp;", para continuar con el proceso de tu *"&amp;D135&amp;"* por "&amp;F135&amp;",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35" s="10">
        <f>IFERROR(INDEX(Facturación!$Q:$Q,MATCH(B135,Facturación!$A:$A,0)),"")</f>
        <v/>
      </c>
    </row>
    <row r="136" ht="15" customHeight="1" s="1">
      <c r="A136" s="11">
        <f>IF(B136="","",ROW()-1)</f>
        <v/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0">
        <f>IF(OR(B136="",L136&lt;&gt;"Sí"),"","Hola, "&amp;B136&amp;", excelente día. Le saluda *Alejandro Estrada* de Toyota Corregidora."&amp;CHAR(10)&amp;"Muchas gracias por visitarnos y conocer la *"&amp;D136&amp;"*.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36" s="11">
        <f>IF(Q136="","",HYPERLINK("https://wa.me/52"&amp;C136&amp;"?text="&amp;_xlfn.ENCODEURL(Q136),"Enviar Bienvenida"))</f>
        <v/>
      </c>
      <c r="S136" s="10">
        <f>IF(B136="","","Hola, "&amp;B136&amp;", muy buen día."&amp;CHAR(10)&amp;"Espero que esté teniendo una excelente semana. Le escribo para saber si tiene alguna duda sobre la oferta del *"&amp;D136&amp;"*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36" s="11">
        <f>IF(S136="","",HYPERLINK("https://wa.me/52"&amp;C136&amp;"?text="&amp;_xlfn.ENCODEURL(S136),"Enviar Seguimiento"))</f>
        <v/>
      </c>
      <c r="U136" s="10">
        <f>IF(B136="","",_xlfn.SWITCH(M136,"Apartado","Hola, "&amp;B136&amp;", buen día. Le confirmo que su apartado por el *"&amp;D136&amp;"* quedó registrado correctamente. Seguimos con el proceso y le mantendré informado(a) de cada paso.","Toma de vehículo","Hola, "&amp;B136&amp;", le comparto que estamos en el proceso de toma de su vehículo actual. En cuanto tengamos el resultado le aviso para continuar con el siguiente paso.","Pago vehículo a cuenta","Hola, "&amp;B136&amp;", quedamos en proceso de pago del vehículo que se toma a cuenta. Cualquier documento o aclaración que se requiera se lo haré saber por este medio.","Firma de contrato","Hola, "&amp;B136&amp;", ya estamos listos para agendar la firma de su contrato. ¿Qué día y hora se le facilita para realizarla?","Facturación","Hola, "&amp;B136&amp;", su unidad ya está en proceso de facturación. En breve le comparto los datos para su confirmación.","Programación de entrega","Hola, "&amp;B136&amp;", con gusto le comparto que ya podemos programar la entrega de su *"&amp;D136&amp;"*. ¿Qué día y hora le acomodan mejor?","Entregado","Hola, "&amp;B136&amp;", ¡muchas felicidades por estrenar su *"&amp;D136&amp;"*! Fue un gusto acompañarle en este proceso. Quedo pendiente de cualquier duda y con gusto le agendo su próxima cita de servicio cuando lo necesite.","Hola, "&amp;B136&amp;", seguimos en contacto para avanzar con el proceso de su próximo Toyota.")&amp;CHAR(10)&amp;CHAR(10)&amp;Config!$B$1)</f>
        <v/>
      </c>
      <c r="V136" s="11">
        <f>IF(U136="","",HYPERLINK("https://wa.me/52"&amp;C136&amp;"?text="&amp;_xlfn.ENCODEURL(U136),"Enviar aviso de etapa"))</f>
        <v/>
      </c>
      <c r="W136" s="10">
        <f>IF(OR(B136="",O136=""),"","Hola, "&amp;B136&amp;", ¡feliz cumpleaños! Le deseo un excelente día rodeado de quienes más quiere. Ha sido un placer acompañarle desde que estrenó su Toyota. ¡Un abrazo!"&amp;CHAR(10)&amp;CHAR(10)&amp;Config!$B$1)</f>
        <v/>
      </c>
      <c r="X136" s="11">
        <f>IF(W136="","",HYPERLINK("https://wa.me/52"&amp;C136&amp;"?text="&amp;_xlfn.ENCODEURL(W136),"Enviar felicitación"))</f>
        <v/>
      </c>
      <c r="Y136" s="10">
        <f>IF(OR(B136="",P136=""),"","Hola, "&amp;B136&amp;", hoy se cumple un año más desde que estrenó su *"&amp;D136&amp;"*. Espero que haya sido un gran compañero de camino. Cualquier cosa que necesite, aquí estoy para apoyarle."&amp;CHAR(10)&amp;CHAR(10)&amp;Config!$B$1)</f>
        <v/>
      </c>
      <c r="Z136" s="11">
        <f>IF(Y136="","",HYPERLINK("https://wa.me/52"&amp;C136&amp;"?text="&amp;_xlfn.ENCODEURL(Y136),"Enviar aniversario"))</f>
        <v/>
      </c>
      <c r="AA136" s="11" t="n"/>
      <c r="AB136" s="11">
        <f>IF(OR(B136="",AA136=""),"",HYPERLINK("https://wa.me/52"&amp;C136&amp;"?text="&amp;_xlfn.ENCODEURL(_xlfn.SWITCH(AA136,"Bienvenida (primera visita)",Q136,"Seguimiento",S136,"Aviso de Etapa",U136,"Requisitos",AC136,"Datos de Facturación",AD136,"Cumpleaños",W136,"Aniversario",Y136,"")),"Enviar mensaje seleccionado"))</f>
        <v/>
      </c>
      <c r="AC136" s="10">
        <f>IF(B136="","",_xlfn.SWITCH(F136&amp;"|"&amp;G136,"Crédito|Persona física","Hola, "&amp;B136&amp;", para continuar con el proceso de tu *"&amp;D136&amp;"* por "&amp;F136&amp;",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"&amp;B136&amp;", para continuar con el proceso de tu *"&amp;D136&amp;"* por "&amp;F136&amp;",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"&amp;B136&amp;", para continuar con el proceso de tu *"&amp;D136&amp;"* por "&amp;F136&amp;",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"&amp;B136&amp;", para continuar con el proceso de tu *"&amp;D136&amp;"* por "&amp;F136&amp;", estos son los documentos que necesitamos:"&amp;CHAR(10)&amp;CHAR(10)&amp;"- INE"&amp;CHAR(10)&amp;"- Comprobante de domicilio"&amp;CHAR(10)&amp;"- Constancia de situación fiscal (no mayor a 3 meses)","Contado|Persona física con actividad empresarial","Hola, "&amp;B136&amp;", para continuar con el proceso de tu *"&amp;D136&amp;"* por "&amp;F136&amp;", estos son los documentos que necesitamos:"&amp;CHAR(10)&amp;CHAR(10)&amp;"- INE"&amp;CHAR(10)&amp;"- Comprobante de domicilio"&amp;CHAR(10)&amp;"- Constancia de situación fiscal (no mayor a 3 meses)","Contado|Persona moral","Hola, "&amp;B136&amp;", para continuar con el proceso de tu *"&amp;D136&amp;"* por "&amp;F136&amp;",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36" s="10">
        <f>IFERROR(INDEX(Facturación!$Q:$Q,MATCH(B136,Facturación!$A:$A,0)),"")</f>
        <v/>
      </c>
    </row>
    <row r="137" ht="15" customHeight="1" s="1">
      <c r="A137" s="11">
        <f>IF(B137="","",ROW()-1)</f>
        <v/>
      </c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0">
        <f>IF(OR(B137="",L137&lt;&gt;"Sí"),"","Hola, "&amp;B137&amp;", excelente día. Le saluda *Alejandro Estrada* de Toyota Corregidora."&amp;CHAR(10)&amp;"Muchas gracias por visitarnos y conocer la *"&amp;D137&amp;"*.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37" s="11">
        <f>IF(Q137="","",HYPERLINK("https://wa.me/52"&amp;C137&amp;"?text="&amp;_xlfn.ENCODEURL(Q137),"Enviar Bienvenida"))</f>
        <v/>
      </c>
      <c r="S137" s="10">
        <f>IF(B137="","","Hola, "&amp;B137&amp;", muy buen día."&amp;CHAR(10)&amp;"Espero que esté teniendo una excelente semana. Le escribo para saber si tiene alguna duda sobre la oferta del *"&amp;D137&amp;"*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37" s="11">
        <f>IF(S137="","",HYPERLINK("https://wa.me/52"&amp;C137&amp;"?text="&amp;_xlfn.ENCODEURL(S137),"Enviar Seguimiento"))</f>
        <v/>
      </c>
      <c r="U137" s="10">
        <f>IF(B137="","",_xlfn.SWITCH(M137,"Apartado","Hola, "&amp;B137&amp;", buen día. Le confirmo que su apartado por el *"&amp;D137&amp;"* quedó registrado correctamente. Seguimos con el proceso y le mantendré informado(a) de cada paso.","Toma de vehículo","Hola, "&amp;B137&amp;", le comparto que estamos en el proceso de toma de su vehículo actual. En cuanto tengamos el resultado le aviso para continuar con el siguiente paso.","Pago vehículo a cuenta","Hola, "&amp;B137&amp;", quedamos en proceso de pago del vehículo que se toma a cuenta. Cualquier documento o aclaración que se requiera se lo haré saber por este medio.","Firma de contrato","Hola, "&amp;B137&amp;", ya estamos listos para agendar la firma de su contrato. ¿Qué día y hora se le facilita para realizarla?","Facturación","Hola, "&amp;B137&amp;", su unidad ya está en proceso de facturación. En breve le comparto los datos para su confirmación.","Programación de entrega","Hola, "&amp;B137&amp;", con gusto le comparto que ya podemos programar la entrega de su *"&amp;D137&amp;"*. ¿Qué día y hora le acomodan mejor?","Entregado","Hola, "&amp;B137&amp;", ¡muchas felicidades por estrenar su *"&amp;D137&amp;"*! Fue un gusto acompañarle en este proceso. Quedo pendiente de cualquier duda y con gusto le agendo su próxima cita de servicio cuando lo necesite.","Hola, "&amp;B137&amp;", seguimos en contacto para avanzar con el proceso de su próximo Toyota.")&amp;CHAR(10)&amp;CHAR(10)&amp;Config!$B$1)</f>
        <v/>
      </c>
      <c r="V137" s="11">
        <f>IF(U137="","",HYPERLINK("https://wa.me/52"&amp;C137&amp;"?text="&amp;_xlfn.ENCODEURL(U137),"Enviar aviso de etapa"))</f>
        <v/>
      </c>
      <c r="W137" s="10">
        <f>IF(OR(B137="",O137=""),"","Hola, "&amp;B137&amp;", ¡feliz cumpleaños! Le deseo un excelente día rodeado de quienes más quiere. Ha sido un placer acompañarle desde que estrenó su Toyota. ¡Un abrazo!"&amp;CHAR(10)&amp;CHAR(10)&amp;Config!$B$1)</f>
        <v/>
      </c>
      <c r="X137" s="11">
        <f>IF(W137="","",HYPERLINK("https://wa.me/52"&amp;C137&amp;"?text="&amp;_xlfn.ENCODEURL(W137),"Enviar felicitación"))</f>
        <v/>
      </c>
      <c r="Y137" s="10">
        <f>IF(OR(B137="",P137=""),"","Hola, "&amp;B137&amp;", hoy se cumple un año más desde que estrenó su *"&amp;D137&amp;"*. Espero que haya sido un gran compañero de camino. Cualquier cosa que necesite, aquí estoy para apoyarle."&amp;CHAR(10)&amp;CHAR(10)&amp;Config!$B$1)</f>
        <v/>
      </c>
      <c r="Z137" s="11">
        <f>IF(Y137="","",HYPERLINK("https://wa.me/52"&amp;C137&amp;"?text="&amp;_xlfn.ENCODEURL(Y137),"Enviar aniversario"))</f>
        <v/>
      </c>
      <c r="AA137" s="11" t="n"/>
      <c r="AB137" s="11">
        <f>IF(OR(B137="",AA137=""),"",HYPERLINK("https://wa.me/52"&amp;C137&amp;"?text="&amp;_xlfn.ENCODEURL(_xlfn.SWITCH(AA137,"Bienvenida (primera visita)",Q137,"Seguimiento",S137,"Aviso de Etapa",U137,"Requisitos",AC137,"Datos de Facturación",AD137,"Cumpleaños",W137,"Aniversario",Y137,"")),"Enviar mensaje seleccionado"))</f>
        <v/>
      </c>
      <c r="AC137" s="10">
        <f>IF(B137="","",_xlfn.SWITCH(F137&amp;"|"&amp;G137,"Crédito|Persona física","Hola, "&amp;B137&amp;", para continuar con el proceso de tu *"&amp;D137&amp;"* por "&amp;F137&amp;",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"&amp;B137&amp;", para continuar con el proceso de tu *"&amp;D137&amp;"* por "&amp;F137&amp;",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"&amp;B137&amp;", para continuar con el proceso de tu *"&amp;D137&amp;"* por "&amp;F137&amp;",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"&amp;B137&amp;", para continuar con el proceso de tu *"&amp;D137&amp;"* por "&amp;F137&amp;", estos son los documentos que necesitamos:"&amp;CHAR(10)&amp;CHAR(10)&amp;"- INE"&amp;CHAR(10)&amp;"- Comprobante de domicilio"&amp;CHAR(10)&amp;"- Constancia de situación fiscal (no mayor a 3 meses)","Contado|Persona física con actividad empresarial","Hola, "&amp;B137&amp;", para continuar con el proceso de tu *"&amp;D137&amp;"* por "&amp;F137&amp;", estos son los documentos que necesitamos:"&amp;CHAR(10)&amp;CHAR(10)&amp;"- INE"&amp;CHAR(10)&amp;"- Comprobante de domicilio"&amp;CHAR(10)&amp;"- Constancia de situación fiscal (no mayor a 3 meses)","Contado|Persona moral","Hola, "&amp;B137&amp;", para continuar con el proceso de tu *"&amp;D137&amp;"* por "&amp;F137&amp;",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37" s="10">
        <f>IFERROR(INDEX(Facturación!$Q:$Q,MATCH(B137,Facturación!$A:$A,0)),"")</f>
        <v/>
      </c>
    </row>
    <row r="138" ht="15" customHeight="1" s="1">
      <c r="A138" s="11">
        <f>IF(B138="","",ROW()-1)</f>
        <v/>
      </c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0">
        <f>IF(OR(B138="",L138&lt;&gt;"Sí"),"","Hola, "&amp;B138&amp;", excelente día. Le saluda *Alejandro Estrada* de Toyota Corregidora."&amp;CHAR(10)&amp;"Muchas gracias por visitarnos y conocer la *"&amp;D138&amp;"*.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38" s="11">
        <f>IF(Q138="","",HYPERLINK("https://wa.me/52"&amp;C138&amp;"?text="&amp;_xlfn.ENCODEURL(Q138),"Enviar Bienvenida"))</f>
        <v/>
      </c>
      <c r="S138" s="10">
        <f>IF(B138="","","Hola, "&amp;B138&amp;", muy buen día."&amp;CHAR(10)&amp;"Espero que esté teniendo una excelente semana. Le escribo para saber si tiene alguna duda sobre la oferta del *"&amp;D138&amp;"*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38" s="11">
        <f>IF(S138="","",HYPERLINK("https://wa.me/52"&amp;C138&amp;"?text="&amp;_xlfn.ENCODEURL(S138),"Enviar Seguimiento"))</f>
        <v/>
      </c>
      <c r="U138" s="10">
        <f>IF(B138="","",_xlfn.SWITCH(M138,"Apartado","Hola, "&amp;B138&amp;", buen día. Le confirmo que su apartado por el *"&amp;D138&amp;"* quedó registrado correctamente. Seguimos con el proceso y le mantendré informado(a) de cada paso.","Toma de vehículo","Hola, "&amp;B138&amp;", le comparto que estamos en el proceso de toma de su vehículo actual. En cuanto tengamos el resultado le aviso para continuar con el siguiente paso.","Pago vehículo a cuenta","Hola, "&amp;B138&amp;", quedamos en proceso de pago del vehículo que se toma a cuenta. Cualquier documento o aclaración que se requiera se lo haré saber por este medio.","Firma de contrato","Hola, "&amp;B138&amp;", ya estamos listos para agendar la firma de su contrato. ¿Qué día y hora se le facilita para realizarla?","Facturación","Hola, "&amp;B138&amp;", su unidad ya está en proceso de facturación. En breve le comparto los datos para su confirmación.","Programación de entrega","Hola, "&amp;B138&amp;", con gusto le comparto que ya podemos programar la entrega de su *"&amp;D138&amp;"*. ¿Qué día y hora le acomodan mejor?","Entregado","Hola, "&amp;B138&amp;", ¡muchas felicidades por estrenar su *"&amp;D138&amp;"*! Fue un gusto acompañarle en este proceso. Quedo pendiente de cualquier duda y con gusto le agendo su próxima cita de servicio cuando lo necesite.","Hola, "&amp;B138&amp;", seguimos en contacto para avanzar con el proceso de su próximo Toyota.")&amp;CHAR(10)&amp;CHAR(10)&amp;Config!$B$1)</f>
        <v/>
      </c>
      <c r="V138" s="11">
        <f>IF(U138="","",HYPERLINK("https://wa.me/52"&amp;C138&amp;"?text="&amp;_xlfn.ENCODEURL(U138),"Enviar aviso de etapa"))</f>
        <v/>
      </c>
      <c r="W138" s="10">
        <f>IF(OR(B138="",O138=""),"","Hola, "&amp;B138&amp;", ¡feliz cumpleaños! Le deseo un excelente día rodeado de quienes más quiere. Ha sido un placer acompañarle desde que estrenó su Toyota. ¡Un abrazo!"&amp;CHAR(10)&amp;CHAR(10)&amp;Config!$B$1)</f>
        <v/>
      </c>
      <c r="X138" s="11">
        <f>IF(W138="","",HYPERLINK("https://wa.me/52"&amp;C138&amp;"?text="&amp;_xlfn.ENCODEURL(W138),"Enviar felicitación"))</f>
        <v/>
      </c>
      <c r="Y138" s="10">
        <f>IF(OR(B138="",P138=""),"","Hola, "&amp;B138&amp;", hoy se cumple un año más desde que estrenó su *"&amp;D138&amp;"*. Espero que haya sido un gran compañero de camino. Cualquier cosa que necesite, aquí estoy para apoyarle."&amp;CHAR(10)&amp;CHAR(10)&amp;Config!$B$1)</f>
        <v/>
      </c>
      <c r="Z138" s="11">
        <f>IF(Y138="","",HYPERLINK("https://wa.me/52"&amp;C138&amp;"?text="&amp;_xlfn.ENCODEURL(Y138),"Enviar aniversario"))</f>
        <v/>
      </c>
      <c r="AA138" s="11" t="n"/>
      <c r="AB138" s="11">
        <f>IF(OR(B138="",AA138=""),"",HYPERLINK("https://wa.me/52"&amp;C138&amp;"?text="&amp;_xlfn.ENCODEURL(_xlfn.SWITCH(AA138,"Bienvenida (primera visita)",Q138,"Seguimiento",S138,"Aviso de Etapa",U138,"Requisitos",AC138,"Datos de Facturación",AD138,"Cumpleaños",W138,"Aniversario",Y138,"")),"Enviar mensaje seleccionado"))</f>
        <v/>
      </c>
      <c r="AC138" s="10">
        <f>IF(B138="","",_xlfn.SWITCH(F138&amp;"|"&amp;G138,"Crédito|Persona física","Hola, "&amp;B138&amp;", para continuar con el proceso de tu *"&amp;D138&amp;"* por "&amp;F138&amp;",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"&amp;B138&amp;", para continuar con el proceso de tu *"&amp;D138&amp;"* por "&amp;F138&amp;",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"&amp;B138&amp;", para continuar con el proceso de tu *"&amp;D138&amp;"* por "&amp;F138&amp;",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"&amp;B138&amp;", para continuar con el proceso de tu *"&amp;D138&amp;"* por "&amp;F138&amp;", estos son los documentos que necesitamos:"&amp;CHAR(10)&amp;CHAR(10)&amp;"- INE"&amp;CHAR(10)&amp;"- Comprobante de domicilio"&amp;CHAR(10)&amp;"- Constancia de situación fiscal (no mayor a 3 meses)","Contado|Persona física con actividad empresarial","Hola, "&amp;B138&amp;", para continuar con el proceso de tu *"&amp;D138&amp;"* por "&amp;F138&amp;", estos son los documentos que necesitamos:"&amp;CHAR(10)&amp;CHAR(10)&amp;"- INE"&amp;CHAR(10)&amp;"- Comprobante de domicilio"&amp;CHAR(10)&amp;"- Constancia de situación fiscal (no mayor a 3 meses)","Contado|Persona moral","Hola, "&amp;B138&amp;", para continuar con el proceso de tu *"&amp;D138&amp;"* por "&amp;F138&amp;",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38" s="10">
        <f>IFERROR(INDEX(Facturación!$Q:$Q,MATCH(B138,Facturación!$A:$A,0)),"")</f>
        <v/>
      </c>
    </row>
    <row r="139" ht="15" customHeight="1" s="1">
      <c r="A139" s="11">
        <f>IF(B139="","",ROW()-1)</f>
        <v/>
      </c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0">
        <f>IF(OR(B139="",L139&lt;&gt;"Sí"),"","Hola, "&amp;B139&amp;", excelente día. Le saluda *Alejandro Estrada* de Toyota Corregidora."&amp;CHAR(10)&amp;"Muchas gracias por visitarnos y conocer la *"&amp;D139&amp;"*.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39" s="11">
        <f>IF(Q139="","",HYPERLINK("https://wa.me/52"&amp;C139&amp;"?text="&amp;_xlfn.ENCODEURL(Q139),"Enviar Bienvenida"))</f>
        <v/>
      </c>
      <c r="S139" s="10">
        <f>IF(B139="","","Hola, "&amp;B139&amp;", muy buen día."&amp;CHAR(10)&amp;"Espero que esté teniendo una excelente semana. Le escribo para saber si tiene alguna duda sobre la oferta del *"&amp;D139&amp;"*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39" s="11">
        <f>IF(S139="","",HYPERLINK("https://wa.me/52"&amp;C139&amp;"?text="&amp;_xlfn.ENCODEURL(S139),"Enviar Seguimiento"))</f>
        <v/>
      </c>
      <c r="U139" s="10">
        <f>IF(B139="","",_xlfn.SWITCH(M139,"Apartado","Hola, "&amp;B139&amp;", buen día. Le confirmo que su apartado por el *"&amp;D139&amp;"* quedó registrado correctamente. Seguimos con el proceso y le mantendré informado(a) de cada paso.","Toma de vehículo","Hola, "&amp;B139&amp;", le comparto que estamos en el proceso de toma de su vehículo actual. En cuanto tengamos el resultado le aviso para continuar con el siguiente paso.","Pago vehículo a cuenta","Hola, "&amp;B139&amp;", quedamos en proceso de pago del vehículo que se toma a cuenta. Cualquier documento o aclaración que se requiera se lo haré saber por este medio.","Firma de contrato","Hola, "&amp;B139&amp;", ya estamos listos para agendar la firma de su contrato. ¿Qué día y hora se le facilita para realizarla?","Facturación","Hola, "&amp;B139&amp;", su unidad ya está en proceso de facturación. En breve le comparto los datos para su confirmación.","Programación de entrega","Hola, "&amp;B139&amp;", con gusto le comparto que ya podemos programar la entrega de su *"&amp;D139&amp;"*. ¿Qué día y hora le acomodan mejor?","Entregado","Hola, "&amp;B139&amp;", ¡muchas felicidades por estrenar su *"&amp;D139&amp;"*! Fue un gusto acompañarle en este proceso. Quedo pendiente de cualquier duda y con gusto le agendo su próxima cita de servicio cuando lo necesite.","Hola, "&amp;B139&amp;", seguimos en contacto para avanzar con el proceso de su próximo Toyota.")&amp;CHAR(10)&amp;CHAR(10)&amp;Config!$B$1)</f>
        <v/>
      </c>
      <c r="V139" s="11">
        <f>IF(U139="","",HYPERLINK("https://wa.me/52"&amp;C139&amp;"?text="&amp;_xlfn.ENCODEURL(U139),"Enviar aviso de etapa"))</f>
        <v/>
      </c>
      <c r="W139" s="10">
        <f>IF(OR(B139="",O139=""),"","Hola, "&amp;B139&amp;", ¡feliz cumpleaños! Le deseo un excelente día rodeado de quienes más quiere. Ha sido un placer acompañarle desde que estrenó su Toyota. ¡Un abrazo!"&amp;CHAR(10)&amp;CHAR(10)&amp;Config!$B$1)</f>
        <v/>
      </c>
      <c r="X139" s="11">
        <f>IF(W139="","",HYPERLINK("https://wa.me/52"&amp;C139&amp;"?text="&amp;_xlfn.ENCODEURL(W139),"Enviar felicitación"))</f>
        <v/>
      </c>
      <c r="Y139" s="10">
        <f>IF(OR(B139="",P139=""),"","Hola, "&amp;B139&amp;", hoy se cumple un año más desde que estrenó su *"&amp;D139&amp;"*. Espero que haya sido un gran compañero de camino. Cualquier cosa que necesite, aquí estoy para apoyarle."&amp;CHAR(10)&amp;CHAR(10)&amp;Config!$B$1)</f>
        <v/>
      </c>
      <c r="Z139" s="11">
        <f>IF(Y139="","",HYPERLINK("https://wa.me/52"&amp;C139&amp;"?text="&amp;_xlfn.ENCODEURL(Y139),"Enviar aniversario"))</f>
        <v/>
      </c>
      <c r="AA139" s="11" t="n"/>
      <c r="AB139" s="11">
        <f>IF(OR(B139="",AA139=""),"",HYPERLINK("https://wa.me/52"&amp;C139&amp;"?text="&amp;_xlfn.ENCODEURL(_xlfn.SWITCH(AA139,"Bienvenida (primera visita)",Q139,"Seguimiento",S139,"Aviso de Etapa",U139,"Requisitos",AC139,"Datos de Facturación",AD139,"Cumpleaños",W139,"Aniversario",Y139,"")),"Enviar mensaje seleccionado"))</f>
        <v/>
      </c>
      <c r="AC139" s="10">
        <f>IF(B139="","",_xlfn.SWITCH(F139&amp;"|"&amp;G139,"Crédito|Persona física","Hola, "&amp;B139&amp;", para continuar con el proceso de tu *"&amp;D139&amp;"* por "&amp;F139&amp;",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"&amp;B139&amp;", para continuar con el proceso de tu *"&amp;D139&amp;"* por "&amp;F139&amp;",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"&amp;B139&amp;", para continuar con el proceso de tu *"&amp;D139&amp;"* por "&amp;F139&amp;",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"&amp;B139&amp;", para continuar con el proceso de tu *"&amp;D139&amp;"* por "&amp;F139&amp;", estos son los documentos que necesitamos:"&amp;CHAR(10)&amp;CHAR(10)&amp;"- INE"&amp;CHAR(10)&amp;"- Comprobante de domicilio"&amp;CHAR(10)&amp;"- Constancia de situación fiscal (no mayor a 3 meses)","Contado|Persona física con actividad empresarial","Hola, "&amp;B139&amp;", para continuar con el proceso de tu *"&amp;D139&amp;"* por "&amp;F139&amp;", estos son los documentos que necesitamos:"&amp;CHAR(10)&amp;CHAR(10)&amp;"- INE"&amp;CHAR(10)&amp;"- Comprobante de domicilio"&amp;CHAR(10)&amp;"- Constancia de situación fiscal (no mayor a 3 meses)","Contado|Persona moral","Hola, "&amp;B139&amp;", para continuar con el proceso de tu *"&amp;D139&amp;"* por "&amp;F139&amp;",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39" s="10">
        <f>IFERROR(INDEX(Facturación!$Q:$Q,MATCH(B139,Facturación!$A:$A,0)),"")</f>
        <v/>
      </c>
    </row>
    <row r="140" ht="15" customHeight="1" s="1">
      <c r="A140" s="11">
        <f>IF(B140="","",ROW()-1)</f>
        <v/>
      </c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0">
        <f>IF(OR(B140="",L140&lt;&gt;"Sí"),"","Hola, "&amp;B140&amp;", excelente día. Le saluda *Alejandro Estrada* de Toyota Corregidora."&amp;CHAR(10)&amp;"Muchas gracias por visitarnos y conocer la *"&amp;D140&amp;"*.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40" s="11">
        <f>IF(Q140="","",HYPERLINK("https://wa.me/52"&amp;C140&amp;"?text="&amp;_xlfn.ENCODEURL(Q140),"Enviar Bienvenida"))</f>
        <v/>
      </c>
      <c r="S140" s="10">
        <f>IF(B140="","","Hola, "&amp;B140&amp;", muy buen día."&amp;CHAR(10)&amp;"Espero que esté teniendo una excelente semana. Le escribo para saber si tiene alguna duda sobre la oferta del *"&amp;D140&amp;"*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40" s="11">
        <f>IF(S140="","",HYPERLINK("https://wa.me/52"&amp;C140&amp;"?text="&amp;_xlfn.ENCODEURL(S140),"Enviar Seguimiento"))</f>
        <v/>
      </c>
      <c r="U140" s="10">
        <f>IF(B140="","",_xlfn.SWITCH(M140,"Apartado","Hola, "&amp;B140&amp;", buen día. Le confirmo que su apartado por el *"&amp;D140&amp;"* quedó registrado correctamente. Seguimos con el proceso y le mantendré informado(a) de cada paso.","Toma de vehículo","Hola, "&amp;B140&amp;", le comparto que estamos en el proceso de toma de su vehículo actual. En cuanto tengamos el resultado le aviso para continuar con el siguiente paso.","Pago vehículo a cuenta","Hola, "&amp;B140&amp;", quedamos en proceso de pago del vehículo que se toma a cuenta. Cualquier documento o aclaración que se requiera se lo haré saber por este medio.","Firma de contrato","Hola, "&amp;B140&amp;", ya estamos listos para agendar la firma de su contrato. ¿Qué día y hora se le facilita para realizarla?","Facturación","Hola, "&amp;B140&amp;", su unidad ya está en proceso de facturación. En breve le comparto los datos para su confirmación.","Programación de entrega","Hola, "&amp;B140&amp;", con gusto le comparto que ya podemos programar la entrega de su *"&amp;D140&amp;"*. ¿Qué día y hora le acomodan mejor?","Entregado","Hola, "&amp;B140&amp;", ¡muchas felicidades por estrenar su *"&amp;D140&amp;"*! Fue un gusto acompañarle en este proceso. Quedo pendiente de cualquier duda y con gusto le agendo su próxima cita de servicio cuando lo necesite.","Hola, "&amp;B140&amp;", seguimos en contacto para avanzar con el proceso de su próximo Toyota.")&amp;CHAR(10)&amp;CHAR(10)&amp;Config!$B$1)</f>
        <v/>
      </c>
      <c r="V140" s="11">
        <f>IF(U140="","",HYPERLINK("https://wa.me/52"&amp;C140&amp;"?text="&amp;_xlfn.ENCODEURL(U140),"Enviar aviso de etapa"))</f>
        <v/>
      </c>
      <c r="W140" s="10">
        <f>IF(OR(B140="",O140=""),"","Hola, "&amp;B140&amp;", ¡feliz cumpleaños! Le deseo un excelente día rodeado de quienes más quiere. Ha sido un placer acompañarle desde que estrenó su Toyota. ¡Un abrazo!"&amp;CHAR(10)&amp;CHAR(10)&amp;Config!$B$1)</f>
        <v/>
      </c>
      <c r="X140" s="11">
        <f>IF(W140="","",HYPERLINK("https://wa.me/52"&amp;C140&amp;"?text="&amp;_xlfn.ENCODEURL(W140),"Enviar felicitación"))</f>
        <v/>
      </c>
      <c r="Y140" s="10">
        <f>IF(OR(B140="",P140=""),"","Hola, "&amp;B140&amp;", hoy se cumple un año más desde que estrenó su *"&amp;D140&amp;"*. Espero que haya sido un gran compañero de camino. Cualquier cosa que necesite, aquí estoy para apoyarle."&amp;CHAR(10)&amp;CHAR(10)&amp;Config!$B$1)</f>
        <v/>
      </c>
      <c r="Z140" s="11">
        <f>IF(Y140="","",HYPERLINK("https://wa.me/52"&amp;C140&amp;"?text="&amp;_xlfn.ENCODEURL(Y140),"Enviar aniversario"))</f>
        <v/>
      </c>
      <c r="AA140" s="11" t="n"/>
      <c r="AB140" s="11">
        <f>IF(OR(B140="",AA140=""),"",HYPERLINK("https://wa.me/52"&amp;C140&amp;"?text="&amp;_xlfn.ENCODEURL(_xlfn.SWITCH(AA140,"Bienvenida (primera visita)",Q140,"Seguimiento",S140,"Aviso de Etapa",U140,"Requisitos",AC140,"Datos de Facturación",AD140,"Cumpleaños",W140,"Aniversario",Y140,"")),"Enviar mensaje seleccionado"))</f>
        <v/>
      </c>
      <c r="AC140" s="10">
        <f>IF(B140="","",_xlfn.SWITCH(F140&amp;"|"&amp;G140,"Crédito|Persona física","Hola, "&amp;B140&amp;", para continuar con el proceso de tu *"&amp;D140&amp;"* por "&amp;F140&amp;",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"&amp;B140&amp;", para continuar con el proceso de tu *"&amp;D140&amp;"* por "&amp;F140&amp;",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"&amp;B140&amp;", para continuar con el proceso de tu *"&amp;D140&amp;"* por "&amp;F140&amp;",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"&amp;B140&amp;", para continuar con el proceso de tu *"&amp;D140&amp;"* por "&amp;F140&amp;", estos son los documentos que necesitamos:"&amp;CHAR(10)&amp;CHAR(10)&amp;"- INE"&amp;CHAR(10)&amp;"- Comprobante de domicilio"&amp;CHAR(10)&amp;"- Constancia de situación fiscal (no mayor a 3 meses)","Contado|Persona física con actividad empresarial","Hola, "&amp;B140&amp;", para continuar con el proceso de tu *"&amp;D140&amp;"* por "&amp;F140&amp;", estos son los documentos que necesitamos:"&amp;CHAR(10)&amp;CHAR(10)&amp;"- INE"&amp;CHAR(10)&amp;"- Comprobante de domicilio"&amp;CHAR(10)&amp;"- Constancia de situación fiscal (no mayor a 3 meses)","Contado|Persona moral","Hola, "&amp;B140&amp;", para continuar con el proceso de tu *"&amp;D140&amp;"* por "&amp;F140&amp;",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40" s="10">
        <f>IFERROR(INDEX(Facturación!$Q:$Q,MATCH(B140,Facturación!$A:$A,0)),"")</f>
        <v/>
      </c>
    </row>
    <row r="141" ht="15" customHeight="1" s="1">
      <c r="A141" s="11">
        <f>IF(B141="","",ROW()-1)</f>
        <v/>
      </c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0">
        <f>IF(OR(B141="",L141&lt;&gt;"Sí"),"","Hola, "&amp;B141&amp;", excelente día. Le saluda *Alejandro Estrada* de Toyota Corregidora."&amp;CHAR(10)&amp;"Muchas gracias por visitarnos y conocer la *"&amp;D141&amp;"*.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41" s="11">
        <f>IF(Q141="","",HYPERLINK("https://wa.me/52"&amp;C141&amp;"?text="&amp;_xlfn.ENCODEURL(Q141),"Enviar Bienvenida"))</f>
        <v/>
      </c>
      <c r="S141" s="10">
        <f>IF(B141="","","Hola, "&amp;B141&amp;", muy buen día."&amp;CHAR(10)&amp;"Espero que esté teniendo una excelente semana. Le escribo para saber si tiene alguna duda sobre la oferta del *"&amp;D141&amp;"*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41" s="11">
        <f>IF(S141="","",HYPERLINK("https://wa.me/52"&amp;C141&amp;"?text="&amp;_xlfn.ENCODEURL(S141),"Enviar Seguimiento"))</f>
        <v/>
      </c>
      <c r="U141" s="10">
        <f>IF(B141="","",_xlfn.SWITCH(M141,"Apartado","Hola, "&amp;B141&amp;", buen día. Le confirmo que su apartado por el *"&amp;D141&amp;"* quedó registrado correctamente. Seguimos con el proceso y le mantendré informado(a) de cada paso.","Toma de vehículo","Hola, "&amp;B141&amp;", le comparto que estamos en el proceso de toma de su vehículo actual. En cuanto tengamos el resultado le aviso para continuar con el siguiente paso.","Pago vehículo a cuenta","Hola, "&amp;B141&amp;", quedamos en proceso de pago del vehículo que se toma a cuenta. Cualquier documento o aclaración que se requiera se lo haré saber por este medio.","Firma de contrato","Hola, "&amp;B141&amp;", ya estamos listos para agendar la firma de su contrato. ¿Qué día y hora se le facilita para realizarla?","Facturación","Hola, "&amp;B141&amp;", su unidad ya está en proceso de facturación. En breve le comparto los datos para su confirmación.","Programación de entrega","Hola, "&amp;B141&amp;", con gusto le comparto que ya podemos programar la entrega de su *"&amp;D141&amp;"*. ¿Qué día y hora le acomodan mejor?","Entregado","Hola, "&amp;B141&amp;", ¡muchas felicidades por estrenar su *"&amp;D141&amp;"*! Fue un gusto acompañarle en este proceso. Quedo pendiente de cualquier duda y con gusto le agendo su próxima cita de servicio cuando lo necesite.","Hola, "&amp;B141&amp;", seguimos en contacto para avanzar con el proceso de su próximo Toyota.")&amp;CHAR(10)&amp;CHAR(10)&amp;Config!$B$1)</f>
        <v/>
      </c>
      <c r="V141" s="11">
        <f>IF(U141="","",HYPERLINK("https://wa.me/52"&amp;C141&amp;"?text="&amp;_xlfn.ENCODEURL(U141),"Enviar aviso de etapa"))</f>
        <v/>
      </c>
      <c r="W141" s="10">
        <f>IF(OR(B141="",O141=""),"","Hola, "&amp;B141&amp;", ¡feliz cumpleaños! Le deseo un excelente día rodeado de quienes más quiere. Ha sido un placer acompañarle desde que estrenó su Toyota. ¡Un abrazo!"&amp;CHAR(10)&amp;CHAR(10)&amp;Config!$B$1)</f>
        <v/>
      </c>
      <c r="X141" s="11">
        <f>IF(W141="","",HYPERLINK("https://wa.me/52"&amp;C141&amp;"?text="&amp;_xlfn.ENCODEURL(W141),"Enviar felicitación"))</f>
        <v/>
      </c>
      <c r="Y141" s="10">
        <f>IF(OR(B141="",P141=""),"","Hola, "&amp;B141&amp;", hoy se cumple un año más desde que estrenó su *"&amp;D141&amp;"*. Espero que haya sido un gran compañero de camino. Cualquier cosa que necesite, aquí estoy para apoyarle."&amp;CHAR(10)&amp;CHAR(10)&amp;Config!$B$1)</f>
        <v/>
      </c>
      <c r="Z141" s="11">
        <f>IF(Y141="","",HYPERLINK("https://wa.me/52"&amp;C141&amp;"?text="&amp;_xlfn.ENCODEURL(Y141),"Enviar aniversario"))</f>
        <v/>
      </c>
      <c r="AA141" s="11" t="n"/>
      <c r="AB141" s="11">
        <f>IF(OR(B141="",AA141=""),"",HYPERLINK("https://wa.me/52"&amp;C141&amp;"?text="&amp;_xlfn.ENCODEURL(_xlfn.SWITCH(AA141,"Bienvenida (primera visita)",Q141,"Seguimiento",S141,"Aviso de Etapa",U141,"Requisitos",AC141,"Datos de Facturación",AD141,"Cumpleaños",W141,"Aniversario",Y141,"")),"Enviar mensaje seleccionado"))</f>
        <v/>
      </c>
      <c r="AC141" s="10">
        <f>IF(B141="","",_xlfn.SWITCH(F141&amp;"|"&amp;G141,"Crédito|Persona física","Hola, "&amp;B141&amp;", para continuar con el proceso de tu *"&amp;D141&amp;"* por "&amp;F141&amp;",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"&amp;B141&amp;", para continuar con el proceso de tu *"&amp;D141&amp;"* por "&amp;F141&amp;",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"&amp;B141&amp;", para continuar con el proceso de tu *"&amp;D141&amp;"* por "&amp;F141&amp;",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"&amp;B141&amp;", para continuar con el proceso de tu *"&amp;D141&amp;"* por "&amp;F141&amp;", estos son los documentos que necesitamos:"&amp;CHAR(10)&amp;CHAR(10)&amp;"- INE"&amp;CHAR(10)&amp;"- Comprobante de domicilio"&amp;CHAR(10)&amp;"- Constancia de situación fiscal (no mayor a 3 meses)","Contado|Persona física con actividad empresarial","Hola, "&amp;B141&amp;", para continuar con el proceso de tu *"&amp;D141&amp;"* por "&amp;F141&amp;", estos son los documentos que necesitamos:"&amp;CHAR(10)&amp;CHAR(10)&amp;"- INE"&amp;CHAR(10)&amp;"- Comprobante de domicilio"&amp;CHAR(10)&amp;"- Constancia de situación fiscal (no mayor a 3 meses)","Contado|Persona moral","Hola, "&amp;B141&amp;", para continuar con el proceso de tu *"&amp;D141&amp;"* por "&amp;F141&amp;",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41" s="10">
        <f>IFERROR(INDEX(Facturación!$Q:$Q,MATCH(B141,Facturación!$A:$A,0)),"")</f>
        <v/>
      </c>
    </row>
    <row r="142" ht="15" customHeight="1" s="1">
      <c r="A142" s="11">
        <f>IF(B142="","",ROW()-1)</f>
        <v/>
      </c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0">
        <f>IF(OR(B142="",L142&lt;&gt;"Sí"),"","Hola, "&amp;B142&amp;", excelente día. Le saluda *Alejandro Estrada* de Toyota Corregidora."&amp;CHAR(10)&amp;"Muchas gracias por visitarnos y conocer la *"&amp;D142&amp;"*.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42" s="11">
        <f>IF(Q142="","",HYPERLINK("https://wa.me/52"&amp;C142&amp;"?text="&amp;_xlfn.ENCODEURL(Q142),"Enviar Bienvenida"))</f>
        <v/>
      </c>
      <c r="S142" s="10">
        <f>IF(B142="","","Hola, "&amp;B142&amp;", muy buen día."&amp;CHAR(10)&amp;"Espero que esté teniendo una excelente semana. Le escribo para saber si tiene alguna duda sobre la oferta del *"&amp;D142&amp;"*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42" s="11">
        <f>IF(S142="","",HYPERLINK("https://wa.me/52"&amp;C142&amp;"?text="&amp;_xlfn.ENCODEURL(S142),"Enviar Seguimiento"))</f>
        <v/>
      </c>
      <c r="U142" s="10">
        <f>IF(B142="","",_xlfn.SWITCH(M142,"Apartado","Hola, "&amp;B142&amp;", buen día. Le confirmo que su apartado por el *"&amp;D142&amp;"* quedó registrado correctamente. Seguimos con el proceso y le mantendré informado(a) de cada paso.","Toma de vehículo","Hola, "&amp;B142&amp;", le comparto que estamos en el proceso de toma de su vehículo actual. En cuanto tengamos el resultado le aviso para continuar con el siguiente paso.","Pago vehículo a cuenta","Hola, "&amp;B142&amp;", quedamos en proceso de pago del vehículo que se toma a cuenta. Cualquier documento o aclaración que se requiera se lo haré saber por este medio.","Firma de contrato","Hola, "&amp;B142&amp;", ya estamos listos para agendar la firma de su contrato. ¿Qué día y hora se le facilita para realizarla?","Facturación","Hola, "&amp;B142&amp;", su unidad ya está en proceso de facturación. En breve le comparto los datos para su confirmación.","Programación de entrega","Hola, "&amp;B142&amp;", con gusto le comparto que ya podemos programar la entrega de su *"&amp;D142&amp;"*. ¿Qué día y hora le acomodan mejor?","Entregado","Hola, "&amp;B142&amp;", ¡muchas felicidades por estrenar su *"&amp;D142&amp;"*! Fue un gusto acompañarle en este proceso. Quedo pendiente de cualquier duda y con gusto le agendo su próxima cita de servicio cuando lo necesite.","Hola, "&amp;B142&amp;", seguimos en contacto para avanzar con el proceso de su próximo Toyota.")&amp;CHAR(10)&amp;CHAR(10)&amp;Config!$B$1)</f>
        <v/>
      </c>
      <c r="V142" s="11">
        <f>IF(U142="","",HYPERLINK("https://wa.me/52"&amp;C142&amp;"?text="&amp;_xlfn.ENCODEURL(U142),"Enviar aviso de etapa"))</f>
        <v/>
      </c>
      <c r="W142" s="10">
        <f>IF(OR(B142="",O142=""),"","Hola, "&amp;B142&amp;", ¡feliz cumpleaños! Le deseo un excelente día rodeado de quienes más quiere. Ha sido un placer acompañarle desde que estrenó su Toyota. ¡Un abrazo!"&amp;CHAR(10)&amp;CHAR(10)&amp;Config!$B$1)</f>
        <v/>
      </c>
      <c r="X142" s="11">
        <f>IF(W142="","",HYPERLINK("https://wa.me/52"&amp;C142&amp;"?text="&amp;_xlfn.ENCODEURL(W142),"Enviar felicitación"))</f>
        <v/>
      </c>
      <c r="Y142" s="10">
        <f>IF(OR(B142="",P142=""),"","Hola, "&amp;B142&amp;", hoy se cumple un año más desde que estrenó su *"&amp;D142&amp;"*. Espero que haya sido un gran compañero de camino. Cualquier cosa que necesite, aquí estoy para apoyarle."&amp;CHAR(10)&amp;CHAR(10)&amp;Config!$B$1)</f>
        <v/>
      </c>
      <c r="Z142" s="11">
        <f>IF(Y142="","",HYPERLINK("https://wa.me/52"&amp;C142&amp;"?text="&amp;_xlfn.ENCODEURL(Y142),"Enviar aniversario"))</f>
        <v/>
      </c>
      <c r="AA142" s="11" t="n"/>
      <c r="AB142" s="11">
        <f>IF(OR(B142="",AA142=""),"",HYPERLINK("https://wa.me/52"&amp;C142&amp;"?text="&amp;_xlfn.ENCODEURL(_xlfn.SWITCH(AA142,"Bienvenida (primera visita)",Q142,"Seguimiento",S142,"Aviso de Etapa",U142,"Requisitos",AC142,"Datos de Facturación",AD142,"Cumpleaños",W142,"Aniversario",Y142,"")),"Enviar mensaje seleccionado"))</f>
        <v/>
      </c>
      <c r="AC142" s="10">
        <f>IF(B142="","",_xlfn.SWITCH(F142&amp;"|"&amp;G142,"Crédito|Persona física","Hola, "&amp;B142&amp;", para continuar con el proceso de tu *"&amp;D142&amp;"* por "&amp;F142&amp;",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"&amp;B142&amp;", para continuar con el proceso de tu *"&amp;D142&amp;"* por "&amp;F142&amp;",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"&amp;B142&amp;", para continuar con el proceso de tu *"&amp;D142&amp;"* por "&amp;F142&amp;",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"&amp;B142&amp;", para continuar con el proceso de tu *"&amp;D142&amp;"* por "&amp;F142&amp;", estos son los documentos que necesitamos:"&amp;CHAR(10)&amp;CHAR(10)&amp;"- INE"&amp;CHAR(10)&amp;"- Comprobante de domicilio"&amp;CHAR(10)&amp;"- Constancia de situación fiscal (no mayor a 3 meses)","Contado|Persona física con actividad empresarial","Hola, "&amp;B142&amp;", para continuar con el proceso de tu *"&amp;D142&amp;"* por "&amp;F142&amp;", estos son los documentos que necesitamos:"&amp;CHAR(10)&amp;CHAR(10)&amp;"- INE"&amp;CHAR(10)&amp;"- Comprobante de domicilio"&amp;CHAR(10)&amp;"- Constancia de situación fiscal (no mayor a 3 meses)","Contado|Persona moral","Hola, "&amp;B142&amp;", para continuar con el proceso de tu *"&amp;D142&amp;"* por "&amp;F142&amp;",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42" s="10">
        <f>IFERROR(INDEX(Facturación!$Q:$Q,MATCH(B142,Facturación!$A:$A,0)),"")</f>
        <v/>
      </c>
    </row>
    <row r="143" ht="15" customHeight="1" s="1">
      <c r="A143" s="11">
        <f>IF(B143="","",ROW()-1)</f>
        <v/>
      </c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0">
        <f>IF(OR(B143="",L143&lt;&gt;"Sí"),"","Hola, "&amp;B143&amp;", excelente día. Le saluda *Alejandro Estrada* de Toyota Corregidora."&amp;CHAR(10)&amp;"Muchas gracias por visitarnos y conocer la *"&amp;D143&amp;"*.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43" s="11">
        <f>IF(Q143="","",HYPERLINK("https://wa.me/52"&amp;C143&amp;"?text="&amp;_xlfn.ENCODEURL(Q143),"Enviar Bienvenida"))</f>
        <v/>
      </c>
      <c r="S143" s="10">
        <f>IF(B143="","","Hola, "&amp;B143&amp;", muy buen día."&amp;CHAR(10)&amp;"Espero que esté teniendo una excelente semana. Le escribo para saber si tiene alguna duda sobre la oferta del *"&amp;D143&amp;"*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43" s="11">
        <f>IF(S143="","",HYPERLINK("https://wa.me/52"&amp;C143&amp;"?text="&amp;_xlfn.ENCODEURL(S143),"Enviar Seguimiento"))</f>
        <v/>
      </c>
      <c r="U143" s="10">
        <f>IF(B143="","",_xlfn.SWITCH(M143,"Apartado","Hola, "&amp;B143&amp;", buen día. Le confirmo que su apartado por el *"&amp;D143&amp;"* quedó registrado correctamente. Seguimos con el proceso y le mantendré informado(a) de cada paso.","Toma de vehículo","Hola, "&amp;B143&amp;", le comparto que estamos en el proceso de toma de su vehículo actual. En cuanto tengamos el resultado le aviso para continuar con el siguiente paso.","Pago vehículo a cuenta","Hola, "&amp;B143&amp;", quedamos en proceso de pago del vehículo que se toma a cuenta. Cualquier documento o aclaración que se requiera se lo haré saber por este medio.","Firma de contrato","Hola, "&amp;B143&amp;", ya estamos listos para agendar la firma de su contrato. ¿Qué día y hora se le facilita para realizarla?","Facturación","Hola, "&amp;B143&amp;", su unidad ya está en proceso de facturación. En breve le comparto los datos para su confirmación.","Programación de entrega","Hola, "&amp;B143&amp;", con gusto le comparto que ya podemos programar la entrega de su *"&amp;D143&amp;"*. ¿Qué día y hora le acomodan mejor?","Entregado","Hola, "&amp;B143&amp;", ¡muchas felicidades por estrenar su *"&amp;D143&amp;"*! Fue un gusto acompañarle en este proceso. Quedo pendiente de cualquier duda y con gusto le agendo su próxima cita de servicio cuando lo necesite.","Hola, "&amp;B143&amp;", seguimos en contacto para avanzar con el proceso de su próximo Toyota.")&amp;CHAR(10)&amp;CHAR(10)&amp;Config!$B$1)</f>
        <v/>
      </c>
      <c r="V143" s="11">
        <f>IF(U143="","",HYPERLINK("https://wa.me/52"&amp;C143&amp;"?text="&amp;_xlfn.ENCODEURL(U143),"Enviar aviso de etapa"))</f>
        <v/>
      </c>
      <c r="W143" s="10">
        <f>IF(OR(B143="",O143=""),"","Hola, "&amp;B143&amp;", ¡feliz cumpleaños! Le deseo un excelente día rodeado de quienes más quiere. Ha sido un placer acompañarle desde que estrenó su Toyota. ¡Un abrazo!"&amp;CHAR(10)&amp;CHAR(10)&amp;Config!$B$1)</f>
        <v/>
      </c>
      <c r="X143" s="11">
        <f>IF(W143="","",HYPERLINK("https://wa.me/52"&amp;C143&amp;"?text="&amp;_xlfn.ENCODEURL(W143),"Enviar felicitación"))</f>
        <v/>
      </c>
      <c r="Y143" s="10">
        <f>IF(OR(B143="",P143=""),"","Hola, "&amp;B143&amp;", hoy se cumple un año más desde que estrenó su *"&amp;D143&amp;"*. Espero que haya sido un gran compañero de camino. Cualquier cosa que necesite, aquí estoy para apoyarle."&amp;CHAR(10)&amp;CHAR(10)&amp;Config!$B$1)</f>
        <v/>
      </c>
      <c r="Z143" s="11">
        <f>IF(Y143="","",HYPERLINK("https://wa.me/52"&amp;C143&amp;"?text="&amp;_xlfn.ENCODEURL(Y143),"Enviar aniversario"))</f>
        <v/>
      </c>
      <c r="AA143" s="11" t="n"/>
      <c r="AB143" s="11">
        <f>IF(OR(B143="",AA143=""),"",HYPERLINK("https://wa.me/52"&amp;C143&amp;"?text="&amp;_xlfn.ENCODEURL(_xlfn.SWITCH(AA143,"Bienvenida (primera visita)",Q143,"Seguimiento",S143,"Aviso de Etapa",U143,"Requisitos",AC143,"Datos de Facturación",AD143,"Cumpleaños",W143,"Aniversario",Y143,"")),"Enviar mensaje seleccionado"))</f>
        <v/>
      </c>
      <c r="AC143" s="10">
        <f>IF(B143="","",_xlfn.SWITCH(F143&amp;"|"&amp;G143,"Crédito|Persona física","Hola, "&amp;B143&amp;", para continuar con el proceso de tu *"&amp;D143&amp;"* por "&amp;F143&amp;",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"&amp;B143&amp;", para continuar con el proceso de tu *"&amp;D143&amp;"* por "&amp;F143&amp;",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"&amp;B143&amp;", para continuar con el proceso de tu *"&amp;D143&amp;"* por "&amp;F143&amp;",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"&amp;B143&amp;", para continuar con el proceso de tu *"&amp;D143&amp;"* por "&amp;F143&amp;", estos son los documentos que necesitamos:"&amp;CHAR(10)&amp;CHAR(10)&amp;"- INE"&amp;CHAR(10)&amp;"- Comprobante de domicilio"&amp;CHAR(10)&amp;"- Constancia de situación fiscal (no mayor a 3 meses)","Contado|Persona física con actividad empresarial","Hola, "&amp;B143&amp;", para continuar con el proceso de tu *"&amp;D143&amp;"* por "&amp;F143&amp;", estos son los documentos que necesitamos:"&amp;CHAR(10)&amp;CHAR(10)&amp;"- INE"&amp;CHAR(10)&amp;"- Comprobante de domicilio"&amp;CHAR(10)&amp;"- Constancia de situación fiscal (no mayor a 3 meses)","Contado|Persona moral","Hola, "&amp;B143&amp;", para continuar con el proceso de tu *"&amp;D143&amp;"* por "&amp;F143&amp;",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43" s="10">
        <f>IFERROR(INDEX(Facturación!$Q:$Q,MATCH(B143,Facturación!$A:$A,0)),"")</f>
        <v/>
      </c>
    </row>
    <row r="144" ht="15" customHeight="1" s="1">
      <c r="A144" s="11">
        <f>IF(B144="","",ROW()-1)</f>
        <v/>
      </c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0">
        <f>IF(OR(B144="",L144&lt;&gt;"Sí"),"","Hola, "&amp;B144&amp;", excelente día. Le saluda *Alejandro Estrada* de Toyota Corregidora."&amp;CHAR(10)&amp;"Muchas gracias por visitarnos y conocer la *"&amp;D144&amp;"*.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44" s="11">
        <f>IF(Q144="","",HYPERLINK("https://wa.me/52"&amp;C144&amp;"?text="&amp;_xlfn.ENCODEURL(Q144),"Enviar Bienvenida"))</f>
        <v/>
      </c>
      <c r="S144" s="10">
        <f>IF(B144="","","Hola, "&amp;B144&amp;", muy buen día."&amp;CHAR(10)&amp;"Espero que esté teniendo una excelente semana. Le escribo para saber si tiene alguna duda sobre la oferta del *"&amp;D144&amp;"*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44" s="11">
        <f>IF(S144="","",HYPERLINK("https://wa.me/52"&amp;C144&amp;"?text="&amp;_xlfn.ENCODEURL(S144),"Enviar Seguimiento"))</f>
        <v/>
      </c>
      <c r="U144" s="10">
        <f>IF(B144="","",_xlfn.SWITCH(M144,"Apartado","Hola, "&amp;B144&amp;", buen día. Le confirmo que su apartado por el *"&amp;D144&amp;"* quedó registrado correctamente. Seguimos con el proceso y le mantendré informado(a) de cada paso.","Toma de vehículo","Hola, "&amp;B144&amp;", le comparto que estamos en el proceso de toma de su vehículo actual. En cuanto tengamos el resultado le aviso para continuar con el siguiente paso.","Pago vehículo a cuenta","Hola, "&amp;B144&amp;", quedamos en proceso de pago del vehículo que se toma a cuenta. Cualquier documento o aclaración que se requiera se lo haré saber por este medio.","Firma de contrato","Hola, "&amp;B144&amp;", ya estamos listos para agendar la firma de su contrato. ¿Qué día y hora se le facilita para realizarla?","Facturación","Hola, "&amp;B144&amp;", su unidad ya está en proceso de facturación. En breve le comparto los datos para su confirmación.","Programación de entrega","Hola, "&amp;B144&amp;", con gusto le comparto que ya podemos programar la entrega de su *"&amp;D144&amp;"*. ¿Qué día y hora le acomodan mejor?","Entregado","Hola, "&amp;B144&amp;", ¡muchas felicidades por estrenar su *"&amp;D144&amp;"*! Fue un gusto acompañarle en este proceso. Quedo pendiente de cualquier duda y con gusto le agendo su próxima cita de servicio cuando lo necesite.","Hola, "&amp;B144&amp;", seguimos en contacto para avanzar con el proceso de su próximo Toyota.")&amp;CHAR(10)&amp;CHAR(10)&amp;Config!$B$1)</f>
        <v/>
      </c>
      <c r="V144" s="11">
        <f>IF(U144="","",HYPERLINK("https://wa.me/52"&amp;C144&amp;"?text="&amp;_xlfn.ENCODEURL(U144),"Enviar aviso de etapa"))</f>
        <v/>
      </c>
      <c r="W144" s="10">
        <f>IF(OR(B144="",O144=""),"","Hola, "&amp;B144&amp;", ¡feliz cumpleaños! Le deseo un excelente día rodeado de quienes más quiere. Ha sido un placer acompañarle desde que estrenó su Toyota. ¡Un abrazo!"&amp;CHAR(10)&amp;CHAR(10)&amp;Config!$B$1)</f>
        <v/>
      </c>
      <c r="X144" s="11">
        <f>IF(W144="","",HYPERLINK("https://wa.me/52"&amp;C144&amp;"?text="&amp;_xlfn.ENCODEURL(W144),"Enviar felicitación"))</f>
        <v/>
      </c>
      <c r="Y144" s="10">
        <f>IF(OR(B144="",P144=""),"","Hola, "&amp;B144&amp;", hoy se cumple un año más desde que estrenó su *"&amp;D144&amp;"*. Espero que haya sido un gran compañero de camino. Cualquier cosa que necesite, aquí estoy para apoyarle."&amp;CHAR(10)&amp;CHAR(10)&amp;Config!$B$1)</f>
        <v/>
      </c>
      <c r="Z144" s="11">
        <f>IF(Y144="","",HYPERLINK("https://wa.me/52"&amp;C144&amp;"?text="&amp;_xlfn.ENCODEURL(Y144),"Enviar aniversario"))</f>
        <v/>
      </c>
      <c r="AA144" s="11" t="n"/>
      <c r="AB144" s="11">
        <f>IF(OR(B144="",AA144=""),"",HYPERLINK("https://wa.me/52"&amp;C144&amp;"?text="&amp;_xlfn.ENCODEURL(_xlfn.SWITCH(AA144,"Bienvenida (primera visita)",Q144,"Seguimiento",S144,"Aviso de Etapa",U144,"Requisitos",AC144,"Datos de Facturación",AD144,"Cumpleaños",W144,"Aniversario",Y144,"")),"Enviar mensaje seleccionado"))</f>
        <v/>
      </c>
      <c r="AC144" s="10">
        <f>IF(B144="","",_xlfn.SWITCH(F144&amp;"|"&amp;G144,"Crédito|Persona física","Hola, "&amp;B144&amp;", para continuar con el proceso de tu *"&amp;D144&amp;"* por "&amp;F144&amp;",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"&amp;B144&amp;", para continuar con el proceso de tu *"&amp;D144&amp;"* por "&amp;F144&amp;",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"&amp;B144&amp;", para continuar con el proceso de tu *"&amp;D144&amp;"* por "&amp;F144&amp;",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"&amp;B144&amp;", para continuar con el proceso de tu *"&amp;D144&amp;"* por "&amp;F144&amp;", estos son los documentos que necesitamos:"&amp;CHAR(10)&amp;CHAR(10)&amp;"- INE"&amp;CHAR(10)&amp;"- Comprobante de domicilio"&amp;CHAR(10)&amp;"- Constancia de situación fiscal (no mayor a 3 meses)","Contado|Persona física con actividad empresarial","Hola, "&amp;B144&amp;", para continuar con el proceso de tu *"&amp;D144&amp;"* por "&amp;F144&amp;", estos son los documentos que necesitamos:"&amp;CHAR(10)&amp;CHAR(10)&amp;"- INE"&amp;CHAR(10)&amp;"- Comprobante de domicilio"&amp;CHAR(10)&amp;"- Constancia de situación fiscal (no mayor a 3 meses)","Contado|Persona moral","Hola, "&amp;B144&amp;", para continuar con el proceso de tu *"&amp;D144&amp;"* por "&amp;F144&amp;",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44" s="10">
        <f>IFERROR(INDEX(Facturación!$Q:$Q,MATCH(B144,Facturación!$A:$A,0)),"")</f>
        <v/>
      </c>
    </row>
    <row r="145" ht="15" customHeight="1" s="1">
      <c r="A145" s="11">
        <f>IF(B145="","",ROW()-1)</f>
        <v/>
      </c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0">
        <f>IF(OR(B145="",L145&lt;&gt;"Sí"),"","Hola, "&amp;B145&amp;", excelente día. Le saluda *Alejandro Estrada* de Toyota Corregidora."&amp;CHAR(10)&amp;"Muchas gracias por visitarnos y conocer la *"&amp;D145&amp;"*.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45" s="11">
        <f>IF(Q145="","",HYPERLINK("https://wa.me/52"&amp;C145&amp;"?text="&amp;_xlfn.ENCODEURL(Q145),"Enviar Bienvenida"))</f>
        <v/>
      </c>
      <c r="S145" s="10">
        <f>IF(B145="","","Hola, "&amp;B145&amp;", muy buen día."&amp;CHAR(10)&amp;"Espero que esté teniendo una excelente semana. Le escribo para saber si tiene alguna duda sobre la oferta del *"&amp;D145&amp;"*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45" s="11">
        <f>IF(S145="","",HYPERLINK("https://wa.me/52"&amp;C145&amp;"?text="&amp;_xlfn.ENCODEURL(S145),"Enviar Seguimiento"))</f>
        <v/>
      </c>
      <c r="U145" s="10">
        <f>IF(B145="","",_xlfn.SWITCH(M145,"Apartado","Hola, "&amp;B145&amp;", buen día. Le confirmo que su apartado por el *"&amp;D145&amp;"* quedó registrado correctamente. Seguimos con el proceso y le mantendré informado(a) de cada paso.","Toma de vehículo","Hola, "&amp;B145&amp;", le comparto que estamos en el proceso de toma de su vehículo actual. En cuanto tengamos el resultado le aviso para continuar con el siguiente paso.","Pago vehículo a cuenta","Hola, "&amp;B145&amp;", quedamos en proceso de pago del vehículo que se toma a cuenta. Cualquier documento o aclaración que se requiera se lo haré saber por este medio.","Firma de contrato","Hola, "&amp;B145&amp;", ya estamos listos para agendar la firma de su contrato. ¿Qué día y hora se le facilita para realizarla?","Facturación","Hola, "&amp;B145&amp;", su unidad ya está en proceso de facturación. En breve le comparto los datos para su confirmación.","Programación de entrega","Hola, "&amp;B145&amp;", con gusto le comparto que ya podemos programar la entrega de su *"&amp;D145&amp;"*. ¿Qué día y hora le acomodan mejor?","Entregado","Hola, "&amp;B145&amp;", ¡muchas felicidades por estrenar su *"&amp;D145&amp;"*! Fue un gusto acompañarle en este proceso. Quedo pendiente de cualquier duda y con gusto le agendo su próxima cita de servicio cuando lo necesite.","Hola, "&amp;B145&amp;", seguimos en contacto para avanzar con el proceso de su próximo Toyota.")&amp;CHAR(10)&amp;CHAR(10)&amp;Config!$B$1)</f>
        <v/>
      </c>
      <c r="V145" s="11">
        <f>IF(U145="","",HYPERLINK("https://wa.me/52"&amp;C145&amp;"?text="&amp;_xlfn.ENCODEURL(U145),"Enviar aviso de etapa"))</f>
        <v/>
      </c>
      <c r="W145" s="10">
        <f>IF(OR(B145="",O145=""),"","Hola, "&amp;B145&amp;", ¡feliz cumpleaños! Le deseo un excelente día rodeado de quienes más quiere. Ha sido un placer acompañarle desde que estrenó su Toyota. ¡Un abrazo!"&amp;CHAR(10)&amp;CHAR(10)&amp;Config!$B$1)</f>
        <v/>
      </c>
      <c r="X145" s="11">
        <f>IF(W145="","",HYPERLINK("https://wa.me/52"&amp;C145&amp;"?text="&amp;_xlfn.ENCODEURL(W145),"Enviar felicitación"))</f>
        <v/>
      </c>
      <c r="Y145" s="10">
        <f>IF(OR(B145="",P145=""),"","Hola, "&amp;B145&amp;", hoy se cumple un año más desde que estrenó su *"&amp;D145&amp;"*. Espero que haya sido un gran compañero de camino. Cualquier cosa que necesite, aquí estoy para apoyarle."&amp;CHAR(10)&amp;CHAR(10)&amp;Config!$B$1)</f>
        <v/>
      </c>
      <c r="Z145" s="11">
        <f>IF(Y145="","",HYPERLINK("https://wa.me/52"&amp;C145&amp;"?text="&amp;_xlfn.ENCODEURL(Y145),"Enviar aniversario"))</f>
        <v/>
      </c>
      <c r="AA145" s="11" t="n"/>
      <c r="AB145" s="11">
        <f>IF(OR(B145="",AA145=""),"",HYPERLINK("https://wa.me/52"&amp;C145&amp;"?text="&amp;_xlfn.ENCODEURL(_xlfn.SWITCH(AA145,"Bienvenida (primera visita)",Q145,"Seguimiento",S145,"Aviso de Etapa",U145,"Requisitos",AC145,"Datos de Facturación",AD145,"Cumpleaños",W145,"Aniversario",Y145,"")),"Enviar mensaje seleccionado"))</f>
        <v/>
      </c>
      <c r="AC145" s="10">
        <f>IF(B145="","",_xlfn.SWITCH(F145&amp;"|"&amp;G145,"Crédito|Persona física","Hola, "&amp;B145&amp;", para continuar con el proceso de tu *"&amp;D145&amp;"* por "&amp;F145&amp;",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"&amp;B145&amp;", para continuar con el proceso de tu *"&amp;D145&amp;"* por "&amp;F145&amp;",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"&amp;B145&amp;", para continuar con el proceso de tu *"&amp;D145&amp;"* por "&amp;F145&amp;",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"&amp;B145&amp;", para continuar con el proceso de tu *"&amp;D145&amp;"* por "&amp;F145&amp;", estos son los documentos que necesitamos:"&amp;CHAR(10)&amp;CHAR(10)&amp;"- INE"&amp;CHAR(10)&amp;"- Comprobante de domicilio"&amp;CHAR(10)&amp;"- Constancia de situación fiscal (no mayor a 3 meses)","Contado|Persona física con actividad empresarial","Hola, "&amp;B145&amp;", para continuar con el proceso de tu *"&amp;D145&amp;"* por "&amp;F145&amp;", estos son los documentos que necesitamos:"&amp;CHAR(10)&amp;CHAR(10)&amp;"- INE"&amp;CHAR(10)&amp;"- Comprobante de domicilio"&amp;CHAR(10)&amp;"- Constancia de situación fiscal (no mayor a 3 meses)","Contado|Persona moral","Hola, "&amp;B145&amp;", para continuar con el proceso de tu *"&amp;D145&amp;"* por "&amp;F145&amp;",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45" s="10">
        <f>IFERROR(INDEX(Facturación!$Q:$Q,MATCH(B145,Facturación!$A:$A,0)),"")</f>
        <v/>
      </c>
    </row>
    <row r="146" ht="15" customHeight="1" s="1">
      <c r="A146" s="11">
        <f>IF(B146="","",ROW()-1)</f>
        <v/>
      </c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0">
        <f>IF(OR(B146="",L146&lt;&gt;"Sí"),"","Hola, "&amp;B146&amp;", excelente día. Le saluda *Alejandro Estrada* de Toyota Corregidora."&amp;CHAR(10)&amp;"Muchas gracias por visitarnos y conocer la *"&amp;D146&amp;"*.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46" s="11">
        <f>IF(Q146="","",HYPERLINK("https://wa.me/52"&amp;C146&amp;"?text="&amp;_xlfn.ENCODEURL(Q146),"Enviar Bienvenida"))</f>
        <v/>
      </c>
      <c r="S146" s="10">
        <f>IF(B146="","","Hola, "&amp;B146&amp;", muy buen día."&amp;CHAR(10)&amp;"Espero que esté teniendo una excelente semana. Le escribo para saber si tiene alguna duda sobre la oferta del *"&amp;D146&amp;"*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46" s="11">
        <f>IF(S146="","",HYPERLINK("https://wa.me/52"&amp;C146&amp;"?text="&amp;_xlfn.ENCODEURL(S146),"Enviar Seguimiento"))</f>
        <v/>
      </c>
      <c r="U146" s="10">
        <f>IF(B146="","",_xlfn.SWITCH(M146,"Apartado","Hola, "&amp;B146&amp;", buen día. Le confirmo que su apartado por el *"&amp;D146&amp;"* quedó registrado correctamente. Seguimos con el proceso y le mantendré informado(a) de cada paso.","Toma de vehículo","Hola, "&amp;B146&amp;", le comparto que estamos en el proceso de toma de su vehículo actual. En cuanto tengamos el resultado le aviso para continuar con el siguiente paso.","Pago vehículo a cuenta","Hola, "&amp;B146&amp;", quedamos en proceso de pago del vehículo que se toma a cuenta. Cualquier documento o aclaración que se requiera se lo haré saber por este medio.","Firma de contrato","Hola, "&amp;B146&amp;", ya estamos listos para agendar la firma de su contrato. ¿Qué día y hora se le facilita para realizarla?","Facturación","Hola, "&amp;B146&amp;", su unidad ya está en proceso de facturación. En breve le comparto los datos para su confirmación.","Programación de entrega","Hola, "&amp;B146&amp;", con gusto le comparto que ya podemos programar la entrega de su *"&amp;D146&amp;"*. ¿Qué día y hora le acomodan mejor?","Entregado","Hola, "&amp;B146&amp;", ¡muchas felicidades por estrenar su *"&amp;D146&amp;"*! Fue un gusto acompañarle en este proceso. Quedo pendiente de cualquier duda y con gusto le agendo su próxima cita de servicio cuando lo necesite.","Hola, "&amp;B146&amp;", seguimos en contacto para avanzar con el proceso de su próximo Toyota.")&amp;CHAR(10)&amp;CHAR(10)&amp;Config!$B$1)</f>
        <v/>
      </c>
      <c r="V146" s="11">
        <f>IF(U146="","",HYPERLINK("https://wa.me/52"&amp;C146&amp;"?text="&amp;_xlfn.ENCODEURL(U146),"Enviar aviso de etapa"))</f>
        <v/>
      </c>
      <c r="W146" s="10">
        <f>IF(OR(B146="",O146=""),"","Hola, "&amp;B146&amp;", ¡feliz cumpleaños! Le deseo un excelente día rodeado de quienes más quiere. Ha sido un placer acompañarle desde que estrenó su Toyota. ¡Un abrazo!"&amp;CHAR(10)&amp;CHAR(10)&amp;Config!$B$1)</f>
        <v/>
      </c>
      <c r="X146" s="11">
        <f>IF(W146="","",HYPERLINK("https://wa.me/52"&amp;C146&amp;"?text="&amp;_xlfn.ENCODEURL(W146),"Enviar felicitación"))</f>
        <v/>
      </c>
      <c r="Y146" s="10">
        <f>IF(OR(B146="",P146=""),"","Hola, "&amp;B146&amp;", hoy se cumple un año más desde que estrenó su *"&amp;D146&amp;"*. Espero que haya sido un gran compañero de camino. Cualquier cosa que necesite, aquí estoy para apoyarle."&amp;CHAR(10)&amp;CHAR(10)&amp;Config!$B$1)</f>
        <v/>
      </c>
      <c r="Z146" s="11">
        <f>IF(Y146="","",HYPERLINK("https://wa.me/52"&amp;C146&amp;"?text="&amp;_xlfn.ENCODEURL(Y146),"Enviar aniversario"))</f>
        <v/>
      </c>
      <c r="AA146" s="11" t="n"/>
      <c r="AB146" s="11">
        <f>IF(OR(B146="",AA146=""),"",HYPERLINK("https://wa.me/52"&amp;C146&amp;"?text="&amp;_xlfn.ENCODEURL(_xlfn.SWITCH(AA146,"Bienvenida (primera visita)",Q146,"Seguimiento",S146,"Aviso de Etapa",U146,"Requisitos",AC146,"Datos de Facturación",AD146,"Cumpleaños",W146,"Aniversario",Y146,"")),"Enviar mensaje seleccionado"))</f>
        <v/>
      </c>
      <c r="AC146" s="10">
        <f>IF(B146="","",_xlfn.SWITCH(F146&amp;"|"&amp;G146,"Crédito|Persona física","Hola, "&amp;B146&amp;", para continuar con el proceso de tu *"&amp;D146&amp;"* por "&amp;F146&amp;",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"&amp;B146&amp;", para continuar con el proceso de tu *"&amp;D146&amp;"* por "&amp;F146&amp;",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"&amp;B146&amp;", para continuar con el proceso de tu *"&amp;D146&amp;"* por "&amp;F146&amp;",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"&amp;B146&amp;", para continuar con el proceso de tu *"&amp;D146&amp;"* por "&amp;F146&amp;", estos son los documentos que necesitamos:"&amp;CHAR(10)&amp;CHAR(10)&amp;"- INE"&amp;CHAR(10)&amp;"- Comprobante de domicilio"&amp;CHAR(10)&amp;"- Constancia de situación fiscal (no mayor a 3 meses)","Contado|Persona física con actividad empresarial","Hola, "&amp;B146&amp;", para continuar con el proceso de tu *"&amp;D146&amp;"* por "&amp;F146&amp;", estos son los documentos que necesitamos:"&amp;CHAR(10)&amp;CHAR(10)&amp;"- INE"&amp;CHAR(10)&amp;"- Comprobante de domicilio"&amp;CHAR(10)&amp;"- Constancia de situación fiscal (no mayor a 3 meses)","Contado|Persona moral","Hola, "&amp;B146&amp;", para continuar con el proceso de tu *"&amp;D146&amp;"* por "&amp;F146&amp;",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46" s="10">
        <f>IFERROR(INDEX(Facturación!$Q:$Q,MATCH(B146,Facturación!$A:$A,0)),"")</f>
        <v/>
      </c>
    </row>
    <row r="147" ht="15" customHeight="1" s="1">
      <c r="A147" s="11">
        <f>IF(B147="","",ROW()-1)</f>
        <v/>
      </c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0">
        <f>IF(OR(B147="",L147&lt;&gt;"Sí"),"","Hola, "&amp;B147&amp;", excelente día. Le saluda *Alejandro Estrada* de Toyota Corregidora."&amp;CHAR(10)&amp;"Muchas gracias por visitarnos y conocer la *"&amp;D147&amp;"*.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47" s="11">
        <f>IF(Q147="","",HYPERLINK("https://wa.me/52"&amp;C147&amp;"?text="&amp;_xlfn.ENCODEURL(Q147),"Enviar Bienvenida"))</f>
        <v/>
      </c>
      <c r="S147" s="10">
        <f>IF(B147="","","Hola, "&amp;B147&amp;", muy buen día."&amp;CHAR(10)&amp;"Espero que esté teniendo una excelente semana. Le escribo para saber si tiene alguna duda sobre la oferta del *"&amp;D147&amp;"*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47" s="11">
        <f>IF(S147="","",HYPERLINK("https://wa.me/52"&amp;C147&amp;"?text="&amp;_xlfn.ENCODEURL(S147),"Enviar Seguimiento"))</f>
        <v/>
      </c>
      <c r="U147" s="10">
        <f>IF(B147="","",_xlfn.SWITCH(M147,"Apartado","Hola, "&amp;B147&amp;", buen día. Le confirmo que su apartado por el *"&amp;D147&amp;"* quedó registrado correctamente. Seguimos con el proceso y le mantendré informado(a) de cada paso.","Toma de vehículo","Hola, "&amp;B147&amp;", le comparto que estamos en el proceso de toma de su vehículo actual. En cuanto tengamos el resultado le aviso para continuar con el siguiente paso.","Pago vehículo a cuenta","Hola, "&amp;B147&amp;", quedamos en proceso de pago del vehículo que se toma a cuenta. Cualquier documento o aclaración que se requiera se lo haré saber por este medio.","Firma de contrato","Hola, "&amp;B147&amp;", ya estamos listos para agendar la firma de su contrato. ¿Qué día y hora se le facilita para realizarla?","Facturación","Hola, "&amp;B147&amp;", su unidad ya está en proceso de facturación. En breve le comparto los datos para su confirmación.","Programación de entrega","Hola, "&amp;B147&amp;", con gusto le comparto que ya podemos programar la entrega de su *"&amp;D147&amp;"*. ¿Qué día y hora le acomodan mejor?","Entregado","Hola, "&amp;B147&amp;", ¡muchas felicidades por estrenar su *"&amp;D147&amp;"*! Fue un gusto acompañarle en este proceso. Quedo pendiente de cualquier duda y con gusto le agendo su próxima cita de servicio cuando lo necesite.","Hola, "&amp;B147&amp;", seguimos en contacto para avanzar con el proceso de su próximo Toyota.")&amp;CHAR(10)&amp;CHAR(10)&amp;Config!$B$1)</f>
        <v/>
      </c>
      <c r="V147" s="11">
        <f>IF(U147="","",HYPERLINK("https://wa.me/52"&amp;C147&amp;"?text="&amp;_xlfn.ENCODEURL(U147),"Enviar aviso de etapa"))</f>
        <v/>
      </c>
      <c r="W147" s="10">
        <f>IF(OR(B147="",O147=""),"","Hola, "&amp;B147&amp;", ¡feliz cumpleaños! Le deseo un excelente día rodeado de quienes más quiere. Ha sido un placer acompañarle desde que estrenó su Toyota. ¡Un abrazo!"&amp;CHAR(10)&amp;CHAR(10)&amp;Config!$B$1)</f>
        <v/>
      </c>
      <c r="X147" s="11">
        <f>IF(W147="","",HYPERLINK("https://wa.me/52"&amp;C147&amp;"?text="&amp;_xlfn.ENCODEURL(W147),"Enviar felicitación"))</f>
        <v/>
      </c>
      <c r="Y147" s="10">
        <f>IF(OR(B147="",P147=""),"","Hola, "&amp;B147&amp;", hoy se cumple un año más desde que estrenó su *"&amp;D147&amp;"*. Espero que haya sido un gran compañero de camino. Cualquier cosa que necesite, aquí estoy para apoyarle."&amp;CHAR(10)&amp;CHAR(10)&amp;Config!$B$1)</f>
        <v/>
      </c>
      <c r="Z147" s="11">
        <f>IF(Y147="","",HYPERLINK("https://wa.me/52"&amp;C147&amp;"?text="&amp;_xlfn.ENCODEURL(Y147),"Enviar aniversario"))</f>
        <v/>
      </c>
      <c r="AA147" s="11" t="n"/>
      <c r="AB147" s="11">
        <f>IF(OR(B147="",AA147=""),"",HYPERLINK("https://wa.me/52"&amp;C147&amp;"?text="&amp;_xlfn.ENCODEURL(_xlfn.SWITCH(AA147,"Bienvenida (primera visita)",Q147,"Seguimiento",S147,"Aviso de Etapa",U147,"Requisitos",AC147,"Datos de Facturación",AD147,"Cumpleaños",W147,"Aniversario",Y147,"")),"Enviar mensaje seleccionado"))</f>
        <v/>
      </c>
      <c r="AC147" s="10">
        <f>IF(B147="","",_xlfn.SWITCH(F147&amp;"|"&amp;G147,"Crédito|Persona física","Hola, "&amp;B147&amp;", para continuar con el proceso de tu *"&amp;D147&amp;"* por "&amp;F147&amp;",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"&amp;B147&amp;", para continuar con el proceso de tu *"&amp;D147&amp;"* por "&amp;F147&amp;",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"&amp;B147&amp;", para continuar con el proceso de tu *"&amp;D147&amp;"* por "&amp;F147&amp;",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"&amp;B147&amp;", para continuar con el proceso de tu *"&amp;D147&amp;"* por "&amp;F147&amp;", estos son los documentos que necesitamos:"&amp;CHAR(10)&amp;CHAR(10)&amp;"- INE"&amp;CHAR(10)&amp;"- Comprobante de domicilio"&amp;CHAR(10)&amp;"- Constancia de situación fiscal (no mayor a 3 meses)","Contado|Persona física con actividad empresarial","Hola, "&amp;B147&amp;", para continuar con el proceso de tu *"&amp;D147&amp;"* por "&amp;F147&amp;", estos son los documentos que necesitamos:"&amp;CHAR(10)&amp;CHAR(10)&amp;"- INE"&amp;CHAR(10)&amp;"- Comprobante de domicilio"&amp;CHAR(10)&amp;"- Constancia de situación fiscal (no mayor a 3 meses)","Contado|Persona moral","Hola, "&amp;B147&amp;", para continuar con el proceso de tu *"&amp;D147&amp;"* por "&amp;F147&amp;",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47" s="10">
        <f>IFERROR(INDEX(Facturación!$Q:$Q,MATCH(B147,Facturación!$A:$A,0)),"")</f>
        <v/>
      </c>
    </row>
    <row r="148" ht="15" customHeight="1" s="1">
      <c r="A148" s="11">
        <f>IF(B148="","",ROW()-1)</f>
        <v/>
      </c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0">
        <f>IF(OR(B148="",L148&lt;&gt;"Sí"),"","Hola, "&amp;B148&amp;", excelente día. Le saluda *Alejandro Estrada* de Toyota Corregidora."&amp;CHAR(10)&amp;"Muchas gracias por visitarnos y conocer la *"&amp;D148&amp;"*.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48" s="11">
        <f>IF(Q148="","",HYPERLINK("https://wa.me/52"&amp;C148&amp;"?text="&amp;_xlfn.ENCODEURL(Q148),"Enviar Bienvenida"))</f>
        <v/>
      </c>
      <c r="S148" s="10">
        <f>IF(B148="","","Hola, "&amp;B148&amp;", muy buen día."&amp;CHAR(10)&amp;"Espero que esté teniendo una excelente semana. Le escribo para saber si tiene alguna duda sobre la oferta del *"&amp;D148&amp;"*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48" s="11">
        <f>IF(S148="","",HYPERLINK("https://wa.me/52"&amp;C148&amp;"?text="&amp;_xlfn.ENCODEURL(S148),"Enviar Seguimiento"))</f>
        <v/>
      </c>
      <c r="U148" s="10">
        <f>IF(B148="","",_xlfn.SWITCH(M148,"Apartado","Hola, "&amp;B148&amp;", buen día. Le confirmo que su apartado por el *"&amp;D148&amp;"* quedó registrado correctamente. Seguimos con el proceso y le mantendré informado(a) de cada paso.","Toma de vehículo","Hola, "&amp;B148&amp;", le comparto que estamos en el proceso de toma de su vehículo actual. En cuanto tengamos el resultado le aviso para continuar con el siguiente paso.","Pago vehículo a cuenta","Hola, "&amp;B148&amp;", quedamos en proceso de pago del vehículo que se toma a cuenta. Cualquier documento o aclaración que se requiera se lo haré saber por este medio.","Firma de contrato","Hola, "&amp;B148&amp;", ya estamos listos para agendar la firma de su contrato. ¿Qué día y hora se le facilita para realizarla?","Facturación","Hola, "&amp;B148&amp;", su unidad ya está en proceso de facturación. En breve le comparto los datos para su confirmación.","Programación de entrega","Hola, "&amp;B148&amp;", con gusto le comparto que ya podemos programar la entrega de su *"&amp;D148&amp;"*. ¿Qué día y hora le acomodan mejor?","Entregado","Hola, "&amp;B148&amp;", ¡muchas felicidades por estrenar su *"&amp;D148&amp;"*! Fue un gusto acompañarle en este proceso. Quedo pendiente de cualquier duda y con gusto le agendo su próxima cita de servicio cuando lo necesite.","Hola, "&amp;B148&amp;", seguimos en contacto para avanzar con el proceso de su próximo Toyota.")&amp;CHAR(10)&amp;CHAR(10)&amp;Config!$B$1)</f>
        <v/>
      </c>
      <c r="V148" s="11">
        <f>IF(U148="","",HYPERLINK("https://wa.me/52"&amp;C148&amp;"?text="&amp;_xlfn.ENCODEURL(U148),"Enviar aviso de etapa"))</f>
        <v/>
      </c>
      <c r="W148" s="10">
        <f>IF(OR(B148="",O148=""),"","Hola, "&amp;B148&amp;", ¡feliz cumpleaños! Le deseo un excelente día rodeado de quienes más quiere. Ha sido un placer acompañarle desde que estrenó su Toyota. ¡Un abrazo!"&amp;CHAR(10)&amp;CHAR(10)&amp;Config!$B$1)</f>
        <v/>
      </c>
      <c r="X148" s="11">
        <f>IF(W148="","",HYPERLINK("https://wa.me/52"&amp;C148&amp;"?text="&amp;_xlfn.ENCODEURL(W148),"Enviar felicitación"))</f>
        <v/>
      </c>
      <c r="Y148" s="10">
        <f>IF(OR(B148="",P148=""),"","Hola, "&amp;B148&amp;", hoy se cumple un año más desde que estrenó su *"&amp;D148&amp;"*. Espero que haya sido un gran compañero de camino. Cualquier cosa que necesite, aquí estoy para apoyarle."&amp;CHAR(10)&amp;CHAR(10)&amp;Config!$B$1)</f>
        <v/>
      </c>
      <c r="Z148" s="11">
        <f>IF(Y148="","",HYPERLINK("https://wa.me/52"&amp;C148&amp;"?text="&amp;_xlfn.ENCODEURL(Y148),"Enviar aniversario"))</f>
        <v/>
      </c>
      <c r="AA148" s="11" t="n"/>
      <c r="AB148" s="11">
        <f>IF(OR(B148="",AA148=""),"",HYPERLINK("https://wa.me/52"&amp;C148&amp;"?text="&amp;_xlfn.ENCODEURL(_xlfn.SWITCH(AA148,"Bienvenida (primera visita)",Q148,"Seguimiento",S148,"Aviso de Etapa",U148,"Requisitos",AC148,"Datos de Facturación",AD148,"Cumpleaños",W148,"Aniversario",Y148,"")),"Enviar mensaje seleccionado"))</f>
        <v/>
      </c>
      <c r="AC148" s="10">
        <f>IF(B148="","",_xlfn.SWITCH(F148&amp;"|"&amp;G148,"Crédito|Persona física","Hola, "&amp;B148&amp;", para continuar con el proceso de tu *"&amp;D148&amp;"* por "&amp;F148&amp;",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"&amp;B148&amp;", para continuar con el proceso de tu *"&amp;D148&amp;"* por "&amp;F148&amp;",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"&amp;B148&amp;", para continuar con el proceso de tu *"&amp;D148&amp;"* por "&amp;F148&amp;",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"&amp;B148&amp;", para continuar con el proceso de tu *"&amp;D148&amp;"* por "&amp;F148&amp;", estos son los documentos que necesitamos:"&amp;CHAR(10)&amp;CHAR(10)&amp;"- INE"&amp;CHAR(10)&amp;"- Comprobante de domicilio"&amp;CHAR(10)&amp;"- Constancia de situación fiscal (no mayor a 3 meses)","Contado|Persona física con actividad empresarial","Hola, "&amp;B148&amp;", para continuar con el proceso de tu *"&amp;D148&amp;"* por "&amp;F148&amp;", estos son los documentos que necesitamos:"&amp;CHAR(10)&amp;CHAR(10)&amp;"- INE"&amp;CHAR(10)&amp;"- Comprobante de domicilio"&amp;CHAR(10)&amp;"- Constancia de situación fiscal (no mayor a 3 meses)","Contado|Persona moral","Hola, "&amp;B148&amp;", para continuar con el proceso de tu *"&amp;D148&amp;"* por "&amp;F148&amp;",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48" s="10">
        <f>IFERROR(INDEX(Facturación!$Q:$Q,MATCH(B148,Facturación!$A:$A,0)),"")</f>
        <v/>
      </c>
    </row>
    <row r="149" ht="15" customHeight="1" s="1">
      <c r="A149" s="11">
        <f>IF(B149="","",ROW()-1)</f>
        <v/>
      </c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0">
        <f>IF(OR(B149="",L149&lt;&gt;"Sí"),"","Hola, "&amp;B149&amp;", excelente día. Le saluda *Alejandro Estrada* de Toyota Corregidora."&amp;CHAR(10)&amp;"Muchas gracias por visitarnos y conocer la *"&amp;D149&amp;"*.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49" s="11">
        <f>IF(Q149="","",HYPERLINK("https://wa.me/52"&amp;C149&amp;"?text="&amp;_xlfn.ENCODEURL(Q149),"Enviar Bienvenida"))</f>
        <v/>
      </c>
      <c r="S149" s="10">
        <f>IF(B149="","","Hola, "&amp;B149&amp;", muy buen día."&amp;CHAR(10)&amp;"Espero que esté teniendo una excelente semana. Le escribo para saber si tiene alguna duda sobre la oferta del *"&amp;D149&amp;"*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49" s="11">
        <f>IF(S149="","",HYPERLINK("https://wa.me/52"&amp;C149&amp;"?text="&amp;_xlfn.ENCODEURL(S149),"Enviar Seguimiento"))</f>
        <v/>
      </c>
      <c r="U149" s="10">
        <f>IF(B149="","",_xlfn.SWITCH(M149,"Apartado","Hola, "&amp;B149&amp;", buen día. Le confirmo que su apartado por el *"&amp;D149&amp;"* quedó registrado correctamente. Seguimos con el proceso y le mantendré informado(a) de cada paso.","Toma de vehículo","Hola, "&amp;B149&amp;", le comparto que estamos en el proceso de toma de su vehículo actual. En cuanto tengamos el resultado le aviso para continuar con el siguiente paso.","Pago vehículo a cuenta","Hola, "&amp;B149&amp;", quedamos en proceso de pago del vehículo que se toma a cuenta. Cualquier documento o aclaración que se requiera se lo haré saber por este medio.","Firma de contrato","Hola, "&amp;B149&amp;", ya estamos listos para agendar la firma de su contrato. ¿Qué día y hora se le facilita para realizarla?","Facturación","Hola, "&amp;B149&amp;", su unidad ya está en proceso de facturación. En breve le comparto los datos para su confirmación.","Programación de entrega","Hola, "&amp;B149&amp;", con gusto le comparto que ya podemos programar la entrega de su *"&amp;D149&amp;"*. ¿Qué día y hora le acomodan mejor?","Entregado","Hola, "&amp;B149&amp;", ¡muchas felicidades por estrenar su *"&amp;D149&amp;"*! Fue un gusto acompañarle en este proceso. Quedo pendiente de cualquier duda y con gusto le agendo su próxima cita de servicio cuando lo necesite.","Hola, "&amp;B149&amp;", seguimos en contacto para avanzar con el proceso de su próximo Toyota.")&amp;CHAR(10)&amp;CHAR(10)&amp;Config!$B$1)</f>
        <v/>
      </c>
      <c r="V149" s="11">
        <f>IF(U149="","",HYPERLINK("https://wa.me/52"&amp;C149&amp;"?text="&amp;_xlfn.ENCODEURL(U149),"Enviar aviso de etapa"))</f>
        <v/>
      </c>
      <c r="W149" s="10">
        <f>IF(OR(B149="",O149=""),"","Hola, "&amp;B149&amp;", ¡feliz cumpleaños! Le deseo un excelente día rodeado de quienes más quiere. Ha sido un placer acompañarle desde que estrenó su Toyota. ¡Un abrazo!"&amp;CHAR(10)&amp;CHAR(10)&amp;Config!$B$1)</f>
        <v/>
      </c>
      <c r="X149" s="11">
        <f>IF(W149="","",HYPERLINK("https://wa.me/52"&amp;C149&amp;"?text="&amp;_xlfn.ENCODEURL(W149),"Enviar felicitación"))</f>
        <v/>
      </c>
      <c r="Y149" s="10">
        <f>IF(OR(B149="",P149=""),"","Hola, "&amp;B149&amp;", hoy se cumple un año más desde que estrenó su *"&amp;D149&amp;"*. Espero que haya sido un gran compañero de camino. Cualquier cosa que necesite, aquí estoy para apoyarle."&amp;CHAR(10)&amp;CHAR(10)&amp;Config!$B$1)</f>
        <v/>
      </c>
      <c r="Z149" s="11">
        <f>IF(Y149="","",HYPERLINK("https://wa.me/52"&amp;C149&amp;"?text="&amp;_xlfn.ENCODEURL(Y149),"Enviar aniversario"))</f>
        <v/>
      </c>
      <c r="AA149" s="11" t="n"/>
      <c r="AB149" s="11">
        <f>IF(OR(B149="",AA149=""),"",HYPERLINK("https://wa.me/52"&amp;C149&amp;"?text="&amp;_xlfn.ENCODEURL(_xlfn.SWITCH(AA149,"Bienvenida (primera visita)",Q149,"Seguimiento",S149,"Aviso de Etapa",U149,"Requisitos",AC149,"Datos de Facturación",AD149,"Cumpleaños",W149,"Aniversario",Y149,"")),"Enviar mensaje seleccionado"))</f>
        <v/>
      </c>
      <c r="AC149" s="10">
        <f>IF(B149="","",_xlfn.SWITCH(F149&amp;"|"&amp;G149,"Crédito|Persona física","Hola, "&amp;B149&amp;", para continuar con el proceso de tu *"&amp;D149&amp;"* por "&amp;F149&amp;",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"&amp;B149&amp;", para continuar con el proceso de tu *"&amp;D149&amp;"* por "&amp;F149&amp;",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"&amp;B149&amp;", para continuar con el proceso de tu *"&amp;D149&amp;"* por "&amp;F149&amp;",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"&amp;B149&amp;", para continuar con el proceso de tu *"&amp;D149&amp;"* por "&amp;F149&amp;", estos son los documentos que necesitamos:"&amp;CHAR(10)&amp;CHAR(10)&amp;"- INE"&amp;CHAR(10)&amp;"- Comprobante de domicilio"&amp;CHAR(10)&amp;"- Constancia de situación fiscal (no mayor a 3 meses)","Contado|Persona física con actividad empresarial","Hola, "&amp;B149&amp;", para continuar con el proceso de tu *"&amp;D149&amp;"* por "&amp;F149&amp;", estos son los documentos que necesitamos:"&amp;CHAR(10)&amp;CHAR(10)&amp;"- INE"&amp;CHAR(10)&amp;"- Comprobante de domicilio"&amp;CHAR(10)&amp;"- Constancia de situación fiscal (no mayor a 3 meses)","Contado|Persona moral","Hola, "&amp;B149&amp;", para continuar con el proceso de tu *"&amp;D149&amp;"* por "&amp;F149&amp;",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49" s="10">
        <f>IFERROR(INDEX(Facturación!$Q:$Q,MATCH(B149,Facturación!$A:$A,0)),"")</f>
        <v/>
      </c>
    </row>
    <row r="150" ht="15" customHeight="1" s="1">
      <c r="A150" s="11">
        <f>IF(B150="","",ROW()-1)</f>
        <v/>
      </c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0">
        <f>IF(OR(B150="",L150&lt;&gt;"Sí"),"","Hola, "&amp;B150&amp;", excelente día. Le saluda *Alejandro Estrada* de Toyota Corregidora."&amp;CHAR(10)&amp;"Muchas gracias por visitarnos y conocer la *"&amp;D150&amp;"*.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50" s="11">
        <f>IF(Q150="","",HYPERLINK("https://wa.me/52"&amp;C150&amp;"?text="&amp;_xlfn.ENCODEURL(Q150),"Enviar Bienvenida"))</f>
        <v/>
      </c>
      <c r="S150" s="10">
        <f>IF(B150="","","Hola, "&amp;B150&amp;", muy buen día."&amp;CHAR(10)&amp;"Espero que esté teniendo una excelente semana. Le escribo para saber si tiene alguna duda sobre la oferta del *"&amp;D150&amp;"*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50" s="11">
        <f>IF(S150="","",HYPERLINK("https://wa.me/52"&amp;C150&amp;"?text="&amp;_xlfn.ENCODEURL(S150),"Enviar Seguimiento"))</f>
        <v/>
      </c>
      <c r="U150" s="10">
        <f>IF(B150="","",_xlfn.SWITCH(M150,"Apartado","Hola, "&amp;B150&amp;", buen día. Le confirmo que su apartado por el *"&amp;D150&amp;"* quedó registrado correctamente. Seguimos con el proceso y le mantendré informado(a) de cada paso.","Toma de vehículo","Hola, "&amp;B150&amp;", le comparto que estamos en el proceso de toma de su vehículo actual. En cuanto tengamos el resultado le aviso para continuar con el siguiente paso.","Pago vehículo a cuenta","Hola, "&amp;B150&amp;", quedamos en proceso de pago del vehículo que se toma a cuenta. Cualquier documento o aclaración que se requiera se lo haré saber por este medio.","Firma de contrato","Hola, "&amp;B150&amp;", ya estamos listos para agendar la firma de su contrato. ¿Qué día y hora se le facilita para realizarla?","Facturación","Hola, "&amp;B150&amp;", su unidad ya está en proceso de facturación. En breve le comparto los datos para su confirmación.","Programación de entrega","Hola, "&amp;B150&amp;", con gusto le comparto que ya podemos programar la entrega de su *"&amp;D150&amp;"*. ¿Qué día y hora le acomodan mejor?","Entregado","Hola, "&amp;B150&amp;", ¡muchas felicidades por estrenar su *"&amp;D150&amp;"*! Fue un gusto acompañarle en este proceso. Quedo pendiente de cualquier duda y con gusto le agendo su próxima cita de servicio cuando lo necesite.","Hola, "&amp;B150&amp;", seguimos en contacto para avanzar con el proceso de su próximo Toyota.")&amp;CHAR(10)&amp;CHAR(10)&amp;Config!$B$1)</f>
        <v/>
      </c>
      <c r="V150" s="11">
        <f>IF(U150="","",HYPERLINK("https://wa.me/52"&amp;C150&amp;"?text="&amp;_xlfn.ENCODEURL(U150),"Enviar aviso de etapa"))</f>
        <v/>
      </c>
      <c r="W150" s="10">
        <f>IF(OR(B150="",O150=""),"","Hola, "&amp;B150&amp;", ¡feliz cumpleaños! Le deseo un excelente día rodeado de quienes más quiere. Ha sido un placer acompañarle desde que estrenó su Toyota. ¡Un abrazo!"&amp;CHAR(10)&amp;CHAR(10)&amp;Config!$B$1)</f>
        <v/>
      </c>
      <c r="X150" s="11">
        <f>IF(W150="","",HYPERLINK("https://wa.me/52"&amp;C150&amp;"?text="&amp;_xlfn.ENCODEURL(W150),"Enviar felicitación"))</f>
        <v/>
      </c>
      <c r="Y150" s="10">
        <f>IF(OR(B150="",P150=""),"","Hola, "&amp;B150&amp;", hoy se cumple un año más desde que estrenó su *"&amp;D150&amp;"*. Espero que haya sido un gran compañero de camino. Cualquier cosa que necesite, aquí estoy para apoyarle."&amp;CHAR(10)&amp;CHAR(10)&amp;Config!$B$1)</f>
        <v/>
      </c>
      <c r="Z150" s="11">
        <f>IF(Y150="","",HYPERLINK("https://wa.me/52"&amp;C150&amp;"?text="&amp;_xlfn.ENCODEURL(Y150),"Enviar aniversario"))</f>
        <v/>
      </c>
      <c r="AA150" s="11" t="n"/>
      <c r="AB150" s="11">
        <f>IF(OR(B150="",AA150=""),"",HYPERLINK("https://wa.me/52"&amp;C150&amp;"?text="&amp;_xlfn.ENCODEURL(_xlfn.SWITCH(AA150,"Bienvenida (primera visita)",Q150,"Seguimiento",S150,"Aviso de Etapa",U150,"Requisitos",AC150,"Datos de Facturación",AD150,"Cumpleaños",W150,"Aniversario",Y150,"")),"Enviar mensaje seleccionado"))</f>
        <v/>
      </c>
      <c r="AC150" s="10">
        <f>IF(B150="","",_xlfn.SWITCH(F150&amp;"|"&amp;G150,"Crédito|Persona física","Hola, "&amp;B150&amp;", para continuar con el proceso de tu *"&amp;D150&amp;"* por "&amp;F150&amp;",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"&amp;B150&amp;", para continuar con el proceso de tu *"&amp;D150&amp;"* por "&amp;F150&amp;",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"&amp;B150&amp;", para continuar con el proceso de tu *"&amp;D150&amp;"* por "&amp;F150&amp;",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"&amp;B150&amp;", para continuar con el proceso de tu *"&amp;D150&amp;"* por "&amp;F150&amp;", estos son los documentos que necesitamos:"&amp;CHAR(10)&amp;CHAR(10)&amp;"- INE"&amp;CHAR(10)&amp;"- Comprobante de domicilio"&amp;CHAR(10)&amp;"- Constancia de situación fiscal (no mayor a 3 meses)","Contado|Persona física con actividad empresarial","Hola, "&amp;B150&amp;", para continuar con el proceso de tu *"&amp;D150&amp;"* por "&amp;F150&amp;", estos son los documentos que necesitamos:"&amp;CHAR(10)&amp;CHAR(10)&amp;"- INE"&amp;CHAR(10)&amp;"- Comprobante de domicilio"&amp;CHAR(10)&amp;"- Constancia de situación fiscal (no mayor a 3 meses)","Contado|Persona moral","Hola, "&amp;B150&amp;", para continuar con el proceso de tu *"&amp;D150&amp;"* por "&amp;F150&amp;",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50" s="10">
        <f>IFERROR(INDEX(Facturación!$Q:$Q,MATCH(B150,Facturación!$A:$A,0)),"")</f>
        <v/>
      </c>
    </row>
    <row r="151" ht="15" customHeight="1" s="1">
      <c r="A151" s="11">
        <f>IF(B151="","",ROW()-1)</f>
        <v/>
      </c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0">
        <f>IF(OR(B151="",L151&lt;&gt;"Sí"),"","Hola, "&amp;B151&amp;", excelente día. Le saluda *Alejandro Estrada* de Toyota Corregidora."&amp;CHAR(10)&amp;"Muchas gracias por visitarnos y conocer la *"&amp;D151&amp;"*.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51" s="11">
        <f>IF(Q151="","",HYPERLINK("https://wa.me/52"&amp;C151&amp;"?text="&amp;_xlfn.ENCODEURL(Q151),"Enviar Bienvenida"))</f>
        <v/>
      </c>
      <c r="S151" s="10">
        <f>IF(B151="","","Hola, "&amp;B151&amp;", muy buen día."&amp;CHAR(10)&amp;"Espero que esté teniendo una excelente semana. Le escribo para saber si tiene alguna duda sobre la oferta del *"&amp;D151&amp;"*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51" s="11">
        <f>IF(S151="","",HYPERLINK("https://wa.me/52"&amp;C151&amp;"?text="&amp;_xlfn.ENCODEURL(S151),"Enviar Seguimiento"))</f>
        <v/>
      </c>
      <c r="U151" s="10">
        <f>IF(B151="","",_xlfn.SWITCH(M151,"Apartado","Hola, "&amp;B151&amp;", buen día. Le confirmo que su apartado por el *"&amp;D151&amp;"* quedó registrado correctamente. Seguimos con el proceso y le mantendré informado(a) de cada paso.","Toma de vehículo","Hola, "&amp;B151&amp;", le comparto que estamos en el proceso de toma de su vehículo actual. En cuanto tengamos el resultado le aviso para continuar con el siguiente paso.","Pago vehículo a cuenta","Hola, "&amp;B151&amp;", quedamos en proceso de pago del vehículo que se toma a cuenta. Cualquier documento o aclaración que se requiera se lo haré saber por este medio.","Firma de contrato","Hola, "&amp;B151&amp;", ya estamos listos para agendar la firma de su contrato. ¿Qué día y hora se le facilita para realizarla?","Facturación","Hola, "&amp;B151&amp;", su unidad ya está en proceso de facturación. En breve le comparto los datos para su confirmación.","Programación de entrega","Hola, "&amp;B151&amp;", con gusto le comparto que ya podemos programar la entrega de su *"&amp;D151&amp;"*. ¿Qué día y hora le acomodan mejor?","Entregado","Hola, "&amp;B151&amp;", ¡muchas felicidades por estrenar su *"&amp;D151&amp;"*! Fue un gusto acompañarle en este proceso. Quedo pendiente de cualquier duda y con gusto le agendo su próxima cita de servicio cuando lo necesite.","Hola, "&amp;B151&amp;", seguimos en contacto para avanzar con el proceso de su próximo Toyota.")&amp;CHAR(10)&amp;CHAR(10)&amp;Config!$B$1)</f>
        <v/>
      </c>
      <c r="V151" s="11">
        <f>IF(U151="","",HYPERLINK("https://wa.me/52"&amp;C151&amp;"?text="&amp;_xlfn.ENCODEURL(U151),"Enviar aviso de etapa"))</f>
        <v/>
      </c>
      <c r="W151" s="10">
        <f>IF(OR(B151="",O151=""),"","Hola, "&amp;B151&amp;", ¡feliz cumpleaños! Le deseo un excelente día rodeado de quienes más quiere. Ha sido un placer acompañarle desde que estrenó su Toyota. ¡Un abrazo!"&amp;CHAR(10)&amp;CHAR(10)&amp;Config!$B$1)</f>
        <v/>
      </c>
      <c r="X151" s="11">
        <f>IF(W151="","",HYPERLINK("https://wa.me/52"&amp;C151&amp;"?text="&amp;_xlfn.ENCODEURL(W151),"Enviar felicitación"))</f>
        <v/>
      </c>
      <c r="Y151" s="10">
        <f>IF(OR(B151="",P151=""),"","Hola, "&amp;B151&amp;", hoy se cumple un año más desde que estrenó su *"&amp;D151&amp;"*. Espero que haya sido un gran compañero de camino. Cualquier cosa que necesite, aquí estoy para apoyarle."&amp;CHAR(10)&amp;CHAR(10)&amp;Config!$B$1)</f>
        <v/>
      </c>
      <c r="Z151" s="11">
        <f>IF(Y151="","",HYPERLINK("https://wa.me/52"&amp;C151&amp;"?text="&amp;_xlfn.ENCODEURL(Y151),"Enviar aniversario"))</f>
        <v/>
      </c>
      <c r="AA151" s="11" t="n"/>
      <c r="AB151" s="11">
        <f>IF(OR(B151="",AA151=""),"",HYPERLINK("https://wa.me/52"&amp;C151&amp;"?text="&amp;_xlfn.ENCODEURL(_xlfn.SWITCH(AA151,"Bienvenida (primera visita)",Q151,"Seguimiento",S151,"Aviso de Etapa",U151,"Requisitos",AC151,"Datos de Facturación",AD151,"Cumpleaños",W151,"Aniversario",Y151,"")),"Enviar mensaje seleccionado"))</f>
        <v/>
      </c>
      <c r="AC151" s="10">
        <f>IF(B151="","",_xlfn.SWITCH(F151&amp;"|"&amp;G151,"Crédito|Persona física","Hola, "&amp;B151&amp;", para continuar con el proceso de tu *"&amp;D151&amp;"* por "&amp;F151&amp;",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"&amp;B151&amp;", para continuar con el proceso de tu *"&amp;D151&amp;"* por "&amp;F151&amp;",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"&amp;B151&amp;", para continuar con el proceso de tu *"&amp;D151&amp;"* por "&amp;F151&amp;",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"&amp;B151&amp;", para continuar con el proceso de tu *"&amp;D151&amp;"* por "&amp;F151&amp;", estos son los documentos que necesitamos:"&amp;CHAR(10)&amp;CHAR(10)&amp;"- INE"&amp;CHAR(10)&amp;"- Comprobante de domicilio"&amp;CHAR(10)&amp;"- Constancia de situación fiscal (no mayor a 3 meses)","Contado|Persona física con actividad empresarial","Hola, "&amp;B151&amp;", para continuar con el proceso de tu *"&amp;D151&amp;"* por "&amp;F151&amp;", estos son los documentos que necesitamos:"&amp;CHAR(10)&amp;CHAR(10)&amp;"- INE"&amp;CHAR(10)&amp;"- Comprobante de domicilio"&amp;CHAR(10)&amp;"- Constancia de situación fiscal (no mayor a 3 meses)","Contado|Persona moral","Hola, "&amp;B151&amp;", para continuar con el proceso de tu *"&amp;D151&amp;"* por "&amp;F151&amp;",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51" s="10">
        <f>IFERROR(INDEX(Facturación!$Q:$Q,MATCH(B151,Facturación!$A:$A,0)),"")</f>
        <v/>
      </c>
    </row>
    <row r="152" ht="15" customHeight="1" s="1">
      <c r="A152" s="11">
        <f>IF(B152="","",ROW()-1)</f>
        <v/>
      </c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0">
        <f>IF(OR(B152="",L152&lt;&gt;"Sí"),"","Hola, "&amp;B152&amp;", excelente día. Le saluda *Alejandro Estrada* de Toyota Corregidora."&amp;CHAR(10)&amp;"Muchas gracias por visitarnos y conocer la *"&amp;D152&amp;"*.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52" s="11">
        <f>IF(Q152="","",HYPERLINK("https://wa.me/52"&amp;C152&amp;"?text="&amp;_xlfn.ENCODEURL(Q152),"Enviar Bienvenida"))</f>
        <v/>
      </c>
      <c r="S152" s="10">
        <f>IF(B152="","","Hola, "&amp;B152&amp;", muy buen día."&amp;CHAR(10)&amp;"Espero que esté teniendo una excelente semana. Le escribo para saber si tiene alguna duda sobre la oferta del *"&amp;D152&amp;"*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52" s="11">
        <f>IF(S152="","",HYPERLINK("https://wa.me/52"&amp;C152&amp;"?text="&amp;_xlfn.ENCODEURL(S152),"Enviar Seguimiento"))</f>
        <v/>
      </c>
      <c r="U152" s="10">
        <f>IF(B152="","",_xlfn.SWITCH(M152,"Apartado","Hola, "&amp;B152&amp;", buen día. Le confirmo que su apartado por el *"&amp;D152&amp;"* quedó registrado correctamente. Seguimos con el proceso y le mantendré informado(a) de cada paso.","Toma de vehículo","Hola, "&amp;B152&amp;", le comparto que estamos en el proceso de toma de su vehículo actual. En cuanto tengamos el resultado le aviso para continuar con el siguiente paso.","Pago vehículo a cuenta","Hola, "&amp;B152&amp;", quedamos en proceso de pago del vehículo que se toma a cuenta. Cualquier documento o aclaración que se requiera se lo haré saber por este medio.","Firma de contrato","Hola, "&amp;B152&amp;", ya estamos listos para agendar la firma de su contrato. ¿Qué día y hora se le facilita para realizarla?","Facturación","Hola, "&amp;B152&amp;", su unidad ya está en proceso de facturación. En breve le comparto los datos para su confirmación.","Programación de entrega","Hola, "&amp;B152&amp;", con gusto le comparto que ya podemos programar la entrega de su *"&amp;D152&amp;"*. ¿Qué día y hora le acomodan mejor?","Entregado","Hola, "&amp;B152&amp;", ¡muchas felicidades por estrenar su *"&amp;D152&amp;"*! Fue un gusto acompañarle en este proceso. Quedo pendiente de cualquier duda y con gusto le agendo su próxima cita de servicio cuando lo necesite.","Hola, "&amp;B152&amp;", seguimos en contacto para avanzar con el proceso de su próximo Toyota.")&amp;CHAR(10)&amp;CHAR(10)&amp;Config!$B$1)</f>
        <v/>
      </c>
      <c r="V152" s="11">
        <f>IF(U152="","",HYPERLINK("https://wa.me/52"&amp;C152&amp;"?text="&amp;_xlfn.ENCODEURL(U152),"Enviar aviso de etapa"))</f>
        <v/>
      </c>
      <c r="W152" s="10">
        <f>IF(OR(B152="",O152=""),"","Hola, "&amp;B152&amp;", ¡feliz cumpleaños! Le deseo un excelente día rodeado de quienes más quiere. Ha sido un placer acompañarle desde que estrenó su Toyota. ¡Un abrazo!"&amp;CHAR(10)&amp;CHAR(10)&amp;Config!$B$1)</f>
        <v/>
      </c>
      <c r="X152" s="11">
        <f>IF(W152="","",HYPERLINK("https://wa.me/52"&amp;C152&amp;"?text="&amp;_xlfn.ENCODEURL(W152),"Enviar felicitación"))</f>
        <v/>
      </c>
      <c r="Y152" s="10">
        <f>IF(OR(B152="",P152=""),"","Hola, "&amp;B152&amp;", hoy se cumple un año más desde que estrenó su *"&amp;D152&amp;"*. Espero que haya sido un gran compañero de camino. Cualquier cosa que necesite, aquí estoy para apoyarle."&amp;CHAR(10)&amp;CHAR(10)&amp;Config!$B$1)</f>
        <v/>
      </c>
      <c r="Z152" s="11">
        <f>IF(Y152="","",HYPERLINK("https://wa.me/52"&amp;C152&amp;"?text="&amp;_xlfn.ENCODEURL(Y152),"Enviar aniversario"))</f>
        <v/>
      </c>
      <c r="AA152" s="11" t="n"/>
      <c r="AB152" s="11">
        <f>IF(OR(B152="",AA152=""),"",HYPERLINK("https://wa.me/52"&amp;C152&amp;"?text="&amp;_xlfn.ENCODEURL(_xlfn.SWITCH(AA152,"Bienvenida (primera visita)",Q152,"Seguimiento",S152,"Aviso de Etapa",U152,"Requisitos",AC152,"Datos de Facturación",AD152,"Cumpleaños",W152,"Aniversario",Y152,"")),"Enviar mensaje seleccionado"))</f>
        <v/>
      </c>
      <c r="AC152" s="10">
        <f>IF(B152="","",_xlfn.SWITCH(F152&amp;"|"&amp;G152,"Crédito|Persona física","Hola, "&amp;B152&amp;", para continuar con el proceso de tu *"&amp;D152&amp;"* por "&amp;F152&amp;",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"&amp;B152&amp;", para continuar con el proceso de tu *"&amp;D152&amp;"* por "&amp;F152&amp;",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"&amp;B152&amp;", para continuar con el proceso de tu *"&amp;D152&amp;"* por "&amp;F152&amp;",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"&amp;B152&amp;", para continuar con el proceso de tu *"&amp;D152&amp;"* por "&amp;F152&amp;", estos son los documentos que necesitamos:"&amp;CHAR(10)&amp;CHAR(10)&amp;"- INE"&amp;CHAR(10)&amp;"- Comprobante de domicilio"&amp;CHAR(10)&amp;"- Constancia de situación fiscal (no mayor a 3 meses)","Contado|Persona física con actividad empresarial","Hola, "&amp;B152&amp;", para continuar con el proceso de tu *"&amp;D152&amp;"* por "&amp;F152&amp;", estos son los documentos que necesitamos:"&amp;CHAR(10)&amp;CHAR(10)&amp;"- INE"&amp;CHAR(10)&amp;"- Comprobante de domicilio"&amp;CHAR(10)&amp;"- Constancia de situación fiscal (no mayor a 3 meses)","Contado|Persona moral","Hola, "&amp;B152&amp;", para continuar con el proceso de tu *"&amp;D152&amp;"* por "&amp;F152&amp;",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52" s="10">
        <f>IFERROR(INDEX(Facturación!$Q:$Q,MATCH(B152,Facturación!$A:$A,0)),"")</f>
        <v/>
      </c>
    </row>
    <row r="153" ht="15" customHeight="1" s="1">
      <c r="A153" s="11">
        <f>IF(B153="","",ROW()-1)</f>
        <v/>
      </c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0">
        <f>IF(OR(B153="",L153&lt;&gt;"Sí"),"","Hola, "&amp;B153&amp;", excelente día. Le saluda *Alejandro Estrada* de Toyota Corregidora."&amp;CHAR(10)&amp;"Muchas gracias por visitarnos y conocer la *"&amp;D153&amp;"*.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53" s="11">
        <f>IF(Q153="","",HYPERLINK("https://wa.me/52"&amp;C153&amp;"?text="&amp;_xlfn.ENCODEURL(Q153),"Enviar Bienvenida"))</f>
        <v/>
      </c>
      <c r="S153" s="10">
        <f>IF(B153="","","Hola, "&amp;B153&amp;", muy buen día."&amp;CHAR(10)&amp;"Espero que esté teniendo una excelente semana. Le escribo para saber si tiene alguna duda sobre la oferta del *"&amp;D153&amp;"*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53" s="11">
        <f>IF(S153="","",HYPERLINK("https://wa.me/52"&amp;C153&amp;"?text="&amp;_xlfn.ENCODEURL(S153),"Enviar Seguimiento"))</f>
        <v/>
      </c>
      <c r="U153" s="10">
        <f>IF(B153="","",_xlfn.SWITCH(M153,"Apartado","Hola, "&amp;B153&amp;", buen día. Le confirmo que su apartado por el *"&amp;D153&amp;"* quedó registrado correctamente. Seguimos con el proceso y le mantendré informado(a) de cada paso.","Toma de vehículo","Hola, "&amp;B153&amp;", le comparto que estamos en el proceso de toma de su vehículo actual. En cuanto tengamos el resultado le aviso para continuar con el siguiente paso.","Pago vehículo a cuenta","Hola, "&amp;B153&amp;", quedamos en proceso de pago del vehículo que se toma a cuenta. Cualquier documento o aclaración que se requiera se lo haré saber por este medio.","Firma de contrato","Hola, "&amp;B153&amp;", ya estamos listos para agendar la firma de su contrato. ¿Qué día y hora se le facilita para realizarla?","Facturación","Hola, "&amp;B153&amp;", su unidad ya está en proceso de facturación. En breve le comparto los datos para su confirmación.","Programación de entrega","Hola, "&amp;B153&amp;", con gusto le comparto que ya podemos programar la entrega de su *"&amp;D153&amp;"*. ¿Qué día y hora le acomodan mejor?","Entregado","Hola, "&amp;B153&amp;", ¡muchas felicidades por estrenar su *"&amp;D153&amp;"*! Fue un gusto acompañarle en este proceso. Quedo pendiente de cualquier duda y con gusto le agendo su próxima cita de servicio cuando lo necesite.","Hola, "&amp;B153&amp;", seguimos en contacto para avanzar con el proceso de su próximo Toyota.")&amp;CHAR(10)&amp;CHAR(10)&amp;Config!$B$1)</f>
        <v/>
      </c>
      <c r="V153" s="11">
        <f>IF(U153="","",HYPERLINK("https://wa.me/52"&amp;C153&amp;"?text="&amp;_xlfn.ENCODEURL(U153),"Enviar aviso de etapa"))</f>
        <v/>
      </c>
      <c r="W153" s="10">
        <f>IF(OR(B153="",O153=""),"","Hola, "&amp;B153&amp;", ¡feliz cumpleaños! Le deseo un excelente día rodeado de quienes más quiere. Ha sido un placer acompañarle desde que estrenó su Toyota. ¡Un abrazo!"&amp;CHAR(10)&amp;CHAR(10)&amp;Config!$B$1)</f>
        <v/>
      </c>
      <c r="X153" s="11">
        <f>IF(W153="","",HYPERLINK("https://wa.me/52"&amp;C153&amp;"?text="&amp;_xlfn.ENCODEURL(W153),"Enviar felicitación"))</f>
        <v/>
      </c>
      <c r="Y153" s="10">
        <f>IF(OR(B153="",P153=""),"","Hola, "&amp;B153&amp;", hoy se cumple un año más desde que estrenó su *"&amp;D153&amp;"*. Espero que haya sido un gran compañero de camino. Cualquier cosa que necesite, aquí estoy para apoyarle."&amp;CHAR(10)&amp;CHAR(10)&amp;Config!$B$1)</f>
        <v/>
      </c>
      <c r="Z153" s="11">
        <f>IF(Y153="","",HYPERLINK("https://wa.me/52"&amp;C153&amp;"?text="&amp;_xlfn.ENCODEURL(Y153),"Enviar aniversario"))</f>
        <v/>
      </c>
      <c r="AA153" s="11" t="n"/>
      <c r="AB153" s="11">
        <f>IF(OR(B153="",AA153=""),"",HYPERLINK("https://wa.me/52"&amp;C153&amp;"?text="&amp;_xlfn.ENCODEURL(_xlfn.SWITCH(AA153,"Bienvenida (primera visita)",Q153,"Seguimiento",S153,"Aviso de Etapa",U153,"Requisitos",AC153,"Datos de Facturación",AD153,"Cumpleaños",W153,"Aniversario",Y153,"")),"Enviar mensaje seleccionado"))</f>
        <v/>
      </c>
      <c r="AC153" s="10">
        <f>IF(B153="","",_xlfn.SWITCH(F153&amp;"|"&amp;G153,"Crédito|Persona física","Hola, "&amp;B153&amp;", para continuar con el proceso de tu *"&amp;D153&amp;"* por "&amp;F153&amp;",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"&amp;B153&amp;", para continuar con el proceso de tu *"&amp;D153&amp;"* por "&amp;F153&amp;",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"&amp;B153&amp;", para continuar con el proceso de tu *"&amp;D153&amp;"* por "&amp;F153&amp;",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"&amp;B153&amp;", para continuar con el proceso de tu *"&amp;D153&amp;"* por "&amp;F153&amp;", estos son los documentos que necesitamos:"&amp;CHAR(10)&amp;CHAR(10)&amp;"- INE"&amp;CHAR(10)&amp;"- Comprobante de domicilio"&amp;CHAR(10)&amp;"- Constancia de situación fiscal (no mayor a 3 meses)","Contado|Persona física con actividad empresarial","Hola, "&amp;B153&amp;", para continuar con el proceso de tu *"&amp;D153&amp;"* por "&amp;F153&amp;", estos son los documentos que necesitamos:"&amp;CHAR(10)&amp;CHAR(10)&amp;"- INE"&amp;CHAR(10)&amp;"- Comprobante de domicilio"&amp;CHAR(10)&amp;"- Constancia de situación fiscal (no mayor a 3 meses)","Contado|Persona moral","Hola, "&amp;B153&amp;", para continuar con el proceso de tu *"&amp;D153&amp;"* por "&amp;F153&amp;",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53" s="10">
        <f>IFERROR(INDEX(Facturación!$Q:$Q,MATCH(B153,Facturación!$A:$A,0)),"")</f>
        <v/>
      </c>
    </row>
    <row r="154" ht="15" customHeight="1" s="1">
      <c r="A154" s="11">
        <f>IF(B154="","",ROW()-1)</f>
        <v/>
      </c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0">
        <f>IF(OR(B154="",L154&lt;&gt;"Sí"),"","Hola, "&amp;B154&amp;", excelente día. Le saluda *Alejandro Estrada* de Toyota Corregidora."&amp;CHAR(10)&amp;"Muchas gracias por visitarnos y conocer la *"&amp;D154&amp;"*.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54" s="11">
        <f>IF(Q154="","",HYPERLINK("https://wa.me/52"&amp;C154&amp;"?text="&amp;_xlfn.ENCODEURL(Q154),"Enviar Bienvenida"))</f>
        <v/>
      </c>
      <c r="S154" s="10">
        <f>IF(B154="","","Hola, "&amp;B154&amp;", muy buen día."&amp;CHAR(10)&amp;"Espero que esté teniendo una excelente semana. Le escribo para saber si tiene alguna duda sobre la oferta del *"&amp;D154&amp;"*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54" s="11">
        <f>IF(S154="","",HYPERLINK("https://wa.me/52"&amp;C154&amp;"?text="&amp;_xlfn.ENCODEURL(S154),"Enviar Seguimiento"))</f>
        <v/>
      </c>
      <c r="U154" s="10">
        <f>IF(B154="","",_xlfn.SWITCH(M154,"Apartado","Hola, "&amp;B154&amp;", buen día. Le confirmo que su apartado por el *"&amp;D154&amp;"* quedó registrado correctamente. Seguimos con el proceso y le mantendré informado(a) de cada paso.","Toma de vehículo","Hola, "&amp;B154&amp;", le comparto que estamos en el proceso de toma de su vehículo actual. En cuanto tengamos el resultado le aviso para continuar con el siguiente paso.","Pago vehículo a cuenta","Hola, "&amp;B154&amp;", quedamos en proceso de pago del vehículo que se toma a cuenta. Cualquier documento o aclaración que se requiera se lo haré saber por este medio.","Firma de contrato","Hola, "&amp;B154&amp;", ya estamos listos para agendar la firma de su contrato. ¿Qué día y hora se le facilita para realizarla?","Facturación","Hola, "&amp;B154&amp;", su unidad ya está en proceso de facturación. En breve le comparto los datos para su confirmación.","Programación de entrega","Hola, "&amp;B154&amp;", con gusto le comparto que ya podemos programar la entrega de su *"&amp;D154&amp;"*. ¿Qué día y hora le acomodan mejor?","Entregado","Hola, "&amp;B154&amp;", ¡muchas felicidades por estrenar su *"&amp;D154&amp;"*! Fue un gusto acompañarle en este proceso. Quedo pendiente de cualquier duda y con gusto le agendo su próxima cita de servicio cuando lo necesite.","Hola, "&amp;B154&amp;", seguimos en contacto para avanzar con el proceso de su próximo Toyota.")&amp;CHAR(10)&amp;CHAR(10)&amp;Config!$B$1)</f>
        <v/>
      </c>
      <c r="V154" s="11">
        <f>IF(U154="","",HYPERLINK("https://wa.me/52"&amp;C154&amp;"?text="&amp;_xlfn.ENCODEURL(U154),"Enviar aviso de etapa"))</f>
        <v/>
      </c>
      <c r="W154" s="10">
        <f>IF(OR(B154="",O154=""),"","Hola, "&amp;B154&amp;", ¡feliz cumpleaños! Le deseo un excelente día rodeado de quienes más quiere. Ha sido un placer acompañarle desde que estrenó su Toyota. ¡Un abrazo!"&amp;CHAR(10)&amp;CHAR(10)&amp;Config!$B$1)</f>
        <v/>
      </c>
      <c r="X154" s="11">
        <f>IF(W154="","",HYPERLINK("https://wa.me/52"&amp;C154&amp;"?text="&amp;_xlfn.ENCODEURL(W154),"Enviar felicitación"))</f>
        <v/>
      </c>
      <c r="Y154" s="10">
        <f>IF(OR(B154="",P154=""),"","Hola, "&amp;B154&amp;", hoy se cumple un año más desde que estrenó su *"&amp;D154&amp;"*. Espero que haya sido un gran compañero de camino. Cualquier cosa que necesite, aquí estoy para apoyarle."&amp;CHAR(10)&amp;CHAR(10)&amp;Config!$B$1)</f>
        <v/>
      </c>
      <c r="Z154" s="11">
        <f>IF(Y154="","",HYPERLINK("https://wa.me/52"&amp;C154&amp;"?text="&amp;_xlfn.ENCODEURL(Y154),"Enviar aniversario"))</f>
        <v/>
      </c>
      <c r="AA154" s="11" t="n"/>
      <c r="AB154" s="11">
        <f>IF(OR(B154="",AA154=""),"",HYPERLINK("https://wa.me/52"&amp;C154&amp;"?text="&amp;_xlfn.ENCODEURL(_xlfn.SWITCH(AA154,"Bienvenida (primera visita)",Q154,"Seguimiento",S154,"Aviso de Etapa",U154,"Requisitos",AC154,"Datos de Facturación",AD154,"Cumpleaños",W154,"Aniversario",Y154,"")),"Enviar mensaje seleccionado"))</f>
        <v/>
      </c>
      <c r="AC154" s="10">
        <f>IF(B154="","",_xlfn.SWITCH(F154&amp;"|"&amp;G154,"Crédito|Persona física","Hola, "&amp;B154&amp;", para continuar con el proceso de tu *"&amp;D154&amp;"* por "&amp;F154&amp;",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"&amp;B154&amp;", para continuar con el proceso de tu *"&amp;D154&amp;"* por "&amp;F154&amp;",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"&amp;B154&amp;", para continuar con el proceso de tu *"&amp;D154&amp;"* por "&amp;F154&amp;",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"&amp;B154&amp;", para continuar con el proceso de tu *"&amp;D154&amp;"* por "&amp;F154&amp;", estos son los documentos que necesitamos:"&amp;CHAR(10)&amp;CHAR(10)&amp;"- INE"&amp;CHAR(10)&amp;"- Comprobante de domicilio"&amp;CHAR(10)&amp;"- Constancia de situación fiscal (no mayor a 3 meses)","Contado|Persona física con actividad empresarial","Hola, "&amp;B154&amp;", para continuar con el proceso de tu *"&amp;D154&amp;"* por "&amp;F154&amp;", estos son los documentos que necesitamos:"&amp;CHAR(10)&amp;CHAR(10)&amp;"- INE"&amp;CHAR(10)&amp;"- Comprobante de domicilio"&amp;CHAR(10)&amp;"- Constancia de situación fiscal (no mayor a 3 meses)","Contado|Persona moral","Hola, "&amp;B154&amp;", para continuar con el proceso de tu *"&amp;D154&amp;"* por "&amp;F154&amp;",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54" s="10">
        <f>IFERROR(INDEX(Facturación!$Q:$Q,MATCH(B154,Facturación!$A:$A,0)),"")</f>
        <v/>
      </c>
    </row>
    <row r="155" ht="15" customHeight="1" s="1">
      <c r="A155" s="11">
        <f>IF(B155="","",ROW()-1)</f>
        <v/>
      </c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0">
        <f>IF(OR(B155="",L155&lt;&gt;"Sí"),"","Hola, "&amp;B155&amp;", excelente día. Le saluda *Alejandro Estrada* de Toyota Corregidora."&amp;CHAR(10)&amp;"Muchas gracias por visitarnos y conocer la *"&amp;D155&amp;"*.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55" s="11">
        <f>IF(Q155="","",HYPERLINK("https://wa.me/52"&amp;C155&amp;"?text="&amp;_xlfn.ENCODEURL(Q155),"Enviar Bienvenida"))</f>
        <v/>
      </c>
      <c r="S155" s="10">
        <f>IF(B155="","","Hola, "&amp;B155&amp;", muy buen día."&amp;CHAR(10)&amp;"Espero que esté teniendo una excelente semana. Le escribo para saber si tiene alguna duda sobre la oferta del *"&amp;D155&amp;"*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55" s="11">
        <f>IF(S155="","",HYPERLINK("https://wa.me/52"&amp;C155&amp;"?text="&amp;_xlfn.ENCODEURL(S155),"Enviar Seguimiento"))</f>
        <v/>
      </c>
      <c r="U155" s="10">
        <f>IF(B155="","",_xlfn.SWITCH(M155,"Apartado","Hola, "&amp;B155&amp;", buen día. Le confirmo que su apartado por el *"&amp;D155&amp;"* quedó registrado correctamente. Seguimos con el proceso y le mantendré informado(a) de cada paso.","Toma de vehículo","Hola, "&amp;B155&amp;", le comparto que estamos en el proceso de toma de su vehículo actual. En cuanto tengamos el resultado le aviso para continuar con el siguiente paso.","Pago vehículo a cuenta","Hola, "&amp;B155&amp;", quedamos en proceso de pago del vehículo que se toma a cuenta. Cualquier documento o aclaración que se requiera se lo haré saber por este medio.","Firma de contrato","Hola, "&amp;B155&amp;", ya estamos listos para agendar la firma de su contrato. ¿Qué día y hora se le facilita para realizarla?","Facturación","Hola, "&amp;B155&amp;", su unidad ya está en proceso de facturación. En breve le comparto los datos para su confirmación.","Programación de entrega","Hola, "&amp;B155&amp;", con gusto le comparto que ya podemos programar la entrega de su *"&amp;D155&amp;"*. ¿Qué día y hora le acomodan mejor?","Entregado","Hola, "&amp;B155&amp;", ¡muchas felicidades por estrenar su *"&amp;D155&amp;"*! Fue un gusto acompañarle en este proceso. Quedo pendiente de cualquier duda y con gusto le agendo su próxima cita de servicio cuando lo necesite.","Hola, "&amp;B155&amp;", seguimos en contacto para avanzar con el proceso de su próximo Toyota.")&amp;CHAR(10)&amp;CHAR(10)&amp;Config!$B$1)</f>
        <v/>
      </c>
      <c r="V155" s="11">
        <f>IF(U155="","",HYPERLINK("https://wa.me/52"&amp;C155&amp;"?text="&amp;_xlfn.ENCODEURL(U155),"Enviar aviso de etapa"))</f>
        <v/>
      </c>
      <c r="W155" s="10">
        <f>IF(OR(B155="",O155=""),"","Hola, "&amp;B155&amp;", ¡feliz cumpleaños! Le deseo un excelente día rodeado de quienes más quiere. Ha sido un placer acompañarle desde que estrenó su Toyota. ¡Un abrazo!"&amp;CHAR(10)&amp;CHAR(10)&amp;Config!$B$1)</f>
        <v/>
      </c>
      <c r="X155" s="11">
        <f>IF(W155="","",HYPERLINK("https://wa.me/52"&amp;C155&amp;"?text="&amp;_xlfn.ENCODEURL(W155),"Enviar felicitación"))</f>
        <v/>
      </c>
      <c r="Y155" s="10">
        <f>IF(OR(B155="",P155=""),"","Hola, "&amp;B155&amp;", hoy se cumple un año más desde que estrenó su *"&amp;D155&amp;"*. Espero que haya sido un gran compañero de camino. Cualquier cosa que necesite, aquí estoy para apoyarle."&amp;CHAR(10)&amp;CHAR(10)&amp;Config!$B$1)</f>
        <v/>
      </c>
      <c r="Z155" s="11">
        <f>IF(Y155="","",HYPERLINK("https://wa.me/52"&amp;C155&amp;"?text="&amp;_xlfn.ENCODEURL(Y155),"Enviar aniversario"))</f>
        <v/>
      </c>
      <c r="AA155" s="11" t="n"/>
      <c r="AB155" s="11">
        <f>IF(OR(B155="",AA155=""),"",HYPERLINK("https://wa.me/52"&amp;C155&amp;"?text="&amp;_xlfn.ENCODEURL(_xlfn.SWITCH(AA155,"Bienvenida (primera visita)",Q155,"Seguimiento",S155,"Aviso de Etapa",U155,"Requisitos",AC155,"Datos de Facturación",AD155,"Cumpleaños",W155,"Aniversario",Y155,"")),"Enviar mensaje seleccionado"))</f>
        <v/>
      </c>
      <c r="AC155" s="10">
        <f>IF(B155="","",_xlfn.SWITCH(F155&amp;"|"&amp;G155,"Crédito|Persona física","Hola, "&amp;B155&amp;", para continuar con el proceso de tu *"&amp;D155&amp;"* por "&amp;F155&amp;",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"&amp;B155&amp;", para continuar con el proceso de tu *"&amp;D155&amp;"* por "&amp;F155&amp;",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"&amp;B155&amp;", para continuar con el proceso de tu *"&amp;D155&amp;"* por "&amp;F155&amp;",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"&amp;B155&amp;", para continuar con el proceso de tu *"&amp;D155&amp;"* por "&amp;F155&amp;", estos son los documentos que necesitamos:"&amp;CHAR(10)&amp;CHAR(10)&amp;"- INE"&amp;CHAR(10)&amp;"- Comprobante de domicilio"&amp;CHAR(10)&amp;"- Constancia de situación fiscal (no mayor a 3 meses)","Contado|Persona física con actividad empresarial","Hola, "&amp;B155&amp;", para continuar con el proceso de tu *"&amp;D155&amp;"* por "&amp;F155&amp;", estos son los documentos que necesitamos:"&amp;CHAR(10)&amp;CHAR(10)&amp;"- INE"&amp;CHAR(10)&amp;"- Comprobante de domicilio"&amp;CHAR(10)&amp;"- Constancia de situación fiscal (no mayor a 3 meses)","Contado|Persona moral","Hola, "&amp;B155&amp;", para continuar con el proceso de tu *"&amp;D155&amp;"* por "&amp;F155&amp;",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55" s="10">
        <f>IFERROR(INDEX(Facturación!$Q:$Q,MATCH(B155,Facturación!$A:$A,0)),"")</f>
        <v/>
      </c>
    </row>
    <row r="156" ht="15" customHeight="1" s="1">
      <c r="A156" s="11">
        <f>IF(B156="","",ROW()-1)</f>
        <v/>
      </c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0">
        <f>IF(OR(B156="",L156&lt;&gt;"Sí"),"","Hola, "&amp;B156&amp;", excelente día. Le saluda *Alejandro Estrada* de Toyota Corregidora."&amp;CHAR(10)&amp;"Muchas gracias por visitarnos y conocer la *"&amp;D156&amp;"*.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56" s="11">
        <f>IF(Q156="","",HYPERLINK("https://wa.me/52"&amp;C156&amp;"?text="&amp;_xlfn.ENCODEURL(Q156),"Enviar Bienvenida"))</f>
        <v/>
      </c>
      <c r="S156" s="10">
        <f>IF(B156="","","Hola, "&amp;B156&amp;", muy buen día."&amp;CHAR(10)&amp;"Espero que esté teniendo una excelente semana. Le escribo para saber si tiene alguna duda sobre la oferta del *"&amp;D156&amp;"*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56" s="11">
        <f>IF(S156="","",HYPERLINK("https://wa.me/52"&amp;C156&amp;"?text="&amp;_xlfn.ENCODEURL(S156),"Enviar Seguimiento"))</f>
        <v/>
      </c>
      <c r="U156" s="10">
        <f>IF(B156="","",_xlfn.SWITCH(M156,"Apartado","Hola, "&amp;B156&amp;", buen día. Le confirmo que su apartado por el *"&amp;D156&amp;"* quedó registrado correctamente. Seguimos con el proceso y le mantendré informado(a) de cada paso.","Toma de vehículo","Hola, "&amp;B156&amp;", le comparto que estamos en el proceso de toma de su vehículo actual. En cuanto tengamos el resultado le aviso para continuar con el siguiente paso.","Pago vehículo a cuenta","Hola, "&amp;B156&amp;", quedamos en proceso de pago del vehículo que se toma a cuenta. Cualquier documento o aclaración que se requiera se lo haré saber por este medio.","Firma de contrato","Hola, "&amp;B156&amp;", ya estamos listos para agendar la firma de su contrato. ¿Qué día y hora se le facilita para realizarla?","Facturación","Hola, "&amp;B156&amp;", su unidad ya está en proceso de facturación. En breve le comparto los datos para su confirmación.","Programación de entrega","Hola, "&amp;B156&amp;", con gusto le comparto que ya podemos programar la entrega de su *"&amp;D156&amp;"*. ¿Qué día y hora le acomodan mejor?","Entregado","Hola, "&amp;B156&amp;", ¡muchas felicidades por estrenar su *"&amp;D156&amp;"*! Fue un gusto acompañarle en este proceso. Quedo pendiente de cualquier duda y con gusto le agendo su próxima cita de servicio cuando lo necesite.","Hola, "&amp;B156&amp;", seguimos en contacto para avanzar con el proceso de su próximo Toyota.")&amp;CHAR(10)&amp;CHAR(10)&amp;Config!$B$1)</f>
        <v/>
      </c>
      <c r="V156" s="11">
        <f>IF(U156="","",HYPERLINK("https://wa.me/52"&amp;C156&amp;"?text="&amp;_xlfn.ENCODEURL(U156),"Enviar aviso de etapa"))</f>
        <v/>
      </c>
      <c r="W156" s="10">
        <f>IF(OR(B156="",O156=""),"","Hola, "&amp;B156&amp;", ¡feliz cumpleaños! Le deseo un excelente día rodeado de quienes más quiere. Ha sido un placer acompañarle desde que estrenó su Toyota. ¡Un abrazo!"&amp;CHAR(10)&amp;CHAR(10)&amp;Config!$B$1)</f>
        <v/>
      </c>
      <c r="X156" s="11">
        <f>IF(W156="","",HYPERLINK("https://wa.me/52"&amp;C156&amp;"?text="&amp;_xlfn.ENCODEURL(W156),"Enviar felicitación"))</f>
        <v/>
      </c>
      <c r="Y156" s="10">
        <f>IF(OR(B156="",P156=""),"","Hola, "&amp;B156&amp;", hoy se cumple un año más desde que estrenó su *"&amp;D156&amp;"*. Espero que haya sido un gran compañero de camino. Cualquier cosa que necesite, aquí estoy para apoyarle."&amp;CHAR(10)&amp;CHAR(10)&amp;Config!$B$1)</f>
        <v/>
      </c>
      <c r="Z156" s="11">
        <f>IF(Y156="","",HYPERLINK("https://wa.me/52"&amp;C156&amp;"?text="&amp;_xlfn.ENCODEURL(Y156),"Enviar aniversario"))</f>
        <v/>
      </c>
      <c r="AA156" s="11" t="n"/>
      <c r="AB156" s="11">
        <f>IF(OR(B156="",AA156=""),"",HYPERLINK("https://wa.me/52"&amp;C156&amp;"?text="&amp;_xlfn.ENCODEURL(_xlfn.SWITCH(AA156,"Bienvenida (primera visita)",Q156,"Seguimiento",S156,"Aviso de Etapa",U156,"Requisitos",AC156,"Datos de Facturación",AD156,"Cumpleaños",W156,"Aniversario",Y156,"")),"Enviar mensaje seleccionado"))</f>
        <v/>
      </c>
      <c r="AC156" s="10">
        <f>IF(B156="","",_xlfn.SWITCH(F156&amp;"|"&amp;G156,"Crédito|Persona física","Hola, "&amp;B156&amp;", para continuar con el proceso de tu *"&amp;D156&amp;"* por "&amp;F156&amp;",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"&amp;B156&amp;", para continuar con el proceso de tu *"&amp;D156&amp;"* por "&amp;F156&amp;",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"&amp;B156&amp;", para continuar con el proceso de tu *"&amp;D156&amp;"* por "&amp;F156&amp;",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"&amp;B156&amp;", para continuar con el proceso de tu *"&amp;D156&amp;"* por "&amp;F156&amp;", estos son los documentos que necesitamos:"&amp;CHAR(10)&amp;CHAR(10)&amp;"- INE"&amp;CHAR(10)&amp;"- Comprobante de domicilio"&amp;CHAR(10)&amp;"- Constancia de situación fiscal (no mayor a 3 meses)","Contado|Persona física con actividad empresarial","Hola, "&amp;B156&amp;", para continuar con el proceso de tu *"&amp;D156&amp;"* por "&amp;F156&amp;", estos son los documentos que necesitamos:"&amp;CHAR(10)&amp;CHAR(10)&amp;"- INE"&amp;CHAR(10)&amp;"- Comprobante de domicilio"&amp;CHAR(10)&amp;"- Constancia de situación fiscal (no mayor a 3 meses)","Contado|Persona moral","Hola, "&amp;B156&amp;", para continuar con el proceso de tu *"&amp;D156&amp;"* por "&amp;F156&amp;",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56" s="10">
        <f>IFERROR(INDEX(Facturación!$Q:$Q,MATCH(B156,Facturación!$A:$A,0)),"")</f>
        <v/>
      </c>
    </row>
    <row r="157" ht="15" customHeight="1" s="1">
      <c r="A157" s="11">
        <f>IF(B157="","",ROW()-1)</f>
        <v/>
      </c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0">
        <f>IF(OR(B157="",L157&lt;&gt;"Sí"),"","Hola, "&amp;B157&amp;", excelente día. Le saluda *Alejandro Estrada* de Toyota Corregidora."&amp;CHAR(10)&amp;"Muchas gracias por visitarnos y conocer la *"&amp;D157&amp;"*.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57" s="11">
        <f>IF(Q157="","",HYPERLINK("https://wa.me/52"&amp;C157&amp;"?text="&amp;_xlfn.ENCODEURL(Q157),"Enviar Bienvenida"))</f>
        <v/>
      </c>
      <c r="S157" s="10">
        <f>IF(B157="","","Hola, "&amp;B157&amp;", muy buen día."&amp;CHAR(10)&amp;"Espero que esté teniendo una excelente semana. Le escribo para saber si tiene alguna duda sobre la oferta del *"&amp;D157&amp;"*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57" s="11">
        <f>IF(S157="","",HYPERLINK("https://wa.me/52"&amp;C157&amp;"?text="&amp;_xlfn.ENCODEURL(S157),"Enviar Seguimiento"))</f>
        <v/>
      </c>
      <c r="U157" s="10">
        <f>IF(B157="","",_xlfn.SWITCH(M157,"Apartado","Hola, "&amp;B157&amp;", buen día. Le confirmo que su apartado por el *"&amp;D157&amp;"* quedó registrado correctamente. Seguimos con el proceso y le mantendré informado(a) de cada paso.","Toma de vehículo","Hola, "&amp;B157&amp;", le comparto que estamos en el proceso de toma de su vehículo actual. En cuanto tengamos el resultado le aviso para continuar con el siguiente paso.","Pago vehículo a cuenta","Hola, "&amp;B157&amp;", quedamos en proceso de pago del vehículo que se toma a cuenta. Cualquier documento o aclaración que se requiera se lo haré saber por este medio.","Firma de contrato","Hola, "&amp;B157&amp;", ya estamos listos para agendar la firma de su contrato. ¿Qué día y hora se le facilita para realizarla?","Facturación","Hola, "&amp;B157&amp;", su unidad ya está en proceso de facturación. En breve le comparto los datos para su confirmación.","Programación de entrega","Hola, "&amp;B157&amp;", con gusto le comparto que ya podemos programar la entrega de su *"&amp;D157&amp;"*. ¿Qué día y hora le acomodan mejor?","Entregado","Hola, "&amp;B157&amp;", ¡muchas felicidades por estrenar su *"&amp;D157&amp;"*! Fue un gusto acompañarle en este proceso. Quedo pendiente de cualquier duda y con gusto le agendo su próxima cita de servicio cuando lo necesite.","Hola, "&amp;B157&amp;", seguimos en contacto para avanzar con el proceso de su próximo Toyota.")&amp;CHAR(10)&amp;CHAR(10)&amp;Config!$B$1)</f>
        <v/>
      </c>
      <c r="V157" s="11">
        <f>IF(U157="","",HYPERLINK("https://wa.me/52"&amp;C157&amp;"?text="&amp;_xlfn.ENCODEURL(U157),"Enviar aviso de etapa"))</f>
        <v/>
      </c>
      <c r="W157" s="10">
        <f>IF(OR(B157="",O157=""),"","Hola, "&amp;B157&amp;", ¡feliz cumpleaños! Le deseo un excelente día rodeado de quienes más quiere. Ha sido un placer acompañarle desde que estrenó su Toyota. ¡Un abrazo!"&amp;CHAR(10)&amp;CHAR(10)&amp;Config!$B$1)</f>
        <v/>
      </c>
      <c r="X157" s="11">
        <f>IF(W157="","",HYPERLINK("https://wa.me/52"&amp;C157&amp;"?text="&amp;_xlfn.ENCODEURL(W157),"Enviar felicitación"))</f>
        <v/>
      </c>
      <c r="Y157" s="10">
        <f>IF(OR(B157="",P157=""),"","Hola, "&amp;B157&amp;", hoy se cumple un año más desde que estrenó su *"&amp;D157&amp;"*. Espero que haya sido un gran compañero de camino. Cualquier cosa que necesite, aquí estoy para apoyarle."&amp;CHAR(10)&amp;CHAR(10)&amp;Config!$B$1)</f>
        <v/>
      </c>
      <c r="Z157" s="11">
        <f>IF(Y157="","",HYPERLINK("https://wa.me/52"&amp;C157&amp;"?text="&amp;_xlfn.ENCODEURL(Y157),"Enviar aniversario"))</f>
        <v/>
      </c>
      <c r="AA157" s="11" t="n"/>
      <c r="AB157" s="11">
        <f>IF(OR(B157="",AA157=""),"",HYPERLINK("https://wa.me/52"&amp;C157&amp;"?text="&amp;_xlfn.ENCODEURL(_xlfn.SWITCH(AA157,"Bienvenida (primera visita)",Q157,"Seguimiento",S157,"Aviso de Etapa",U157,"Requisitos",AC157,"Datos de Facturación",AD157,"Cumpleaños",W157,"Aniversario",Y157,"")),"Enviar mensaje seleccionado"))</f>
        <v/>
      </c>
      <c r="AC157" s="10">
        <f>IF(B157="","",_xlfn.SWITCH(F157&amp;"|"&amp;G157,"Crédito|Persona física","Hola, "&amp;B157&amp;", para continuar con el proceso de tu *"&amp;D157&amp;"* por "&amp;F157&amp;",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"&amp;B157&amp;", para continuar con el proceso de tu *"&amp;D157&amp;"* por "&amp;F157&amp;",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"&amp;B157&amp;", para continuar con el proceso de tu *"&amp;D157&amp;"* por "&amp;F157&amp;",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"&amp;B157&amp;", para continuar con el proceso de tu *"&amp;D157&amp;"* por "&amp;F157&amp;", estos son los documentos que necesitamos:"&amp;CHAR(10)&amp;CHAR(10)&amp;"- INE"&amp;CHAR(10)&amp;"- Comprobante de domicilio"&amp;CHAR(10)&amp;"- Constancia de situación fiscal (no mayor a 3 meses)","Contado|Persona física con actividad empresarial","Hola, "&amp;B157&amp;", para continuar con el proceso de tu *"&amp;D157&amp;"* por "&amp;F157&amp;", estos son los documentos que necesitamos:"&amp;CHAR(10)&amp;CHAR(10)&amp;"- INE"&amp;CHAR(10)&amp;"- Comprobante de domicilio"&amp;CHAR(10)&amp;"- Constancia de situación fiscal (no mayor a 3 meses)","Contado|Persona moral","Hola, "&amp;B157&amp;", para continuar con el proceso de tu *"&amp;D157&amp;"* por "&amp;F157&amp;",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57" s="10">
        <f>IFERROR(INDEX(Facturación!$Q:$Q,MATCH(B157,Facturación!$A:$A,0)),"")</f>
        <v/>
      </c>
    </row>
    <row r="158" ht="15" customHeight="1" s="1">
      <c r="A158" s="11">
        <f>IF(B158="","",ROW()-1)</f>
        <v/>
      </c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0">
        <f>IF(OR(B158="",L158&lt;&gt;"Sí"),"","Hola, "&amp;B158&amp;", excelente día. Le saluda *Alejandro Estrada* de Toyota Corregidora."&amp;CHAR(10)&amp;"Muchas gracias por visitarnos y conocer la *"&amp;D158&amp;"*.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58" s="11">
        <f>IF(Q158="","",HYPERLINK("https://wa.me/52"&amp;C158&amp;"?text="&amp;_xlfn.ENCODEURL(Q158),"Enviar Bienvenida"))</f>
        <v/>
      </c>
      <c r="S158" s="10">
        <f>IF(B158="","","Hola, "&amp;B158&amp;", muy buen día."&amp;CHAR(10)&amp;"Espero que esté teniendo una excelente semana. Le escribo para saber si tiene alguna duda sobre la oferta del *"&amp;D158&amp;"*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58" s="11">
        <f>IF(S158="","",HYPERLINK("https://wa.me/52"&amp;C158&amp;"?text="&amp;_xlfn.ENCODEURL(S158),"Enviar Seguimiento"))</f>
        <v/>
      </c>
      <c r="U158" s="10">
        <f>IF(B158="","",_xlfn.SWITCH(M158,"Apartado","Hola, "&amp;B158&amp;", buen día. Le confirmo que su apartado por el *"&amp;D158&amp;"* quedó registrado correctamente. Seguimos con el proceso y le mantendré informado(a) de cada paso.","Toma de vehículo","Hola, "&amp;B158&amp;", le comparto que estamos en el proceso de toma de su vehículo actual. En cuanto tengamos el resultado le aviso para continuar con el siguiente paso.","Pago vehículo a cuenta","Hola, "&amp;B158&amp;", quedamos en proceso de pago del vehículo que se toma a cuenta. Cualquier documento o aclaración que se requiera se lo haré saber por este medio.","Firma de contrato","Hola, "&amp;B158&amp;", ya estamos listos para agendar la firma de su contrato. ¿Qué día y hora se le facilita para realizarla?","Facturación","Hola, "&amp;B158&amp;", su unidad ya está en proceso de facturación. En breve le comparto los datos para su confirmación.","Programación de entrega","Hola, "&amp;B158&amp;", con gusto le comparto que ya podemos programar la entrega de su *"&amp;D158&amp;"*. ¿Qué día y hora le acomodan mejor?","Entregado","Hola, "&amp;B158&amp;", ¡muchas felicidades por estrenar su *"&amp;D158&amp;"*! Fue un gusto acompañarle en este proceso. Quedo pendiente de cualquier duda y con gusto le agendo su próxima cita de servicio cuando lo necesite.","Hola, "&amp;B158&amp;", seguimos en contacto para avanzar con el proceso de su próximo Toyota.")&amp;CHAR(10)&amp;CHAR(10)&amp;Config!$B$1)</f>
        <v/>
      </c>
      <c r="V158" s="11">
        <f>IF(U158="","",HYPERLINK("https://wa.me/52"&amp;C158&amp;"?text="&amp;_xlfn.ENCODEURL(U158),"Enviar aviso de etapa"))</f>
        <v/>
      </c>
      <c r="W158" s="10">
        <f>IF(OR(B158="",O158=""),"","Hola, "&amp;B158&amp;", ¡feliz cumpleaños! Le deseo un excelente día rodeado de quienes más quiere. Ha sido un placer acompañarle desde que estrenó su Toyota. ¡Un abrazo!"&amp;CHAR(10)&amp;CHAR(10)&amp;Config!$B$1)</f>
        <v/>
      </c>
      <c r="X158" s="11">
        <f>IF(W158="","",HYPERLINK("https://wa.me/52"&amp;C158&amp;"?text="&amp;_xlfn.ENCODEURL(W158),"Enviar felicitación"))</f>
        <v/>
      </c>
      <c r="Y158" s="10">
        <f>IF(OR(B158="",P158=""),"","Hola, "&amp;B158&amp;", hoy se cumple un año más desde que estrenó su *"&amp;D158&amp;"*. Espero que haya sido un gran compañero de camino. Cualquier cosa que necesite, aquí estoy para apoyarle."&amp;CHAR(10)&amp;CHAR(10)&amp;Config!$B$1)</f>
        <v/>
      </c>
      <c r="Z158" s="11">
        <f>IF(Y158="","",HYPERLINK("https://wa.me/52"&amp;C158&amp;"?text="&amp;_xlfn.ENCODEURL(Y158),"Enviar aniversario"))</f>
        <v/>
      </c>
      <c r="AA158" s="11" t="n"/>
      <c r="AB158" s="11">
        <f>IF(OR(B158="",AA158=""),"",HYPERLINK("https://wa.me/52"&amp;C158&amp;"?text="&amp;_xlfn.ENCODEURL(_xlfn.SWITCH(AA158,"Bienvenida (primera visita)",Q158,"Seguimiento",S158,"Aviso de Etapa",U158,"Requisitos",AC158,"Datos de Facturación",AD158,"Cumpleaños",W158,"Aniversario",Y158,"")),"Enviar mensaje seleccionado"))</f>
        <v/>
      </c>
      <c r="AC158" s="10">
        <f>IF(B158="","",_xlfn.SWITCH(F158&amp;"|"&amp;G158,"Crédito|Persona física","Hola, "&amp;B158&amp;", para continuar con el proceso de tu *"&amp;D158&amp;"* por "&amp;F158&amp;",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"&amp;B158&amp;", para continuar con el proceso de tu *"&amp;D158&amp;"* por "&amp;F158&amp;",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"&amp;B158&amp;", para continuar con el proceso de tu *"&amp;D158&amp;"* por "&amp;F158&amp;",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"&amp;B158&amp;", para continuar con el proceso de tu *"&amp;D158&amp;"* por "&amp;F158&amp;", estos son los documentos que necesitamos:"&amp;CHAR(10)&amp;CHAR(10)&amp;"- INE"&amp;CHAR(10)&amp;"- Comprobante de domicilio"&amp;CHAR(10)&amp;"- Constancia de situación fiscal (no mayor a 3 meses)","Contado|Persona física con actividad empresarial","Hola, "&amp;B158&amp;", para continuar con el proceso de tu *"&amp;D158&amp;"* por "&amp;F158&amp;", estos son los documentos que necesitamos:"&amp;CHAR(10)&amp;CHAR(10)&amp;"- INE"&amp;CHAR(10)&amp;"- Comprobante de domicilio"&amp;CHAR(10)&amp;"- Constancia de situación fiscal (no mayor a 3 meses)","Contado|Persona moral","Hola, "&amp;B158&amp;", para continuar con el proceso de tu *"&amp;D158&amp;"* por "&amp;F158&amp;",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58" s="10">
        <f>IFERROR(INDEX(Facturación!$Q:$Q,MATCH(B158,Facturación!$A:$A,0)),"")</f>
        <v/>
      </c>
    </row>
    <row r="159" ht="15" customHeight="1" s="1">
      <c r="A159" s="11">
        <f>IF(B159="","",ROW()-1)</f>
        <v/>
      </c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0">
        <f>IF(OR(B159="",L159&lt;&gt;"Sí"),"","Hola, "&amp;B159&amp;", excelente día. Le saluda *Alejandro Estrada* de Toyota Corregidora."&amp;CHAR(10)&amp;"Muchas gracias por visitarnos y conocer la *"&amp;D159&amp;"*.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59" s="11">
        <f>IF(Q159="","",HYPERLINK("https://wa.me/52"&amp;C159&amp;"?text="&amp;_xlfn.ENCODEURL(Q159),"Enviar Bienvenida"))</f>
        <v/>
      </c>
      <c r="S159" s="10">
        <f>IF(B159="","","Hola, "&amp;B159&amp;", muy buen día."&amp;CHAR(10)&amp;"Espero que esté teniendo una excelente semana. Le escribo para saber si tiene alguna duda sobre la oferta del *"&amp;D159&amp;"*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59" s="11">
        <f>IF(S159="","",HYPERLINK("https://wa.me/52"&amp;C159&amp;"?text="&amp;_xlfn.ENCODEURL(S159),"Enviar Seguimiento"))</f>
        <v/>
      </c>
      <c r="U159" s="10">
        <f>IF(B159="","",_xlfn.SWITCH(M159,"Apartado","Hola, "&amp;B159&amp;", buen día. Le confirmo que su apartado por el *"&amp;D159&amp;"* quedó registrado correctamente. Seguimos con el proceso y le mantendré informado(a) de cada paso.","Toma de vehículo","Hola, "&amp;B159&amp;", le comparto que estamos en el proceso de toma de su vehículo actual. En cuanto tengamos el resultado le aviso para continuar con el siguiente paso.","Pago vehículo a cuenta","Hola, "&amp;B159&amp;", quedamos en proceso de pago del vehículo que se toma a cuenta. Cualquier documento o aclaración que se requiera se lo haré saber por este medio.","Firma de contrato","Hola, "&amp;B159&amp;", ya estamos listos para agendar la firma de su contrato. ¿Qué día y hora se le facilita para realizarla?","Facturación","Hola, "&amp;B159&amp;", su unidad ya está en proceso de facturación. En breve le comparto los datos para su confirmación.","Programación de entrega","Hola, "&amp;B159&amp;", con gusto le comparto que ya podemos programar la entrega de su *"&amp;D159&amp;"*. ¿Qué día y hora le acomodan mejor?","Entregado","Hola, "&amp;B159&amp;", ¡muchas felicidades por estrenar su *"&amp;D159&amp;"*! Fue un gusto acompañarle en este proceso. Quedo pendiente de cualquier duda y con gusto le agendo su próxima cita de servicio cuando lo necesite.","Hola, "&amp;B159&amp;", seguimos en contacto para avanzar con el proceso de su próximo Toyota.")&amp;CHAR(10)&amp;CHAR(10)&amp;Config!$B$1)</f>
        <v/>
      </c>
      <c r="V159" s="11">
        <f>IF(U159="","",HYPERLINK("https://wa.me/52"&amp;C159&amp;"?text="&amp;_xlfn.ENCODEURL(U159),"Enviar aviso de etapa"))</f>
        <v/>
      </c>
      <c r="W159" s="10">
        <f>IF(OR(B159="",O159=""),"","Hola, "&amp;B159&amp;", ¡feliz cumpleaños! Le deseo un excelente día rodeado de quienes más quiere. Ha sido un placer acompañarle desde que estrenó su Toyota. ¡Un abrazo!"&amp;CHAR(10)&amp;CHAR(10)&amp;Config!$B$1)</f>
        <v/>
      </c>
      <c r="X159" s="11">
        <f>IF(W159="","",HYPERLINK("https://wa.me/52"&amp;C159&amp;"?text="&amp;_xlfn.ENCODEURL(W159),"Enviar felicitación"))</f>
        <v/>
      </c>
      <c r="Y159" s="10">
        <f>IF(OR(B159="",P159=""),"","Hola, "&amp;B159&amp;", hoy se cumple un año más desde que estrenó su *"&amp;D159&amp;"*. Espero que haya sido un gran compañero de camino. Cualquier cosa que necesite, aquí estoy para apoyarle."&amp;CHAR(10)&amp;CHAR(10)&amp;Config!$B$1)</f>
        <v/>
      </c>
      <c r="Z159" s="11">
        <f>IF(Y159="","",HYPERLINK("https://wa.me/52"&amp;C159&amp;"?text="&amp;_xlfn.ENCODEURL(Y159),"Enviar aniversario"))</f>
        <v/>
      </c>
      <c r="AA159" s="11" t="n"/>
      <c r="AB159" s="11">
        <f>IF(OR(B159="",AA159=""),"",HYPERLINK("https://wa.me/52"&amp;C159&amp;"?text="&amp;_xlfn.ENCODEURL(_xlfn.SWITCH(AA159,"Bienvenida (primera visita)",Q159,"Seguimiento",S159,"Aviso de Etapa",U159,"Requisitos",AC159,"Datos de Facturación",AD159,"Cumpleaños",W159,"Aniversario",Y159,"")),"Enviar mensaje seleccionado"))</f>
        <v/>
      </c>
      <c r="AC159" s="10">
        <f>IF(B159="","",_xlfn.SWITCH(F159&amp;"|"&amp;G159,"Crédito|Persona física","Hola, "&amp;B159&amp;", para continuar con el proceso de tu *"&amp;D159&amp;"* por "&amp;F159&amp;",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"&amp;B159&amp;", para continuar con el proceso de tu *"&amp;D159&amp;"* por "&amp;F159&amp;",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"&amp;B159&amp;", para continuar con el proceso de tu *"&amp;D159&amp;"* por "&amp;F159&amp;",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"&amp;B159&amp;", para continuar con el proceso de tu *"&amp;D159&amp;"* por "&amp;F159&amp;", estos son los documentos que necesitamos:"&amp;CHAR(10)&amp;CHAR(10)&amp;"- INE"&amp;CHAR(10)&amp;"- Comprobante de domicilio"&amp;CHAR(10)&amp;"- Constancia de situación fiscal (no mayor a 3 meses)","Contado|Persona física con actividad empresarial","Hola, "&amp;B159&amp;", para continuar con el proceso de tu *"&amp;D159&amp;"* por "&amp;F159&amp;", estos son los documentos que necesitamos:"&amp;CHAR(10)&amp;CHAR(10)&amp;"- INE"&amp;CHAR(10)&amp;"- Comprobante de domicilio"&amp;CHAR(10)&amp;"- Constancia de situación fiscal (no mayor a 3 meses)","Contado|Persona moral","Hola, "&amp;B159&amp;", para continuar con el proceso de tu *"&amp;D159&amp;"* por "&amp;F159&amp;",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59" s="10">
        <f>IFERROR(INDEX(Facturación!$Q:$Q,MATCH(B159,Facturación!$A:$A,0)),"")</f>
        <v/>
      </c>
    </row>
    <row r="160" ht="15" customHeight="1" s="1">
      <c r="A160" s="11">
        <f>IF(B160="","",ROW()-1)</f>
        <v/>
      </c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0">
        <f>IF(OR(B160="",L160&lt;&gt;"Sí"),"","Hola, "&amp;B160&amp;", excelente día. Le saluda *Alejandro Estrada* de Toyota Corregidora."&amp;CHAR(10)&amp;"Muchas gracias por visitarnos y conocer la *"&amp;D160&amp;"*.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60" s="11">
        <f>IF(Q160="","",HYPERLINK("https://wa.me/52"&amp;C160&amp;"?text="&amp;_xlfn.ENCODEURL(Q160),"Enviar Bienvenida"))</f>
        <v/>
      </c>
      <c r="S160" s="10">
        <f>IF(B160="","","Hola, "&amp;B160&amp;", muy buen día."&amp;CHAR(10)&amp;"Espero que esté teniendo una excelente semana. Le escribo para saber si tiene alguna duda sobre la oferta del *"&amp;D160&amp;"*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60" s="11">
        <f>IF(S160="","",HYPERLINK("https://wa.me/52"&amp;C160&amp;"?text="&amp;_xlfn.ENCODEURL(S160),"Enviar Seguimiento"))</f>
        <v/>
      </c>
      <c r="U160" s="10">
        <f>IF(B160="","",_xlfn.SWITCH(M160,"Apartado","Hola, "&amp;B160&amp;", buen día. Le confirmo que su apartado por el *"&amp;D160&amp;"* quedó registrado correctamente. Seguimos con el proceso y le mantendré informado(a) de cada paso.","Toma de vehículo","Hola, "&amp;B160&amp;", le comparto que estamos en el proceso de toma de su vehículo actual. En cuanto tengamos el resultado le aviso para continuar con el siguiente paso.","Pago vehículo a cuenta","Hola, "&amp;B160&amp;", quedamos en proceso de pago del vehículo que se toma a cuenta. Cualquier documento o aclaración que se requiera se lo haré saber por este medio.","Firma de contrato","Hola, "&amp;B160&amp;", ya estamos listos para agendar la firma de su contrato. ¿Qué día y hora se le facilita para realizarla?","Facturación","Hola, "&amp;B160&amp;", su unidad ya está en proceso de facturación. En breve le comparto los datos para su confirmación.","Programación de entrega","Hola, "&amp;B160&amp;", con gusto le comparto que ya podemos programar la entrega de su *"&amp;D160&amp;"*. ¿Qué día y hora le acomodan mejor?","Entregado","Hola, "&amp;B160&amp;", ¡muchas felicidades por estrenar su *"&amp;D160&amp;"*! Fue un gusto acompañarle en este proceso. Quedo pendiente de cualquier duda y con gusto le agendo su próxima cita de servicio cuando lo necesite.","Hola, "&amp;B160&amp;", seguimos en contacto para avanzar con el proceso de su próximo Toyota.")&amp;CHAR(10)&amp;CHAR(10)&amp;Config!$B$1)</f>
        <v/>
      </c>
      <c r="V160" s="11">
        <f>IF(U160="","",HYPERLINK("https://wa.me/52"&amp;C160&amp;"?text="&amp;_xlfn.ENCODEURL(U160),"Enviar aviso de etapa"))</f>
        <v/>
      </c>
      <c r="W160" s="10">
        <f>IF(OR(B160="",O160=""),"","Hola, "&amp;B160&amp;", ¡feliz cumpleaños! Le deseo un excelente día rodeado de quienes más quiere. Ha sido un placer acompañarle desde que estrenó su Toyota. ¡Un abrazo!"&amp;CHAR(10)&amp;CHAR(10)&amp;Config!$B$1)</f>
        <v/>
      </c>
      <c r="X160" s="11">
        <f>IF(W160="","",HYPERLINK("https://wa.me/52"&amp;C160&amp;"?text="&amp;_xlfn.ENCODEURL(W160),"Enviar felicitación"))</f>
        <v/>
      </c>
      <c r="Y160" s="10">
        <f>IF(OR(B160="",P160=""),"","Hola, "&amp;B160&amp;", hoy se cumple un año más desde que estrenó su *"&amp;D160&amp;"*. Espero que haya sido un gran compañero de camino. Cualquier cosa que necesite, aquí estoy para apoyarle."&amp;CHAR(10)&amp;CHAR(10)&amp;Config!$B$1)</f>
        <v/>
      </c>
      <c r="Z160" s="11">
        <f>IF(Y160="","",HYPERLINK("https://wa.me/52"&amp;C160&amp;"?text="&amp;_xlfn.ENCODEURL(Y160),"Enviar aniversario"))</f>
        <v/>
      </c>
      <c r="AA160" s="11" t="n"/>
      <c r="AB160" s="11">
        <f>IF(OR(B160="",AA160=""),"",HYPERLINK("https://wa.me/52"&amp;C160&amp;"?text="&amp;_xlfn.ENCODEURL(_xlfn.SWITCH(AA160,"Bienvenida (primera visita)",Q160,"Seguimiento",S160,"Aviso de Etapa",U160,"Requisitos",AC160,"Datos de Facturación",AD160,"Cumpleaños",W160,"Aniversario",Y160,"")),"Enviar mensaje seleccionado"))</f>
        <v/>
      </c>
      <c r="AC160" s="10">
        <f>IF(B160="","",_xlfn.SWITCH(F160&amp;"|"&amp;G160,"Crédito|Persona física","Hola, "&amp;B160&amp;", para continuar con el proceso de tu *"&amp;D160&amp;"* por "&amp;F160&amp;",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"&amp;B160&amp;", para continuar con el proceso de tu *"&amp;D160&amp;"* por "&amp;F160&amp;",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"&amp;B160&amp;", para continuar con el proceso de tu *"&amp;D160&amp;"* por "&amp;F160&amp;",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"&amp;B160&amp;", para continuar con el proceso de tu *"&amp;D160&amp;"* por "&amp;F160&amp;", estos son los documentos que necesitamos:"&amp;CHAR(10)&amp;CHAR(10)&amp;"- INE"&amp;CHAR(10)&amp;"- Comprobante de domicilio"&amp;CHAR(10)&amp;"- Constancia de situación fiscal (no mayor a 3 meses)","Contado|Persona física con actividad empresarial","Hola, "&amp;B160&amp;", para continuar con el proceso de tu *"&amp;D160&amp;"* por "&amp;F160&amp;", estos son los documentos que necesitamos:"&amp;CHAR(10)&amp;CHAR(10)&amp;"- INE"&amp;CHAR(10)&amp;"- Comprobante de domicilio"&amp;CHAR(10)&amp;"- Constancia de situación fiscal (no mayor a 3 meses)","Contado|Persona moral","Hola, "&amp;B160&amp;", para continuar con el proceso de tu *"&amp;D160&amp;"* por "&amp;F160&amp;",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60" s="10">
        <f>IFERROR(INDEX(Facturación!$Q:$Q,MATCH(B160,Facturación!$A:$A,0)),"")</f>
        <v/>
      </c>
    </row>
    <row r="161" ht="15" customHeight="1" s="1">
      <c r="A161" s="11">
        <f>IF(B161="","",ROW()-1)</f>
        <v/>
      </c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0">
        <f>IF(OR(B161="",L161&lt;&gt;"Sí"),"","Hola, "&amp;B161&amp;", excelente día. Le saluda *Alejandro Estrada* de Toyota Corregidora."&amp;CHAR(10)&amp;"Muchas gracias por visitarnos y conocer la *"&amp;D161&amp;"*.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61" s="11">
        <f>IF(Q161="","",HYPERLINK("https://wa.me/52"&amp;C161&amp;"?text="&amp;_xlfn.ENCODEURL(Q161),"Enviar Bienvenida"))</f>
        <v/>
      </c>
      <c r="S161" s="10">
        <f>IF(B161="","","Hola, "&amp;B161&amp;", muy buen día."&amp;CHAR(10)&amp;"Espero que esté teniendo una excelente semana. Le escribo para saber si tiene alguna duda sobre la oferta del *"&amp;D161&amp;"*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61" s="11">
        <f>IF(S161="","",HYPERLINK("https://wa.me/52"&amp;C161&amp;"?text="&amp;_xlfn.ENCODEURL(S161),"Enviar Seguimiento"))</f>
        <v/>
      </c>
      <c r="U161" s="10">
        <f>IF(B161="","",_xlfn.SWITCH(M161,"Apartado","Hola, "&amp;B161&amp;", buen día. Le confirmo que su apartado por el *"&amp;D161&amp;"* quedó registrado correctamente. Seguimos con el proceso y le mantendré informado(a) de cada paso.","Toma de vehículo","Hola, "&amp;B161&amp;", le comparto que estamos en el proceso de toma de su vehículo actual. En cuanto tengamos el resultado le aviso para continuar con el siguiente paso.","Pago vehículo a cuenta","Hola, "&amp;B161&amp;", quedamos en proceso de pago del vehículo que se toma a cuenta. Cualquier documento o aclaración que se requiera se lo haré saber por este medio.","Firma de contrato","Hola, "&amp;B161&amp;", ya estamos listos para agendar la firma de su contrato. ¿Qué día y hora se le facilita para realizarla?","Facturación","Hola, "&amp;B161&amp;", su unidad ya está en proceso de facturación. En breve le comparto los datos para su confirmación.","Programación de entrega","Hola, "&amp;B161&amp;", con gusto le comparto que ya podemos programar la entrega de su *"&amp;D161&amp;"*. ¿Qué día y hora le acomodan mejor?","Entregado","Hola, "&amp;B161&amp;", ¡muchas felicidades por estrenar su *"&amp;D161&amp;"*! Fue un gusto acompañarle en este proceso. Quedo pendiente de cualquier duda y con gusto le agendo su próxima cita de servicio cuando lo necesite.","Hola, "&amp;B161&amp;", seguimos en contacto para avanzar con el proceso de su próximo Toyota.")&amp;CHAR(10)&amp;CHAR(10)&amp;Config!$B$1)</f>
        <v/>
      </c>
      <c r="V161" s="11">
        <f>IF(U161="","",HYPERLINK("https://wa.me/52"&amp;C161&amp;"?text="&amp;_xlfn.ENCODEURL(U161),"Enviar aviso de etapa"))</f>
        <v/>
      </c>
      <c r="W161" s="10">
        <f>IF(OR(B161="",O161=""),"","Hola, "&amp;B161&amp;", ¡feliz cumpleaños! Le deseo un excelente día rodeado de quienes más quiere. Ha sido un placer acompañarle desde que estrenó su Toyota. ¡Un abrazo!"&amp;CHAR(10)&amp;CHAR(10)&amp;Config!$B$1)</f>
        <v/>
      </c>
      <c r="X161" s="11">
        <f>IF(W161="","",HYPERLINK("https://wa.me/52"&amp;C161&amp;"?text="&amp;_xlfn.ENCODEURL(W161),"Enviar felicitación"))</f>
        <v/>
      </c>
      <c r="Y161" s="10">
        <f>IF(OR(B161="",P161=""),"","Hola, "&amp;B161&amp;", hoy se cumple un año más desde que estrenó su *"&amp;D161&amp;"*. Espero que haya sido un gran compañero de camino. Cualquier cosa que necesite, aquí estoy para apoyarle."&amp;CHAR(10)&amp;CHAR(10)&amp;Config!$B$1)</f>
        <v/>
      </c>
      <c r="Z161" s="11">
        <f>IF(Y161="","",HYPERLINK("https://wa.me/52"&amp;C161&amp;"?text="&amp;_xlfn.ENCODEURL(Y161),"Enviar aniversario"))</f>
        <v/>
      </c>
      <c r="AA161" s="11" t="n"/>
      <c r="AB161" s="11">
        <f>IF(OR(B161="",AA161=""),"",HYPERLINK("https://wa.me/52"&amp;C161&amp;"?text="&amp;_xlfn.ENCODEURL(_xlfn.SWITCH(AA161,"Bienvenida (primera visita)",Q161,"Seguimiento",S161,"Aviso de Etapa",U161,"Requisitos",AC161,"Datos de Facturación",AD161,"Cumpleaños",W161,"Aniversario",Y161,"")),"Enviar mensaje seleccionado"))</f>
        <v/>
      </c>
      <c r="AC161" s="10">
        <f>IF(B161="","",_xlfn.SWITCH(F161&amp;"|"&amp;G161,"Crédito|Persona física","Hola, "&amp;B161&amp;", para continuar con el proceso de tu *"&amp;D161&amp;"* por "&amp;F161&amp;",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"&amp;B161&amp;", para continuar con el proceso de tu *"&amp;D161&amp;"* por "&amp;F161&amp;",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"&amp;B161&amp;", para continuar con el proceso de tu *"&amp;D161&amp;"* por "&amp;F161&amp;",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"&amp;B161&amp;", para continuar con el proceso de tu *"&amp;D161&amp;"* por "&amp;F161&amp;", estos son los documentos que necesitamos:"&amp;CHAR(10)&amp;CHAR(10)&amp;"- INE"&amp;CHAR(10)&amp;"- Comprobante de domicilio"&amp;CHAR(10)&amp;"- Constancia de situación fiscal (no mayor a 3 meses)","Contado|Persona física con actividad empresarial","Hola, "&amp;B161&amp;", para continuar con el proceso de tu *"&amp;D161&amp;"* por "&amp;F161&amp;", estos son los documentos que necesitamos:"&amp;CHAR(10)&amp;CHAR(10)&amp;"- INE"&amp;CHAR(10)&amp;"- Comprobante de domicilio"&amp;CHAR(10)&amp;"- Constancia de situación fiscal (no mayor a 3 meses)","Contado|Persona moral","Hola, "&amp;B161&amp;", para continuar con el proceso de tu *"&amp;D161&amp;"* por "&amp;F161&amp;",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61" s="10">
        <f>IFERROR(INDEX(Facturación!$Q:$Q,MATCH(B161,Facturación!$A:$A,0)),"")</f>
        <v/>
      </c>
    </row>
    <row r="162" ht="15" customHeight="1" s="1">
      <c r="A162" s="11">
        <f>IF(B162="","",ROW()-1)</f>
        <v/>
      </c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0">
        <f>IF(OR(B162="",L162&lt;&gt;"Sí"),"","Hola, "&amp;B162&amp;", excelente día. Le saluda *Alejandro Estrada* de Toyota Corregidora."&amp;CHAR(10)&amp;"Muchas gracias por visitarnos y conocer la *"&amp;D162&amp;"*.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62" s="11">
        <f>IF(Q162="","",HYPERLINK("https://wa.me/52"&amp;C162&amp;"?text="&amp;_xlfn.ENCODEURL(Q162),"Enviar Bienvenida"))</f>
        <v/>
      </c>
      <c r="S162" s="10">
        <f>IF(B162="","","Hola, "&amp;B162&amp;", muy buen día."&amp;CHAR(10)&amp;"Espero que esté teniendo una excelente semana. Le escribo para saber si tiene alguna duda sobre la oferta del *"&amp;D162&amp;"*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62" s="11">
        <f>IF(S162="","",HYPERLINK("https://wa.me/52"&amp;C162&amp;"?text="&amp;_xlfn.ENCODEURL(S162),"Enviar Seguimiento"))</f>
        <v/>
      </c>
      <c r="U162" s="10">
        <f>IF(B162="","",_xlfn.SWITCH(M162,"Apartado","Hola, "&amp;B162&amp;", buen día. Le confirmo que su apartado por el *"&amp;D162&amp;"* quedó registrado correctamente. Seguimos con el proceso y le mantendré informado(a) de cada paso.","Toma de vehículo","Hola, "&amp;B162&amp;", le comparto que estamos en el proceso de toma de su vehículo actual. En cuanto tengamos el resultado le aviso para continuar con el siguiente paso.","Pago vehículo a cuenta","Hola, "&amp;B162&amp;", quedamos en proceso de pago del vehículo que se toma a cuenta. Cualquier documento o aclaración que se requiera se lo haré saber por este medio.","Firma de contrato","Hola, "&amp;B162&amp;", ya estamos listos para agendar la firma de su contrato. ¿Qué día y hora se le facilita para realizarla?","Facturación","Hola, "&amp;B162&amp;", su unidad ya está en proceso de facturación. En breve le comparto los datos para su confirmación.","Programación de entrega","Hola, "&amp;B162&amp;", con gusto le comparto que ya podemos programar la entrega de su *"&amp;D162&amp;"*. ¿Qué día y hora le acomodan mejor?","Entregado","Hola, "&amp;B162&amp;", ¡muchas felicidades por estrenar su *"&amp;D162&amp;"*! Fue un gusto acompañarle en este proceso. Quedo pendiente de cualquier duda y con gusto le agendo su próxima cita de servicio cuando lo necesite.","Hola, "&amp;B162&amp;", seguimos en contacto para avanzar con el proceso de su próximo Toyota.")&amp;CHAR(10)&amp;CHAR(10)&amp;Config!$B$1)</f>
        <v/>
      </c>
      <c r="V162" s="11">
        <f>IF(U162="","",HYPERLINK("https://wa.me/52"&amp;C162&amp;"?text="&amp;_xlfn.ENCODEURL(U162),"Enviar aviso de etapa"))</f>
        <v/>
      </c>
      <c r="W162" s="10">
        <f>IF(OR(B162="",O162=""),"","Hola, "&amp;B162&amp;", ¡feliz cumpleaños! Le deseo un excelente día rodeado de quienes más quiere. Ha sido un placer acompañarle desde que estrenó su Toyota. ¡Un abrazo!"&amp;CHAR(10)&amp;CHAR(10)&amp;Config!$B$1)</f>
        <v/>
      </c>
      <c r="X162" s="11">
        <f>IF(W162="","",HYPERLINK("https://wa.me/52"&amp;C162&amp;"?text="&amp;_xlfn.ENCODEURL(W162),"Enviar felicitación"))</f>
        <v/>
      </c>
      <c r="Y162" s="10">
        <f>IF(OR(B162="",P162=""),"","Hola, "&amp;B162&amp;", hoy se cumple un año más desde que estrenó su *"&amp;D162&amp;"*. Espero que haya sido un gran compañero de camino. Cualquier cosa que necesite, aquí estoy para apoyarle."&amp;CHAR(10)&amp;CHAR(10)&amp;Config!$B$1)</f>
        <v/>
      </c>
      <c r="Z162" s="11">
        <f>IF(Y162="","",HYPERLINK("https://wa.me/52"&amp;C162&amp;"?text="&amp;_xlfn.ENCODEURL(Y162),"Enviar aniversario"))</f>
        <v/>
      </c>
      <c r="AA162" s="11" t="n"/>
      <c r="AB162" s="11">
        <f>IF(OR(B162="",AA162=""),"",HYPERLINK("https://wa.me/52"&amp;C162&amp;"?text="&amp;_xlfn.ENCODEURL(_xlfn.SWITCH(AA162,"Bienvenida (primera visita)",Q162,"Seguimiento",S162,"Aviso de Etapa",U162,"Requisitos",AC162,"Datos de Facturación",AD162,"Cumpleaños",W162,"Aniversario",Y162,"")),"Enviar mensaje seleccionado"))</f>
        <v/>
      </c>
      <c r="AC162" s="10">
        <f>IF(B162="","",_xlfn.SWITCH(F162&amp;"|"&amp;G162,"Crédito|Persona física","Hola, "&amp;B162&amp;", para continuar con el proceso de tu *"&amp;D162&amp;"* por "&amp;F162&amp;",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"&amp;B162&amp;", para continuar con el proceso de tu *"&amp;D162&amp;"* por "&amp;F162&amp;",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"&amp;B162&amp;", para continuar con el proceso de tu *"&amp;D162&amp;"* por "&amp;F162&amp;",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"&amp;B162&amp;", para continuar con el proceso de tu *"&amp;D162&amp;"* por "&amp;F162&amp;", estos son los documentos que necesitamos:"&amp;CHAR(10)&amp;CHAR(10)&amp;"- INE"&amp;CHAR(10)&amp;"- Comprobante de domicilio"&amp;CHAR(10)&amp;"- Constancia de situación fiscal (no mayor a 3 meses)","Contado|Persona física con actividad empresarial","Hola, "&amp;B162&amp;", para continuar con el proceso de tu *"&amp;D162&amp;"* por "&amp;F162&amp;", estos son los documentos que necesitamos:"&amp;CHAR(10)&amp;CHAR(10)&amp;"- INE"&amp;CHAR(10)&amp;"- Comprobante de domicilio"&amp;CHAR(10)&amp;"- Constancia de situación fiscal (no mayor a 3 meses)","Contado|Persona moral","Hola, "&amp;B162&amp;", para continuar con el proceso de tu *"&amp;D162&amp;"* por "&amp;F162&amp;",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62" s="10">
        <f>IFERROR(INDEX(Facturación!$Q:$Q,MATCH(B162,Facturación!$A:$A,0)),"")</f>
        <v/>
      </c>
    </row>
    <row r="163" ht="15" customHeight="1" s="1">
      <c r="A163" s="11">
        <f>IF(B163="","",ROW()-1)</f>
        <v/>
      </c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0">
        <f>IF(OR(B163="",L163&lt;&gt;"Sí"),"","Hola, "&amp;B163&amp;", excelente día. Le saluda *Alejandro Estrada* de Toyota Corregidora."&amp;CHAR(10)&amp;"Muchas gracias por visitarnos y conocer la *"&amp;D163&amp;"*.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63" s="11">
        <f>IF(Q163="","",HYPERLINK("https://wa.me/52"&amp;C163&amp;"?text="&amp;_xlfn.ENCODEURL(Q163),"Enviar Bienvenida"))</f>
        <v/>
      </c>
      <c r="S163" s="10">
        <f>IF(B163="","","Hola, "&amp;B163&amp;", muy buen día."&amp;CHAR(10)&amp;"Espero que esté teniendo una excelente semana. Le escribo para saber si tiene alguna duda sobre la oferta del *"&amp;D163&amp;"*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63" s="11">
        <f>IF(S163="","",HYPERLINK("https://wa.me/52"&amp;C163&amp;"?text="&amp;_xlfn.ENCODEURL(S163),"Enviar Seguimiento"))</f>
        <v/>
      </c>
      <c r="U163" s="10">
        <f>IF(B163="","",_xlfn.SWITCH(M163,"Apartado","Hola, "&amp;B163&amp;", buen día. Le confirmo que su apartado por el *"&amp;D163&amp;"* quedó registrado correctamente. Seguimos con el proceso y le mantendré informado(a) de cada paso.","Toma de vehículo","Hola, "&amp;B163&amp;", le comparto que estamos en el proceso de toma de su vehículo actual. En cuanto tengamos el resultado le aviso para continuar con el siguiente paso.","Pago vehículo a cuenta","Hola, "&amp;B163&amp;", quedamos en proceso de pago del vehículo que se toma a cuenta. Cualquier documento o aclaración que se requiera se lo haré saber por este medio.","Firma de contrato","Hola, "&amp;B163&amp;", ya estamos listos para agendar la firma de su contrato. ¿Qué día y hora se le facilita para realizarla?","Facturación","Hola, "&amp;B163&amp;", su unidad ya está en proceso de facturación. En breve le comparto los datos para su confirmación.","Programación de entrega","Hola, "&amp;B163&amp;", con gusto le comparto que ya podemos programar la entrega de su *"&amp;D163&amp;"*. ¿Qué día y hora le acomodan mejor?","Entregado","Hola, "&amp;B163&amp;", ¡muchas felicidades por estrenar su *"&amp;D163&amp;"*! Fue un gusto acompañarle en este proceso. Quedo pendiente de cualquier duda y con gusto le agendo su próxima cita de servicio cuando lo necesite.","Hola, "&amp;B163&amp;", seguimos en contacto para avanzar con el proceso de su próximo Toyota.")&amp;CHAR(10)&amp;CHAR(10)&amp;Config!$B$1)</f>
        <v/>
      </c>
      <c r="V163" s="11">
        <f>IF(U163="","",HYPERLINK("https://wa.me/52"&amp;C163&amp;"?text="&amp;_xlfn.ENCODEURL(U163),"Enviar aviso de etapa"))</f>
        <v/>
      </c>
      <c r="W163" s="10">
        <f>IF(OR(B163="",O163=""),"","Hola, "&amp;B163&amp;", ¡feliz cumpleaños! Le deseo un excelente día rodeado de quienes más quiere. Ha sido un placer acompañarle desde que estrenó su Toyota. ¡Un abrazo!"&amp;CHAR(10)&amp;CHAR(10)&amp;Config!$B$1)</f>
        <v/>
      </c>
      <c r="X163" s="11">
        <f>IF(W163="","",HYPERLINK("https://wa.me/52"&amp;C163&amp;"?text="&amp;_xlfn.ENCODEURL(W163),"Enviar felicitación"))</f>
        <v/>
      </c>
      <c r="Y163" s="10">
        <f>IF(OR(B163="",P163=""),"","Hola, "&amp;B163&amp;", hoy se cumple un año más desde que estrenó su *"&amp;D163&amp;"*. Espero que haya sido un gran compañero de camino. Cualquier cosa que necesite, aquí estoy para apoyarle."&amp;CHAR(10)&amp;CHAR(10)&amp;Config!$B$1)</f>
        <v/>
      </c>
      <c r="Z163" s="11">
        <f>IF(Y163="","",HYPERLINK("https://wa.me/52"&amp;C163&amp;"?text="&amp;_xlfn.ENCODEURL(Y163),"Enviar aniversario"))</f>
        <v/>
      </c>
      <c r="AA163" s="11" t="n"/>
      <c r="AB163" s="11">
        <f>IF(OR(B163="",AA163=""),"",HYPERLINK("https://wa.me/52"&amp;C163&amp;"?text="&amp;_xlfn.ENCODEURL(_xlfn.SWITCH(AA163,"Bienvenida (primera visita)",Q163,"Seguimiento",S163,"Aviso de Etapa",U163,"Requisitos",AC163,"Datos de Facturación",AD163,"Cumpleaños",W163,"Aniversario",Y163,"")),"Enviar mensaje seleccionado"))</f>
        <v/>
      </c>
      <c r="AC163" s="10">
        <f>IF(B163="","",_xlfn.SWITCH(F163&amp;"|"&amp;G163,"Crédito|Persona física","Hola, "&amp;B163&amp;", para continuar con el proceso de tu *"&amp;D163&amp;"* por "&amp;F163&amp;",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"&amp;B163&amp;", para continuar con el proceso de tu *"&amp;D163&amp;"* por "&amp;F163&amp;",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"&amp;B163&amp;", para continuar con el proceso de tu *"&amp;D163&amp;"* por "&amp;F163&amp;",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"&amp;B163&amp;", para continuar con el proceso de tu *"&amp;D163&amp;"* por "&amp;F163&amp;", estos son los documentos que necesitamos:"&amp;CHAR(10)&amp;CHAR(10)&amp;"- INE"&amp;CHAR(10)&amp;"- Comprobante de domicilio"&amp;CHAR(10)&amp;"- Constancia de situación fiscal (no mayor a 3 meses)","Contado|Persona física con actividad empresarial","Hola, "&amp;B163&amp;", para continuar con el proceso de tu *"&amp;D163&amp;"* por "&amp;F163&amp;", estos son los documentos que necesitamos:"&amp;CHAR(10)&amp;CHAR(10)&amp;"- INE"&amp;CHAR(10)&amp;"- Comprobante de domicilio"&amp;CHAR(10)&amp;"- Constancia de situación fiscal (no mayor a 3 meses)","Contado|Persona moral","Hola, "&amp;B163&amp;", para continuar con el proceso de tu *"&amp;D163&amp;"* por "&amp;F163&amp;",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63" s="10">
        <f>IFERROR(INDEX(Facturación!$Q:$Q,MATCH(B163,Facturación!$A:$A,0)),"")</f>
        <v/>
      </c>
    </row>
    <row r="164" ht="15" customHeight="1" s="1">
      <c r="A164" s="11">
        <f>IF(B164="","",ROW()-1)</f>
        <v/>
      </c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0">
        <f>IF(OR(B164="",L164&lt;&gt;"Sí"),"","Hola, "&amp;B164&amp;", excelente día. Le saluda *Alejandro Estrada* de Toyota Corregidora."&amp;CHAR(10)&amp;"Muchas gracias por visitarnos y conocer la *"&amp;D164&amp;"*.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64" s="11">
        <f>IF(Q164="","",HYPERLINK("https://wa.me/52"&amp;C164&amp;"?text="&amp;_xlfn.ENCODEURL(Q164),"Enviar Bienvenida"))</f>
        <v/>
      </c>
      <c r="S164" s="10">
        <f>IF(B164="","","Hola, "&amp;B164&amp;", muy buen día."&amp;CHAR(10)&amp;"Espero que esté teniendo una excelente semana. Le escribo para saber si tiene alguna duda sobre la oferta del *"&amp;D164&amp;"*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64" s="11">
        <f>IF(S164="","",HYPERLINK("https://wa.me/52"&amp;C164&amp;"?text="&amp;_xlfn.ENCODEURL(S164),"Enviar Seguimiento"))</f>
        <v/>
      </c>
      <c r="U164" s="10">
        <f>IF(B164="","",_xlfn.SWITCH(M164,"Apartado","Hola, "&amp;B164&amp;", buen día. Le confirmo que su apartado por el *"&amp;D164&amp;"* quedó registrado correctamente. Seguimos con el proceso y le mantendré informado(a) de cada paso.","Toma de vehículo","Hola, "&amp;B164&amp;", le comparto que estamos en el proceso de toma de su vehículo actual. En cuanto tengamos el resultado le aviso para continuar con el siguiente paso.","Pago vehículo a cuenta","Hola, "&amp;B164&amp;", quedamos en proceso de pago del vehículo que se toma a cuenta. Cualquier documento o aclaración que se requiera se lo haré saber por este medio.","Firma de contrato","Hola, "&amp;B164&amp;", ya estamos listos para agendar la firma de su contrato. ¿Qué día y hora se le facilita para realizarla?","Facturación","Hola, "&amp;B164&amp;", su unidad ya está en proceso de facturación. En breve le comparto los datos para su confirmación.","Programación de entrega","Hola, "&amp;B164&amp;", con gusto le comparto que ya podemos programar la entrega de su *"&amp;D164&amp;"*. ¿Qué día y hora le acomodan mejor?","Entregado","Hola, "&amp;B164&amp;", ¡muchas felicidades por estrenar su *"&amp;D164&amp;"*! Fue un gusto acompañarle en este proceso. Quedo pendiente de cualquier duda y con gusto le agendo su próxima cita de servicio cuando lo necesite.","Hola, "&amp;B164&amp;", seguimos en contacto para avanzar con el proceso de su próximo Toyota.")&amp;CHAR(10)&amp;CHAR(10)&amp;Config!$B$1)</f>
        <v/>
      </c>
      <c r="V164" s="11">
        <f>IF(U164="","",HYPERLINK("https://wa.me/52"&amp;C164&amp;"?text="&amp;_xlfn.ENCODEURL(U164),"Enviar aviso de etapa"))</f>
        <v/>
      </c>
      <c r="W164" s="10">
        <f>IF(OR(B164="",O164=""),"","Hola, "&amp;B164&amp;", ¡feliz cumpleaños! Le deseo un excelente día rodeado de quienes más quiere. Ha sido un placer acompañarle desde que estrenó su Toyota. ¡Un abrazo!"&amp;CHAR(10)&amp;CHAR(10)&amp;Config!$B$1)</f>
        <v/>
      </c>
      <c r="X164" s="11">
        <f>IF(W164="","",HYPERLINK("https://wa.me/52"&amp;C164&amp;"?text="&amp;_xlfn.ENCODEURL(W164),"Enviar felicitación"))</f>
        <v/>
      </c>
      <c r="Y164" s="10">
        <f>IF(OR(B164="",P164=""),"","Hola, "&amp;B164&amp;", hoy se cumple un año más desde que estrenó su *"&amp;D164&amp;"*. Espero que haya sido un gran compañero de camino. Cualquier cosa que necesite, aquí estoy para apoyarle."&amp;CHAR(10)&amp;CHAR(10)&amp;Config!$B$1)</f>
        <v/>
      </c>
      <c r="Z164" s="11">
        <f>IF(Y164="","",HYPERLINK("https://wa.me/52"&amp;C164&amp;"?text="&amp;_xlfn.ENCODEURL(Y164),"Enviar aniversario"))</f>
        <v/>
      </c>
      <c r="AA164" s="11" t="n"/>
      <c r="AB164" s="11">
        <f>IF(OR(B164="",AA164=""),"",HYPERLINK("https://wa.me/52"&amp;C164&amp;"?text="&amp;_xlfn.ENCODEURL(_xlfn.SWITCH(AA164,"Bienvenida (primera visita)",Q164,"Seguimiento",S164,"Aviso de Etapa",U164,"Requisitos",AC164,"Datos de Facturación",AD164,"Cumpleaños",W164,"Aniversario",Y164,"")),"Enviar mensaje seleccionado"))</f>
        <v/>
      </c>
      <c r="AC164" s="10">
        <f>IF(B164="","",_xlfn.SWITCH(F164&amp;"|"&amp;G164,"Crédito|Persona física","Hola, "&amp;B164&amp;", para continuar con el proceso de tu *"&amp;D164&amp;"* por "&amp;F164&amp;",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"&amp;B164&amp;", para continuar con el proceso de tu *"&amp;D164&amp;"* por "&amp;F164&amp;",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"&amp;B164&amp;", para continuar con el proceso de tu *"&amp;D164&amp;"* por "&amp;F164&amp;",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"&amp;B164&amp;", para continuar con el proceso de tu *"&amp;D164&amp;"* por "&amp;F164&amp;", estos son los documentos que necesitamos:"&amp;CHAR(10)&amp;CHAR(10)&amp;"- INE"&amp;CHAR(10)&amp;"- Comprobante de domicilio"&amp;CHAR(10)&amp;"- Constancia de situación fiscal (no mayor a 3 meses)","Contado|Persona física con actividad empresarial","Hola, "&amp;B164&amp;", para continuar con el proceso de tu *"&amp;D164&amp;"* por "&amp;F164&amp;", estos son los documentos que necesitamos:"&amp;CHAR(10)&amp;CHAR(10)&amp;"- INE"&amp;CHAR(10)&amp;"- Comprobante de domicilio"&amp;CHAR(10)&amp;"- Constancia de situación fiscal (no mayor a 3 meses)","Contado|Persona moral","Hola, "&amp;B164&amp;", para continuar con el proceso de tu *"&amp;D164&amp;"* por "&amp;F164&amp;",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64" s="10">
        <f>IFERROR(INDEX(Facturación!$Q:$Q,MATCH(B164,Facturación!$A:$A,0)),"")</f>
        <v/>
      </c>
    </row>
    <row r="165" ht="15" customHeight="1" s="1">
      <c r="A165" s="11">
        <f>IF(B165="","",ROW()-1)</f>
        <v/>
      </c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0">
        <f>IF(OR(B165="",L165&lt;&gt;"Sí"),"","Hola, "&amp;B165&amp;", excelente día. Le saluda *Alejandro Estrada* de Toyota Corregidora."&amp;CHAR(10)&amp;"Muchas gracias por visitarnos y conocer la *"&amp;D165&amp;"*.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65" s="11">
        <f>IF(Q165="","",HYPERLINK("https://wa.me/52"&amp;C165&amp;"?text="&amp;_xlfn.ENCODEURL(Q165),"Enviar Bienvenida"))</f>
        <v/>
      </c>
      <c r="S165" s="10">
        <f>IF(B165="","","Hola, "&amp;B165&amp;", muy buen día."&amp;CHAR(10)&amp;"Espero que esté teniendo una excelente semana. Le escribo para saber si tiene alguna duda sobre la oferta del *"&amp;D165&amp;"*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65" s="11">
        <f>IF(S165="","",HYPERLINK("https://wa.me/52"&amp;C165&amp;"?text="&amp;_xlfn.ENCODEURL(S165),"Enviar Seguimiento"))</f>
        <v/>
      </c>
      <c r="U165" s="10">
        <f>IF(B165="","",_xlfn.SWITCH(M165,"Apartado","Hola, "&amp;B165&amp;", buen día. Le confirmo que su apartado por el *"&amp;D165&amp;"* quedó registrado correctamente. Seguimos con el proceso y le mantendré informado(a) de cada paso.","Toma de vehículo","Hola, "&amp;B165&amp;", le comparto que estamos en el proceso de toma de su vehículo actual. En cuanto tengamos el resultado le aviso para continuar con el siguiente paso.","Pago vehículo a cuenta","Hola, "&amp;B165&amp;", quedamos en proceso de pago del vehículo que se toma a cuenta. Cualquier documento o aclaración que se requiera se lo haré saber por este medio.","Firma de contrato","Hola, "&amp;B165&amp;", ya estamos listos para agendar la firma de su contrato. ¿Qué día y hora se le facilita para realizarla?","Facturación","Hola, "&amp;B165&amp;", su unidad ya está en proceso de facturación. En breve le comparto los datos para su confirmación.","Programación de entrega","Hola, "&amp;B165&amp;", con gusto le comparto que ya podemos programar la entrega de su *"&amp;D165&amp;"*. ¿Qué día y hora le acomodan mejor?","Entregado","Hola, "&amp;B165&amp;", ¡muchas felicidades por estrenar su *"&amp;D165&amp;"*! Fue un gusto acompañarle en este proceso. Quedo pendiente de cualquier duda y con gusto le agendo su próxima cita de servicio cuando lo necesite.","Hola, "&amp;B165&amp;", seguimos en contacto para avanzar con el proceso de su próximo Toyota.")&amp;CHAR(10)&amp;CHAR(10)&amp;Config!$B$1)</f>
        <v/>
      </c>
      <c r="V165" s="11">
        <f>IF(U165="","",HYPERLINK("https://wa.me/52"&amp;C165&amp;"?text="&amp;_xlfn.ENCODEURL(U165),"Enviar aviso de etapa"))</f>
        <v/>
      </c>
      <c r="W165" s="10">
        <f>IF(OR(B165="",O165=""),"","Hola, "&amp;B165&amp;", ¡feliz cumpleaños! Le deseo un excelente día rodeado de quienes más quiere. Ha sido un placer acompañarle desde que estrenó su Toyota. ¡Un abrazo!"&amp;CHAR(10)&amp;CHAR(10)&amp;Config!$B$1)</f>
        <v/>
      </c>
      <c r="X165" s="11">
        <f>IF(W165="","",HYPERLINK("https://wa.me/52"&amp;C165&amp;"?text="&amp;_xlfn.ENCODEURL(W165),"Enviar felicitación"))</f>
        <v/>
      </c>
      <c r="Y165" s="10">
        <f>IF(OR(B165="",P165=""),"","Hola, "&amp;B165&amp;", hoy se cumple un año más desde que estrenó su *"&amp;D165&amp;"*. Espero que haya sido un gran compañero de camino. Cualquier cosa que necesite, aquí estoy para apoyarle."&amp;CHAR(10)&amp;CHAR(10)&amp;Config!$B$1)</f>
        <v/>
      </c>
      <c r="Z165" s="11">
        <f>IF(Y165="","",HYPERLINK("https://wa.me/52"&amp;C165&amp;"?text="&amp;_xlfn.ENCODEURL(Y165),"Enviar aniversario"))</f>
        <v/>
      </c>
      <c r="AA165" s="11" t="n"/>
      <c r="AB165" s="11">
        <f>IF(OR(B165="",AA165=""),"",HYPERLINK("https://wa.me/52"&amp;C165&amp;"?text="&amp;_xlfn.ENCODEURL(_xlfn.SWITCH(AA165,"Bienvenida (primera visita)",Q165,"Seguimiento",S165,"Aviso de Etapa",U165,"Requisitos",AC165,"Datos de Facturación",AD165,"Cumpleaños",W165,"Aniversario",Y165,"")),"Enviar mensaje seleccionado"))</f>
        <v/>
      </c>
      <c r="AC165" s="10">
        <f>IF(B165="","",_xlfn.SWITCH(F165&amp;"|"&amp;G165,"Crédito|Persona física","Hola, "&amp;B165&amp;", para continuar con el proceso de tu *"&amp;D165&amp;"* por "&amp;F165&amp;",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"&amp;B165&amp;", para continuar con el proceso de tu *"&amp;D165&amp;"* por "&amp;F165&amp;",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"&amp;B165&amp;", para continuar con el proceso de tu *"&amp;D165&amp;"* por "&amp;F165&amp;",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"&amp;B165&amp;", para continuar con el proceso de tu *"&amp;D165&amp;"* por "&amp;F165&amp;", estos son los documentos que necesitamos:"&amp;CHAR(10)&amp;CHAR(10)&amp;"- INE"&amp;CHAR(10)&amp;"- Comprobante de domicilio"&amp;CHAR(10)&amp;"- Constancia de situación fiscal (no mayor a 3 meses)","Contado|Persona física con actividad empresarial","Hola, "&amp;B165&amp;", para continuar con el proceso de tu *"&amp;D165&amp;"* por "&amp;F165&amp;", estos son los documentos que necesitamos:"&amp;CHAR(10)&amp;CHAR(10)&amp;"- INE"&amp;CHAR(10)&amp;"- Comprobante de domicilio"&amp;CHAR(10)&amp;"- Constancia de situación fiscal (no mayor a 3 meses)","Contado|Persona moral","Hola, "&amp;B165&amp;", para continuar con el proceso de tu *"&amp;D165&amp;"* por "&amp;F165&amp;",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65" s="10">
        <f>IFERROR(INDEX(Facturación!$Q:$Q,MATCH(B165,Facturación!$A:$A,0)),"")</f>
        <v/>
      </c>
    </row>
    <row r="166" ht="15" customHeight="1" s="1">
      <c r="A166" s="11">
        <f>IF(B166="","",ROW()-1)</f>
        <v/>
      </c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0">
        <f>IF(OR(B166="",L166&lt;&gt;"Sí"),"","Hola, "&amp;B166&amp;", excelente día. Le saluda *Alejandro Estrada* de Toyota Corregidora."&amp;CHAR(10)&amp;"Muchas gracias por visitarnos y conocer la *"&amp;D166&amp;"*.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66" s="11">
        <f>IF(Q166="","",HYPERLINK("https://wa.me/52"&amp;C166&amp;"?text="&amp;_xlfn.ENCODEURL(Q166),"Enviar Bienvenida"))</f>
        <v/>
      </c>
      <c r="S166" s="10">
        <f>IF(B166="","","Hola, "&amp;B166&amp;", muy buen día."&amp;CHAR(10)&amp;"Espero que esté teniendo una excelente semana. Le escribo para saber si tiene alguna duda sobre la oferta del *"&amp;D166&amp;"*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66" s="11">
        <f>IF(S166="","",HYPERLINK("https://wa.me/52"&amp;C166&amp;"?text="&amp;_xlfn.ENCODEURL(S166),"Enviar Seguimiento"))</f>
        <v/>
      </c>
      <c r="U166" s="10">
        <f>IF(B166="","",_xlfn.SWITCH(M166,"Apartado","Hola, "&amp;B166&amp;", buen día. Le confirmo que su apartado por el *"&amp;D166&amp;"* quedó registrado correctamente. Seguimos con el proceso y le mantendré informado(a) de cada paso.","Toma de vehículo","Hola, "&amp;B166&amp;", le comparto que estamos en el proceso de toma de su vehículo actual. En cuanto tengamos el resultado le aviso para continuar con el siguiente paso.","Pago vehículo a cuenta","Hola, "&amp;B166&amp;", quedamos en proceso de pago del vehículo que se toma a cuenta. Cualquier documento o aclaración que se requiera se lo haré saber por este medio.","Firma de contrato","Hola, "&amp;B166&amp;", ya estamos listos para agendar la firma de su contrato. ¿Qué día y hora se le facilita para realizarla?","Facturación","Hola, "&amp;B166&amp;", su unidad ya está en proceso de facturación. En breve le comparto los datos para su confirmación.","Programación de entrega","Hola, "&amp;B166&amp;", con gusto le comparto que ya podemos programar la entrega de su *"&amp;D166&amp;"*. ¿Qué día y hora le acomodan mejor?","Entregado","Hola, "&amp;B166&amp;", ¡muchas felicidades por estrenar su *"&amp;D166&amp;"*! Fue un gusto acompañarle en este proceso. Quedo pendiente de cualquier duda y con gusto le agendo su próxima cita de servicio cuando lo necesite.","Hola, "&amp;B166&amp;", seguimos en contacto para avanzar con el proceso de su próximo Toyota.")&amp;CHAR(10)&amp;CHAR(10)&amp;Config!$B$1)</f>
        <v/>
      </c>
      <c r="V166" s="11">
        <f>IF(U166="","",HYPERLINK("https://wa.me/52"&amp;C166&amp;"?text="&amp;_xlfn.ENCODEURL(U166),"Enviar aviso de etapa"))</f>
        <v/>
      </c>
      <c r="W166" s="10">
        <f>IF(OR(B166="",O166=""),"","Hola, "&amp;B166&amp;", ¡feliz cumpleaños! Le deseo un excelente día rodeado de quienes más quiere. Ha sido un placer acompañarle desde que estrenó su Toyota. ¡Un abrazo!"&amp;CHAR(10)&amp;CHAR(10)&amp;Config!$B$1)</f>
        <v/>
      </c>
      <c r="X166" s="11">
        <f>IF(W166="","",HYPERLINK("https://wa.me/52"&amp;C166&amp;"?text="&amp;_xlfn.ENCODEURL(W166),"Enviar felicitación"))</f>
        <v/>
      </c>
      <c r="Y166" s="10">
        <f>IF(OR(B166="",P166=""),"","Hola, "&amp;B166&amp;", hoy se cumple un año más desde que estrenó su *"&amp;D166&amp;"*. Espero que haya sido un gran compañero de camino. Cualquier cosa que necesite, aquí estoy para apoyarle."&amp;CHAR(10)&amp;CHAR(10)&amp;Config!$B$1)</f>
        <v/>
      </c>
      <c r="Z166" s="11">
        <f>IF(Y166="","",HYPERLINK("https://wa.me/52"&amp;C166&amp;"?text="&amp;_xlfn.ENCODEURL(Y166),"Enviar aniversario"))</f>
        <v/>
      </c>
      <c r="AA166" s="11" t="n"/>
      <c r="AB166" s="11">
        <f>IF(OR(B166="",AA166=""),"",HYPERLINK("https://wa.me/52"&amp;C166&amp;"?text="&amp;_xlfn.ENCODEURL(_xlfn.SWITCH(AA166,"Bienvenida (primera visita)",Q166,"Seguimiento",S166,"Aviso de Etapa",U166,"Requisitos",AC166,"Datos de Facturación",AD166,"Cumpleaños",W166,"Aniversario",Y166,"")),"Enviar mensaje seleccionado"))</f>
        <v/>
      </c>
      <c r="AC166" s="10">
        <f>IF(B166="","",_xlfn.SWITCH(F166&amp;"|"&amp;G166,"Crédito|Persona física","Hola, "&amp;B166&amp;", para continuar con el proceso de tu *"&amp;D166&amp;"* por "&amp;F166&amp;",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"&amp;B166&amp;", para continuar con el proceso de tu *"&amp;D166&amp;"* por "&amp;F166&amp;",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"&amp;B166&amp;", para continuar con el proceso de tu *"&amp;D166&amp;"* por "&amp;F166&amp;",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"&amp;B166&amp;", para continuar con el proceso de tu *"&amp;D166&amp;"* por "&amp;F166&amp;", estos son los documentos que necesitamos:"&amp;CHAR(10)&amp;CHAR(10)&amp;"- INE"&amp;CHAR(10)&amp;"- Comprobante de domicilio"&amp;CHAR(10)&amp;"- Constancia de situación fiscal (no mayor a 3 meses)","Contado|Persona física con actividad empresarial","Hola, "&amp;B166&amp;", para continuar con el proceso de tu *"&amp;D166&amp;"* por "&amp;F166&amp;", estos son los documentos que necesitamos:"&amp;CHAR(10)&amp;CHAR(10)&amp;"- INE"&amp;CHAR(10)&amp;"- Comprobante de domicilio"&amp;CHAR(10)&amp;"- Constancia de situación fiscal (no mayor a 3 meses)","Contado|Persona moral","Hola, "&amp;B166&amp;", para continuar con el proceso de tu *"&amp;D166&amp;"* por "&amp;F166&amp;",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66" s="10">
        <f>IFERROR(INDEX(Facturación!$Q:$Q,MATCH(B166,Facturación!$A:$A,0)),"")</f>
        <v/>
      </c>
    </row>
    <row r="167" ht="15" customHeight="1" s="1">
      <c r="A167" s="11">
        <f>IF(B167="","",ROW()-1)</f>
        <v/>
      </c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0">
        <f>IF(OR(B167="",L167&lt;&gt;"Sí"),"","Hola, "&amp;B167&amp;", excelente día. Le saluda *Alejandro Estrada* de Toyota Corregidora."&amp;CHAR(10)&amp;"Muchas gracias por visitarnos y conocer la *"&amp;D167&amp;"*.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67" s="11">
        <f>IF(Q167="","",HYPERLINK("https://wa.me/52"&amp;C167&amp;"?text="&amp;_xlfn.ENCODEURL(Q167),"Enviar Bienvenida"))</f>
        <v/>
      </c>
      <c r="S167" s="10">
        <f>IF(B167="","","Hola, "&amp;B167&amp;", muy buen día."&amp;CHAR(10)&amp;"Espero que esté teniendo una excelente semana. Le escribo para saber si tiene alguna duda sobre la oferta del *"&amp;D167&amp;"*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67" s="11">
        <f>IF(S167="","",HYPERLINK("https://wa.me/52"&amp;C167&amp;"?text="&amp;_xlfn.ENCODEURL(S167),"Enviar Seguimiento"))</f>
        <v/>
      </c>
      <c r="U167" s="10">
        <f>IF(B167="","",_xlfn.SWITCH(M167,"Apartado","Hola, "&amp;B167&amp;", buen día. Le confirmo que su apartado por el *"&amp;D167&amp;"* quedó registrado correctamente. Seguimos con el proceso y le mantendré informado(a) de cada paso.","Toma de vehículo","Hola, "&amp;B167&amp;", le comparto que estamos en el proceso de toma de su vehículo actual. En cuanto tengamos el resultado le aviso para continuar con el siguiente paso.","Pago vehículo a cuenta","Hola, "&amp;B167&amp;", quedamos en proceso de pago del vehículo que se toma a cuenta. Cualquier documento o aclaración que se requiera se lo haré saber por este medio.","Firma de contrato","Hola, "&amp;B167&amp;", ya estamos listos para agendar la firma de su contrato. ¿Qué día y hora se le facilita para realizarla?","Facturación","Hola, "&amp;B167&amp;", su unidad ya está en proceso de facturación. En breve le comparto los datos para su confirmación.","Programación de entrega","Hola, "&amp;B167&amp;", con gusto le comparto que ya podemos programar la entrega de su *"&amp;D167&amp;"*. ¿Qué día y hora le acomodan mejor?","Entregado","Hola, "&amp;B167&amp;", ¡muchas felicidades por estrenar su *"&amp;D167&amp;"*! Fue un gusto acompañarle en este proceso. Quedo pendiente de cualquier duda y con gusto le agendo su próxima cita de servicio cuando lo necesite.","Hola, "&amp;B167&amp;", seguimos en contacto para avanzar con el proceso de su próximo Toyota.")&amp;CHAR(10)&amp;CHAR(10)&amp;Config!$B$1)</f>
        <v/>
      </c>
      <c r="V167" s="11">
        <f>IF(U167="","",HYPERLINK("https://wa.me/52"&amp;C167&amp;"?text="&amp;_xlfn.ENCODEURL(U167),"Enviar aviso de etapa"))</f>
        <v/>
      </c>
      <c r="W167" s="10">
        <f>IF(OR(B167="",O167=""),"","Hola, "&amp;B167&amp;", ¡feliz cumpleaños! Le deseo un excelente día rodeado de quienes más quiere. Ha sido un placer acompañarle desde que estrenó su Toyota. ¡Un abrazo!"&amp;CHAR(10)&amp;CHAR(10)&amp;Config!$B$1)</f>
        <v/>
      </c>
      <c r="X167" s="11">
        <f>IF(W167="","",HYPERLINK("https://wa.me/52"&amp;C167&amp;"?text="&amp;_xlfn.ENCODEURL(W167),"Enviar felicitación"))</f>
        <v/>
      </c>
      <c r="Y167" s="10">
        <f>IF(OR(B167="",P167=""),"","Hola, "&amp;B167&amp;", hoy se cumple un año más desde que estrenó su *"&amp;D167&amp;"*. Espero que haya sido un gran compañero de camino. Cualquier cosa que necesite, aquí estoy para apoyarle."&amp;CHAR(10)&amp;CHAR(10)&amp;Config!$B$1)</f>
        <v/>
      </c>
      <c r="Z167" s="11">
        <f>IF(Y167="","",HYPERLINK("https://wa.me/52"&amp;C167&amp;"?text="&amp;_xlfn.ENCODEURL(Y167),"Enviar aniversario"))</f>
        <v/>
      </c>
      <c r="AA167" s="11" t="n"/>
      <c r="AB167" s="11">
        <f>IF(OR(B167="",AA167=""),"",HYPERLINK("https://wa.me/52"&amp;C167&amp;"?text="&amp;_xlfn.ENCODEURL(_xlfn.SWITCH(AA167,"Bienvenida (primera visita)",Q167,"Seguimiento",S167,"Aviso de Etapa",U167,"Requisitos",AC167,"Datos de Facturación",AD167,"Cumpleaños",W167,"Aniversario",Y167,"")),"Enviar mensaje seleccionado"))</f>
        <v/>
      </c>
      <c r="AC167" s="10">
        <f>IF(B167="","",_xlfn.SWITCH(F167&amp;"|"&amp;G167,"Crédito|Persona física","Hola, "&amp;B167&amp;", para continuar con el proceso de tu *"&amp;D167&amp;"* por "&amp;F167&amp;",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"&amp;B167&amp;", para continuar con el proceso de tu *"&amp;D167&amp;"* por "&amp;F167&amp;",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"&amp;B167&amp;", para continuar con el proceso de tu *"&amp;D167&amp;"* por "&amp;F167&amp;",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"&amp;B167&amp;", para continuar con el proceso de tu *"&amp;D167&amp;"* por "&amp;F167&amp;", estos son los documentos que necesitamos:"&amp;CHAR(10)&amp;CHAR(10)&amp;"- INE"&amp;CHAR(10)&amp;"- Comprobante de domicilio"&amp;CHAR(10)&amp;"- Constancia de situación fiscal (no mayor a 3 meses)","Contado|Persona física con actividad empresarial","Hola, "&amp;B167&amp;", para continuar con el proceso de tu *"&amp;D167&amp;"* por "&amp;F167&amp;", estos son los documentos que necesitamos:"&amp;CHAR(10)&amp;CHAR(10)&amp;"- INE"&amp;CHAR(10)&amp;"- Comprobante de domicilio"&amp;CHAR(10)&amp;"- Constancia de situación fiscal (no mayor a 3 meses)","Contado|Persona moral","Hola, "&amp;B167&amp;", para continuar con el proceso de tu *"&amp;D167&amp;"* por "&amp;F167&amp;",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67" s="10">
        <f>IFERROR(INDEX(Facturación!$Q:$Q,MATCH(B167,Facturación!$A:$A,0)),"")</f>
        <v/>
      </c>
    </row>
    <row r="168" ht="15" customHeight="1" s="1">
      <c r="A168" s="11">
        <f>IF(B168="","",ROW()-1)</f>
        <v/>
      </c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0">
        <f>IF(OR(B168="",L168&lt;&gt;"Sí"),"","Hola, "&amp;B168&amp;", excelente día. Le saluda *Alejandro Estrada* de Toyota Corregidora."&amp;CHAR(10)&amp;"Muchas gracias por visitarnos y conocer la *"&amp;D168&amp;"*.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68" s="11">
        <f>IF(Q168="","",HYPERLINK("https://wa.me/52"&amp;C168&amp;"?text="&amp;_xlfn.ENCODEURL(Q168),"Enviar Bienvenida"))</f>
        <v/>
      </c>
      <c r="S168" s="10">
        <f>IF(B168="","","Hola, "&amp;B168&amp;", muy buen día."&amp;CHAR(10)&amp;"Espero que esté teniendo una excelente semana. Le escribo para saber si tiene alguna duda sobre la oferta del *"&amp;D168&amp;"*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68" s="11">
        <f>IF(S168="","",HYPERLINK("https://wa.me/52"&amp;C168&amp;"?text="&amp;_xlfn.ENCODEURL(S168),"Enviar Seguimiento"))</f>
        <v/>
      </c>
      <c r="U168" s="10">
        <f>IF(B168="","",_xlfn.SWITCH(M168,"Apartado","Hola, "&amp;B168&amp;", buen día. Le confirmo que su apartado por el *"&amp;D168&amp;"* quedó registrado correctamente. Seguimos con el proceso y le mantendré informado(a) de cada paso.","Toma de vehículo","Hola, "&amp;B168&amp;", le comparto que estamos en el proceso de toma de su vehículo actual. En cuanto tengamos el resultado le aviso para continuar con el siguiente paso.","Pago vehículo a cuenta","Hola, "&amp;B168&amp;", quedamos en proceso de pago del vehículo que se toma a cuenta. Cualquier documento o aclaración que se requiera se lo haré saber por este medio.","Firma de contrato","Hola, "&amp;B168&amp;", ya estamos listos para agendar la firma de su contrato. ¿Qué día y hora se le facilita para realizarla?","Facturación","Hola, "&amp;B168&amp;", su unidad ya está en proceso de facturación. En breve le comparto los datos para su confirmación.","Programación de entrega","Hola, "&amp;B168&amp;", con gusto le comparto que ya podemos programar la entrega de su *"&amp;D168&amp;"*. ¿Qué día y hora le acomodan mejor?","Entregado","Hola, "&amp;B168&amp;", ¡muchas felicidades por estrenar su *"&amp;D168&amp;"*! Fue un gusto acompañarle en este proceso. Quedo pendiente de cualquier duda y con gusto le agendo su próxima cita de servicio cuando lo necesite.","Hola, "&amp;B168&amp;", seguimos en contacto para avanzar con el proceso de su próximo Toyota.")&amp;CHAR(10)&amp;CHAR(10)&amp;Config!$B$1)</f>
        <v/>
      </c>
      <c r="V168" s="11">
        <f>IF(U168="","",HYPERLINK("https://wa.me/52"&amp;C168&amp;"?text="&amp;_xlfn.ENCODEURL(U168),"Enviar aviso de etapa"))</f>
        <v/>
      </c>
      <c r="W168" s="10">
        <f>IF(OR(B168="",O168=""),"","Hola, "&amp;B168&amp;", ¡feliz cumpleaños! Le deseo un excelente día rodeado de quienes más quiere. Ha sido un placer acompañarle desde que estrenó su Toyota. ¡Un abrazo!"&amp;CHAR(10)&amp;CHAR(10)&amp;Config!$B$1)</f>
        <v/>
      </c>
      <c r="X168" s="11">
        <f>IF(W168="","",HYPERLINK("https://wa.me/52"&amp;C168&amp;"?text="&amp;_xlfn.ENCODEURL(W168),"Enviar felicitación"))</f>
        <v/>
      </c>
      <c r="Y168" s="10">
        <f>IF(OR(B168="",P168=""),"","Hola, "&amp;B168&amp;", hoy se cumple un año más desde que estrenó su *"&amp;D168&amp;"*. Espero que haya sido un gran compañero de camino. Cualquier cosa que necesite, aquí estoy para apoyarle."&amp;CHAR(10)&amp;CHAR(10)&amp;Config!$B$1)</f>
        <v/>
      </c>
      <c r="Z168" s="11">
        <f>IF(Y168="","",HYPERLINK("https://wa.me/52"&amp;C168&amp;"?text="&amp;_xlfn.ENCODEURL(Y168),"Enviar aniversario"))</f>
        <v/>
      </c>
      <c r="AA168" s="11" t="n"/>
      <c r="AB168" s="11">
        <f>IF(OR(B168="",AA168=""),"",HYPERLINK("https://wa.me/52"&amp;C168&amp;"?text="&amp;_xlfn.ENCODEURL(_xlfn.SWITCH(AA168,"Bienvenida (primera visita)",Q168,"Seguimiento",S168,"Aviso de Etapa",U168,"Requisitos",AC168,"Datos de Facturación",AD168,"Cumpleaños",W168,"Aniversario",Y168,"")),"Enviar mensaje seleccionado"))</f>
        <v/>
      </c>
      <c r="AC168" s="10">
        <f>IF(B168="","",_xlfn.SWITCH(F168&amp;"|"&amp;G168,"Crédito|Persona física","Hola, "&amp;B168&amp;", para continuar con el proceso de tu *"&amp;D168&amp;"* por "&amp;F168&amp;",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"&amp;B168&amp;", para continuar con el proceso de tu *"&amp;D168&amp;"* por "&amp;F168&amp;",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"&amp;B168&amp;", para continuar con el proceso de tu *"&amp;D168&amp;"* por "&amp;F168&amp;",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"&amp;B168&amp;", para continuar con el proceso de tu *"&amp;D168&amp;"* por "&amp;F168&amp;", estos son los documentos que necesitamos:"&amp;CHAR(10)&amp;CHAR(10)&amp;"- INE"&amp;CHAR(10)&amp;"- Comprobante de domicilio"&amp;CHAR(10)&amp;"- Constancia de situación fiscal (no mayor a 3 meses)","Contado|Persona física con actividad empresarial","Hola, "&amp;B168&amp;", para continuar con el proceso de tu *"&amp;D168&amp;"* por "&amp;F168&amp;", estos son los documentos que necesitamos:"&amp;CHAR(10)&amp;CHAR(10)&amp;"- INE"&amp;CHAR(10)&amp;"- Comprobante de domicilio"&amp;CHAR(10)&amp;"- Constancia de situación fiscal (no mayor a 3 meses)","Contado|Persona moral","Hola, "&amp;B168&amp;", para continuar con el proceso de tu *"&amp;D168&amp;"* por "&amp;F168&amp;",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68" s="10">
        <f>IFERROR(INDEX(Facturación!$Q:$Q,MATCH(B168,Facturación!$A:$A,0)),"")</f>
        <v/>
      </c>
    </row>
    <row r="169" ht="15" customHeight="1" s="1">
      <c r="A169" s="11">
        <f>IF(B169="","",ROW()-1)</f>
        <v/>
      </c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0">
        <f>IF(OR(B169="",L169&lt;&gt;"Sí"),"","Hola, "&amp;B169&amp;", excelente día. Le saluda *Alejandro Estrada* de Toyota Corregidora."&amp;CHAR(10)&amp;"Muchas gracias por visitarnos y conocer la *"&amp;D169&amp;"*.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69" s="11">
        <f>IF(Q169="","",HYPERLINK("https://wa.me/52"&amp;C169&amp;"?text="&amp;_xlfn.ENCODEURL(Q169),"Enviar Bienvenida"))</f>
        <v/>
      </c>
      <c r="S169" s="10">
        <f>IF(B169="","","Hola, "&amp;B169&amp;", muy buen día."&amp;CHAR(10)&amp;"Espero que esté teniendo una excelente semana. Le escribo para saber si tiene alguna duda sobre la oferta del *"&amp;D169&amp;"*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69" s="11">
        <f>IF(S169="","",HYPERLINK("https://wa.me/52"&amp;C169&amp;"?text="&amp;_xlfn.ENCODEURL(S169),"Enviar Seguimiento"))</f>
        <v/>
      </c>
      <c r="U169" s="10">
        <f>IF(B169="","",_xlfn.SWITCH(M169,"Apartado","Hola, "&amp;B169&amp;", buen día. Le confirmo que su apartado por el *"&amp;D169&amp;"* quedó registrado correctamente. Seguimos con el proceso y le mantendré informado(a) de cada paso.","Toma de vehículo","Hola, "&amp;B169&amp;", le comparto que estamos en el proceso de toma de su vehículo actual. En cuanto tengamos el resultado le aviso para continuar con el siguiente paso.","Pago vehículo a cuenta","Hola, "&amp;B169&amp;", quedamos en proceso de pago del vehículo que se toma a cuenta. Cualquier documento o aclaración que se requiera se lo haré saber por este medio.","Firma de contrato","Hola, "&amp;B169&amp;", ya estamos listos para agendar la firma de su contrato. ¿Qué día y hora se le facilita para realizarla?","Facturación","Hola, "&amp;B169&amp;", su unidad ya está en proceso de facturación. En breve le comparto los datos para su confirmación.","Programación de entrega","Hola, "&amp;B169&amp;", con gusto le comparto que ya podemos programar la entrega de su *"&amp;D169&amp;"*. ¿Qué día y hora le acomodan mejor?","Entregado","Hola, "&amp;B169&amp;", ¡muchas felicidades por estrenar su *"&amp;D169&amp;"*! Fue un gusto acompañarle en este proceso. Quedo pendiente de cualquier duda y con gusto le agendo su próxima cita de servicio cuando lo necesite.","Hola, "&amp;B169&amp;", seguimos en contacto para avanzar con el proceso de su próximo Toyota.")&amp;CHAR(10)&amp;CHAR(10)&amp;Config!$B$1)</f>
        <v/>
      </c>
      <c r="V169" s="11">
        <f>IF(U169="","",HYPERLINK("https://wa.me/52"&amp;C169&amp;"?text="&amp;_xlfn.ENCODEURL(U169),"Enviar aviso de etapa"))</f>
        <v/>
      </c>
      <c r="W169" s="10">
        <f>IF(OR(B169="",O169=""),"","Hola, "&amp;B169&amp;", ¡feliz cumpleaños! Le deseo un excelente día rodeado de quienes más quiere. Ha sido un placer acompañarle desde que estrenó su Toyota. ¡Un abrazo!"&amp;CHAR(10)&amp;CHAR(10)&amp;Config!$B$1)</f>
        <v/>
      </c>
      <c r="X169" s="11">
        <f>IF(W169="","",HYPERLINK("https://wa.me/52"&amp;C169&amp;"?text="&amp;_xlfn.ENCODEURL(W169),"Enviar felicitación"))</f>
        <v/>
      </c>
      <c r="Y169" s="10">
        <f>IF(OR(B169="",P169=""),"","Hola, "&amp;B169&amp;", hoy se cumple un año más desde que estrenó su *"&amp;D169&amp;"*. Espero que haya sido un gran compañero de camino. Cualquier cosa que necesite, aquí estoy para apoyarle."&amp;CHAR(10)&amp;CHAR(10)&amp;Config!$B$1)</f>
        <v/>
      </c>
      <c r="Z169" s="11">
        <f>IF(Y169="","",HYPERLINK("https://wa.me/52"&amp;C169&amp;"?text="&amp;_xlfn.ENCODEURL(Y169),"Enviar aniversario"))</f>
        <v/>
      </c>
      <c r="AA169" s="11" t="n"/>
      <c r="AB169" s="11">
        <f>IF(OR(B169="",AA169=""),"",HYPERLINK("https://wa.me/52"&amp;C169&amp;"?text="&amp;_xlfn.ENCODEURL(_xlfn.SWITCH(AA169,"Bienvenida (primera visita)",Q169,"Seguimiento",S169,"Aviso de Etapa",U169,"Requisitos",AC169,"Datos de Facturación",AD169,"Cumpleaños",W169,"Aniversario",Y169,"")),"Enviar mensaje seleccionado"))</f>
        <v/>
      </c>
      <c r="AC169" s="10">
        <f>IF(B169="","",_xlfn.SWITCH(F169&amp;"|"&amp;G169,"Crédito|Persona física","Hola, "&amp;B169&amp;", para continuar con el proceso de tu *"&amp;D169&amp;"* por "&amp;F169&amp;",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"&amp;B169&amp;", para continuar con el proceso de tu *"&amp;D169&amp;"* por "&amp;F169&amp;",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"&amp;B169&amp;", para continuar con el proceso de tu *"&amp;D169&amp;"* por "&amp;F169&amp;",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"&amp;B169&amp;", para continuar con el proceso de tu *"&amp;D169&amp;"* por "&amp;F169&amp;", estos son los documentos que necesitamos:"&amp;CHAR(10)&amp;CHAR(10)&amp;"- INE"&amp;CHAR(10)&amp;"- Comprobante de domicilio"&amp;CHAR(10)&amp;"- Constancia de situación fiscal (no mayor a 3 meses)","Contado|Persona física con actividad empresarial","Hola, "&amp;B169&amp;", para continuar con el proceso de tu *"&amp;D169&amp;"* por "&amp;F169&amp;", estos son los documentos que necesitamos:"&amp;CHAR(10)&amp;CHAR(10)&amp;"- INE"&amp;CHAR(10)&amp;"- Comprobante de domicilio"&amp;CHAR(10)&amp;"- Constancia de situación fiscal (no mayor a 3 meses)","Contado|Persona moral","Hola, "&amp;B169&amp;", para continuar con el proceso de tu *"&amp;D169&amp;"* por "&amp;F169&amp;",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69" s="10">
        <f>IFERROR(INDEX(Facturación!$Q:$Q,MATCH(B169,Facturación!$A:$A,0)),"")</f>
        <v/>
      </c>
    </row>
    <row r="170" ht="15" customHeight="1" s="1">
      <c r="A170" s="11">
        <f>IF(B170="","",ROW()-1)</f>
        <v/>
      </c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0">
        <f>IF(OR(B170="",L170&lt;&gt;"Sí"),"","Hola, "&amp;B170&amp;", excelente día. Le saluda *Alejandro Estrada* de Toyota Corregidora."&amp;CHAR(10)&amp;"Muchas gracias por visitarnos y conocer la *"&amp;D170&amp;"*.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70" s="11">
        <f>IF(Q170="","",HYPERLINK("https://wa.me/52"&amp;C170&amp;"?text="&amp;_xlfn.ENCODEURL(Q170),"Enviar Bienvenida"))</f>
        <v/>
      </c>
      <c r="S170" s="10">
        <f>IF(B170="","","Hola, "&amp;B170&amp;", muy buen día."&amp;CHAR(10)&amp;"Espero que esté teniendo una excelente semana. Le escribo para saber si tiene alguna duda sobre la oferta del *"&amp;D170&amp;"*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70" s="11">
        <f>IF(S170="","",HYPERLINK("https://wa.me/52"&amp;C170&amp;"?text="&amp;_xlfn.ENCODEURL(S170),"Enviar Seguimiento"))</f>
        <v/>
      </c>
      <c r="U170" s="10">
        <f>IF(B170="","",_xlfn.SWITCH(M170,"Apartado","Hola, "&amp;B170&amp;", buen día. Le confirmo que su apartado por el *"&amp;D170&amp;"* quedó registrado correctamente. Seguimos con el proceso y le mantendré informado(a) de cada paso.","Toma de vehículo","Hola, "&amp;B170&amp;", le comparto que estamos en el proceso de toma de su vehículo actual. En cuanto tengamos el resultado le aviso para continuar con el siguiente paso.","Pago vehículo a cuenta","Hola, "&amp;B170&amp;", quedamos en proceso de pago del vehículo que se toma a cuenta. Cualquier documento o aclaración que se requiera se lo haré saber por este medio.","Firma de contrato","Hola, "&amp;B170&amp;", ya estamos listos para agendar la firma de su contrato. ¿Qué día y hora se le facilita para realizarla?","Facturación","Hola, "&amp;B170&amp;", su unidad ya está en proceso de facturación. En breve le comparto los datos para su confirmación.","Programación de entrega","Hola, "&amp;B170&amp;", con gusto le comparto que ya podemos programar la entrega de su *"&amp;D170&amp;"*. ¿Qué día y hora le acomodan mejor?","Entregado","Hola, "&amp;B170&amp;", ¡muchas felicidades por estrenar su *"&amp;D170&amp;"*! Fue un gusto acompañarle en este proceso. Quedo pendiente de cualquier duda y con gusto le agendo su próxima cita de servicio cuando lo necesite.","Hola, "&amp;B170&amp;", seguimos en contacto para avanzar con el proceso de su próximo Toyota.")&amp;CHAR(10)&amp;CHAR(10)&amp;Config!$B$1)</f>
        <v/>
      </c>
      <c r="V170" s="11">
        <f>IF(U170="","",HYPERLINK("https://wa.me/52"&amp;C170&amp;"?text="&amp;_xlfn.ENCODEURL(U170),"Enviar aviso de etapa"))</f>
        <v/>
      </c>
      <c r="W170" s="10">
        <f>IF(OR(B170="",O170=""),"","Hola, "&amp;B170&amp;", ¡feliz cumpleaños! Le deseo un excelente día rodeado de quienes más quiere. Ha sido un placer acompañarle desde que estrenó su Toyota. ¡Un abrazo!"&amp;CHAR(10)&amp;CHAR(10)&amp;Config!$B$1)</f>
        <v/>
      </c>
      <c r="X170" s="11">
        <f>IF(W170="","",HYPERLINK("https://wa.me/52"&amp;C170&amp;"?text="&amp;_xlfn.ENCODEURL(W170),"Enviar felicitación"))</f>
        <v/>
      </c>
      <c r="Y170" s="10">
        <f>IF(OR(B170="",P170=""),"","Hola, "&amp;B170&amp;", hoy se cumple un año más desde que estrenó su *"&amp;D170&amp;"*. Espero que haya sido un gran compañero de camino. Cualquier cosa que necesite, aquí estoy para apoyarle."&amp;CHAR(10)&amp;CHAR(10)&amp;Config!$B$1)</f>
        <v/>
      </c>
      <c r="Z170" s="11">
        <f>IF(Y170="","",HYPERLINK("https://wa.me/52"&amp;C170&amp;"?text="&amp;_xlfn.ENCODEURL(Y170),"Enviar aniversario"))</f>
        <v/>
      </c>
      <c r="AA170" s="11" t="n"/>
      <c r="AB170" s="11">
        <f>IF(OR(B170="",AA170=""),"",HYPERLINK("https://wa.me/52"&amp;C170&amp;"?text="&amp;_xlfn.ENCODEURL(_xlfn.SWITCH(AA170,"Bienvenida (primera visita)",Q170,"Seguimiento",S170,"Aviso de Etapa",U170,"Requisitos",AC170,"Datos de Facturación",AD170,"Cumpleaños",W170,"Aniversario",Y170,"")),"Enviar mensaje seleccionado"))</f>
        <v/>
      </c>
      <c r="AC170" s="10">
        <f>IF(B170="","",_xlfn.SWITCH(F170&amp;"|"&amp;G170,"Crédito|Persona física","Hola, "&amp;B170&amp;", para continuar con el proceso de tu *"&amp;D170&amp;"* por "&amp;F170&amp;",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"&amp;B170&amp;", para continuar con el proceso de tu *"&amp;D170&amp;"* por "&amp;F170&amp;",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"&amp;B170&amp;", para continuar con el proceso de tu *"&amp;D170&amp;"* por "&amp;F170&amp;",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"&amp;B170&amp;", para continuar con el proceso de tu *"&amp;D170&amp;"* por "&amp;F170&amp;", estos son los documentos que necesitamos:"&amp;CHAR(10)&amp;CHAR(10)&amp;"- INE"&amp;CHAR(10)&amp;"- Comprobante de domicilio"&amp;CHAR(10)&amp;"- Constancia de situación fiscal (no mayor a 3 meses)","Contado|Persona física con actividad empresarial","Hola, "&amp;B170&amp;", para continuar con el proceso de tu *"&amp;D170&amp;"* por "&amp;F170&amp;", estos son los documentos que necesitamos:"&amp;CHAR(10)&amp;CHAR(10)&amp;"- INE"&amp;CHAR(10)&amp;"- Comprobante de domicilio"&amp;CHAR(10)&amp;"- Constancia de situación fiscal (no mayor a 3 meses)","Contado|Persona moral","Hola, "&amp;B170&amp;", para continuar con el proceso de tu *"&amp;D170&amp;"* por "&amp;F170&amp;",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70" s="10">
        <f>IFERROR(INDEX(Facturación!$Q:$Q,MATCH(B170,Facturación!$A:$A,0)),"")</f>
        <v/>
      </c>
    </row>
    <row r="171" ht="15" customHeight="1" s="1">
      <c r="A171" s="11">
        <f>IF(B171="","",ROW()-1)</f>
        <v/>
      </c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0">
        <f>IF(OR(B171="",L171&lt;&gt;"Sí"),"","Hola, "&amp;B171&amp;", excelente día. Le saluda *Alejandro Estrada* de Toyota Corregidora."&amp;CHAR(10)&amp;"Muchas gracias por visitarnos y conocer la *"&amp;D171&amp;"*.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71" s="11">
        <f>IF(Q171="","",HYPERLINK("https://wa.me/52"&amp;C171&amp;"?text="&amp;_xlfn.ENCODEURL(Q171),"Enviar Bienvenida"))</f>
        <v/>
      </c>
      <c r="S171" s="10">
        <f>IF(B171="","","Hola, "&amp;B171&amp;", muy buen día."&amp;CHAR(10)&amp;"Espero que esté teniendo una excelente semana. Le escribo para saber si tiene alguna duda sobre la oferta del *"&amp;D171&amp;"*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71" s="11">
        <f>IF(S171="","",HYPERLINK("https://wa.me/52"&amp;C171&amp;"?text="&amp;_xlfn.ENCODEURL(S171),"Enviar Seguimiento"))</f>
        <v/>
      </c>
      <c r="U171" s="10">
        <f>IF(B171="","",_xlfn.SWITCH(M171,"Apartado","Hola, "&amp;B171&amp;", buen día. Le confirmo que su apartado por el *"&amp;D171&amp;"* quedó registrado correctamente. Seguimos con el proceso y le mantendré informado(a) de cada paso.","Toma de vehículo","Hola, "&amp;B171&amp;", le comparto que estamos en el proceso de toma de su vehículo actual. En cuanto tengamos el resultado le aviso para continuar con el siguiente paso.","Pago vehículo a cuenta","Hola, "&amp;B171&amp;", quedamos en proceso de pago del vehículo que se toma a cuenta. Cualquier documento o aclaración que se requiera se lo haré saber por este medio.","Firma de contrato","Hola, "&amp;B171&amp;", ya estamos listos para agendar la firma de su contrato. ¿Qué día y hora se le facilita para realizarla?","Facturación","Hola, "&amp;B171&amp;", su unidad ya está en proceso de facturación. En breve le comparto los datos para su confirmación.","Programación de entrega","Hola, "&amp;B171&amp;", con gusto le comparto que ya podemos programar la entrega de su *"&amp;D171&amp;"*. ¿Qué día y hora le acomodan mejor?","Entregado","Hola, "&amp;B171&amp;", ¡muchas felicidades por estrenar su *"&amp;D171&amp;"*! Fue un gusto acompañarle en este proceso. Quedo pendiente de cualquier duda y con gusto le agendo su próxima cita de servicio cuando lo necesite.","Hola, "&amp;B171&amp;", seguimos en contacto para avanzar con el proceso de su próximo Toyota.")&amp;CHAR(10)&amp;CHAR(10)&amp;Config!$B$1)</f>
        <v/>
      </c>
      <c r="V171" s="11">
        <f>IF(U171="","",HYPERLINK("https://wa.me/52"&amp;C171&amp;"?text="&amp;_xlfn.ENCODEURL(U171),"Enviar aviso de etapa"))</f>
        <v/>
      </c>
      <c r="W171" s="10">
        <f>IF(OR(B171="",O171=""),"","Hola, "&amp;B171&amp;", ¡feliz cumpleaños! Le deseo un excelente día rodeado de quienes más quiere. Ha sido un placer acompañarle desde que estrenó su Toyota. ¡Un abrazo!"&amp;CHAR(10)&amp;CHAR(10)&amp;Config!$B$1)</f>
        <v/>
      </c>
      <c r="X171" s="11">
        <f>IF(W171="","",HYPERLINK("https://wa.me/52"&amp;C171&amp;"?text="&amp;_xlfn.ENCODEURL(W171),"Enviar felicitación"))</f>
        <v/>
      </c>
      <c r="Y171" s="10">
        <f>IF(OR(B171="",P171=""),"","Hola, "&amp;B171&amp;", hoy se cumple un año más desde que estrenó su *"&amp;D171&amp;"*. Espero que haya sido un gran compañero de camino. Cualquier cosa que necesite, aquí estoy para apoyarle."&amp;CHAR(10)&amp;CHAR(10)&amp;Config!$B$1)</f>
        <v/>
      </c>
      <c r="Z171" s="11">
        <f>IF(Y171="","",HYPERLINK("https://wa.me/52"&amp;C171&amp;"?text="&amp;_xlfn.ENCODEURL(Y171),"Enviar aniversario"))</f>
        <v/>
      </c>
      <c r="AA171" s="11" t="n"/>
      <c r="AB171" s="11">
        <f>IF(OR(B171="",AA171=""),"",HYPERLINK("https://wa.me/52"&amp;C171&amp;"?text="&amp;_xlfn.ENCODEURL(_xlfn.SWITCH(AA171,"Bienvenida (primera visita)",Q171,"Seguimiento",S171,"Aviso de Etapa",U171,"Requisitos",AC171,"Datos de Facturación",AD171,"Cumpleaños",W171,"Aniversario",Y171,"")),"Enviar mensaje seleccionado"))</f>
        <v/>
      </c>
      <c r="AC171" s="10">
        <f>IF(B171="","",_xlfn.SWITCH(F171&amp;"|"&amp;G171,"Crédito|Persona física","Hola, "&amp;B171&amp;", para continuar con el proceso de tu *"&amp;D171&amp;"* por "&amp;F171&amp;",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"&amp;B171&amp;", para continuar con el proceso de tu *"&amp;D171&amp;"* por "&amp;F171&amp;",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"&amp;B171&amp;", para continuar con el proceso de tu *"&amp;D171&amp;"* por "&amp;F171&amp;",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"&amp;B171&amp;", para continuar con el proceso de tu *"&amp;D171&amp;"* por "&amp;F171&amp;", estos son los documentos que necesitamos:"&amp;CHAR(10)&amp;CHAR(10)&amp;"- INE"&amp;CHAR(10)&amp;"- Comprobante de domicilio"&amp;CHAR(10)&amp;"- Constancia de situación fiscal (no mayor a 3 meses)","Contado|Persona física con actividad empresarial","Hola, "&amp;B171&amp;", para continuar con el proceso de tu *"&amp;D171&amp;"* por "&amp;F171&amp;", estos son los documentos que necesitamos:"&amp;CHAR(10)&amp;CHAR(10)&amp;"- INE"&amp;CHAR(10)&amp;"- Comprobante de domicilio"&amp;CHAR(10)&amp;"- Constancia de situación fiscal (no mayor a 3 meses)","Contado|Persona moral","Hola, "&amp;B171&amp;", para continuar con el proceso de tu *"&amp;D171&amp;"* por "&amp;F171&amp;",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71" s="10">
        <f>IFERROR(INDEX(Facturación!$Q:$Q,MATCH(B171,Facturación!$A:$A,0)),"")</f>
        <v/>
      </c>
    </row>
    <row r="172" ht="15" customHeight="1" s="1">
      <c r="A172" s="11">
        <f>IF(B172="","",ROW()-1)</f>
        <v/>
      </c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0">
        <f>IF(OR(B172="",L172&lt;&gt;"Sí"),"","Hola, "&amp;B172&amp;", excelente día. Le saluda *Alejandro Estrada* de Toyota Corregidora."&amp;CHAR(10)&amp;"Muchas gracias por visitarnos y conocer la *"&amp;D172&amp;"*.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72" s="11">
        <f>IF(Q172="","",HYPERLINK("https://wa.me/52"&amp;C172&amp;"?text="&amp;_xlfn.ENCODEURL(Q172),"Enviar Bienvenida"))</f>
        <v/>
      </c>
      <c r="S172" s="10">
        <f>IF(B172="","","Hola, "&amp;B172&amp;", muy buen día."&amp;CHAR(10)&amp;"Espero que esté teniendo una excelente semana. Le escribo para saber si tiene alguna duda sobre la oferta del *"&amp;D172&amp;"*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72" s="11">
        <f>IF(S172="","",HYPERLINK("https://wa.me/52"&amp;C172&amp;"?text="&amp;_xlfn.ENCODEURL(S172),"Enviar Seguimiento"))</f>
        <v/>
      </c>
      <c r="U172" s="10">
        <f>IF(B172="","",_xlfn.SWITCH(M172,"Apartado","Hola, "&amp;B172&amp;", buen día. Le confirmo que su apartado por el *"&amp;D172&amp;"* quedó registrado correctamente. Seguimos con el proceso y le mantendré informado(a) de cada paso.","Toma de vehículo","Hola, "&amp;B172&amp;", le comparto que estamos en el proceso de toma de su vehículo actual. En cuanto tengamos el resultado le aviso para continuar con el siguiente paso.","Pago vehículo a cuenta","Hola, "&amp;B172&amp;", quedamos en proceso de pago del vehículo que se toma a cuenta. Cualquier documento o aclaración que se requiera se lo haré saber por este medio.","Firma de contrato","Hola, "&amp;B172&amp;", ya estamos listos para agendar la firma de su contrato. ¿Qué día y hora se le facilita para realizarla?","Facturación","Hola, "&amp;B172&amp;", su unidad ya está en proceso de facturación. En breve le comparto los datos para su confirmación.","Programación de entrega","Hola, "&amp;B172&amp;", con gusto le comparto que ya podemos programar la entrega de su *"&amp;D172&amp;"*. ¿Qué día y hora le acomodan mejor?","Entregado","Hola, "&amp;B172&amp;", ¡muchas felicidades por estrenar su *"&amp;D172&amp;"*! Fue un gusto acompañarle en este proceso. Quedo pendiente de cualquier duda y con gusto le agendo su próxima cita de servicio cuando lo necesite.","Hola, "&amp;B172&amp;", seguimos en contacto para avanzar con el proceso de su próximo Toyota.")&amp;CHAR(10)&amp;CHAR(10)&amp;Config!$B$1)</f>
        <v/>
      </c>
      <c r="V172" s="11">
        <f>IF(U172="","",HYPERLINK("https://wa.me/52"&amp;C172&amp;"?text="&amp;_xlfn.ENCODEURL(U172),"Enviar aviso de etapa"))</f>
        <v/>
      </c>
      <c r="W172" s="10">
        <f>IF(OR(B172="",O172=""),"","Hola, "&amp;B172&amp;", ¡feliz cumpleaños! Le deseo un excelente día rodeado de quienes más quiere. Ha sido un placer acompañarle desde que estrenó su Toyota. ¡Un abrazo!"&amp;CHAR(10)&amp;CHAR(10)&amp;Config!$B$1)</f>
        <v/>
      </c>
      <c r="X172" s="11">
        <f>IF(W172="","",HYPERLINK("https://wa.me/52"&amp;C172&amp;"?text="&amp;_xlfn.ENCODEURL(W172),"Enviar felicitación"))</f>
        <v/>
      </c>
      <c r="Y172" s="10">
        <f>IF(OR(B172="",P172=""),"","Hola, "&amp;B172&amp;", hoy se cumple un año más desde que estrenó su *"&amp;D172&amp;"*. Espero que haya sido un gran compañero de camino. Cualquier cosa que necesite, aquí estoy para apoyarle."&amp;CHAR(10)&amp;CHAR(10)&amp;Config!$B$1)</f>
        <v/>
      </c>
      <c r="Z172" s="11">
        <f>IF(Y172="","",HYPERLINK("https://wa.me/52"&amp;C172&amp;"?text="&amp;_xlfn.ENCODEURL(Y172),"Enviar aniversario"))</f>
        <v/>
      </c>
      <c r="AA172" s="11" t="n"/>
      <c r="AB172" s="11">
        <f>IF(OR(B172="",AA172=""),"",HYPERLINK("https://wa.me/52"&amp;C172&amp;"?text="&amp;_xlfn.ENCODEURL(_xlfn.SWITCH(AA172,"Bienvenida (primera visita)",Q172,"Seguimiento",S172,"Aviso de Etapa",U172,"Requisitos",AC172,"Datos de Facturación",AD172,"Cumpleaños",W172,"Aniversario",Y172,"")),"Enviar mensaje seleccionado"))</f>
        <v/>
      </c>
      <c r="AC172" s="10">
        <f>IF(B172="","",_xlfn.SWITCH(F172&amp;"|"&amp;G172,"Crédito|Persona física","Hola, "&amp;B172&amp;", para continuar con el proceso de tu *"&amp;D172&amp;"* por "&amp;F172&amp;",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"&amp;B172&amp;", para continuar con el proceso de tu *"&amp;D172&amp;"* por "&amp;F172&amp;",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"&amp;B172&amp;", para continuar con el proceso de tu *"&amp;D172&amp;"* por "&amp;F172&amp;",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"&amp;B172&amp;", para continuar con el proceso de tu *"&amp;D172&amp;"* por "&amp;F172&amp;", estos son los documentos que necesitamos:"&amp;CHAR(10)&amp;CHAR(10)&amp;"- INE"&amp;CHAR(10)&amp;"- Comprobante de domicilio"&amp;CHAR(10)&amp;"- Constancia de situación fiscal (no mayor a 3 meses)","Contado|Persona física con actividad empresarial","Hola, "&amp;B172&amp;", para continuar con el proceso de tu *"&amp;D172&amp;"* por "&amp;F172&amp;", estos son los documentos que necesitamos:"&amp;CHAR(10)&amp;CHAR(10)&amp;"- INE"&amp;CHAR(10)&amp;"- Comprobante de domicilio"&amp;CHAR(10)&amp;"- Constancia de situación fiscal (no mayor a 3 meses)","Contado|Persona moral","Hola, "&amp;B172&amp;", para continuar con el proceso de tu *"&amp;D172&amp;"* por "&amp;F172&amp;",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72" s="10">
        <f>IFERROR(INDEX(Facturación!$Q:$Q,MATCH(B172,Facturación!$A:$A,0)),"")</f>
        <v/>
      </c>
    </row>
    <row r="173" ht="15" customHeight="1" s="1">
      <c r="A173" s="11">
        <f>IF(B173="","",ROW()-1)</f>
        <v/>
      </c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0">
        <f>IF(OR(B173="",L173&lt;&gt;"Sí"),"","Hola, "&amp;B173&amp;", excelente día. Le saluda *Alejandro Estrada* de Toyota Corregidora."&amp;CHAR(10)&amp;"Muchas gracias por visitarnos y conocer la *"&amp;D173&amp;"*.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73" s="11">
        <f>IF(Q173="","",HYPERLINK("https://wa.me/52"&amp;C173&amp;"?text="&amp;_xlfn.ENCODEURL(Q173),"Enviar Bienvenida"))</f>
        <v/>
      </c>
      <c r="S173" s="10">
        <f>IF(B173="","","Hola, "&amp;B173&amp;", muy buen día."&amp;CHAR(10)&amp;"Espero que esté teniendo una excelente semana. Le escribo para saber si tiene alguna duda sobre la oferta del *"&amp;D173&amp;"*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73" s="11">
        <f>IF(S173="","",HYPERLINK("https://wa.me/52"&amp;C173&amp;"?text="&amp;_xlfn.ENCODEURL(S173),"Enviar Seguimiento"))</f>
        <v/>
      </c>
      <c r="U173" s="10">
        <f>IF(B173="","",_xlfn.SWITCH(M173,"Apartado","Hola, "&amp;B173&amp;", buen día. Le confirmo que su apartado por el *"&amp;D173&amp;"* quedó registrado correctamente. Seguimos con el proceso y le mantendré informado(a) de cada paso.","Toma de vehículo","Hola, "&amp;B173&amp;", le comparto que estamos en el proceso de toma de su vehículo actual. En cuanto tengamos el resultado le aviso para continuar con el siguiente paso.","Pago vehículo a cuenta","Hola, "&amp;B173&amp;", quedamos en proceso de pago del vehículo que se toma a cuenta. Cualquier documento o aclaración que se requiera se lo haré saber por este medio.","Firma de contrato","Hola, "&amp;B173&amp;", ya estamos listos para agendar la firma de su contrato. ¿Qué día y hora se le facilita para realizarla?","Facturación","Hola, "&amp;B173&amp;", su unidad ya está en proceso de facturación. En breve le comparto los datos para su confirmación.","Programación de entrega","Hola, "&amp;B173&amp;", con gusto le comparto que ya podemos programar la entrega de su *"&amp;D173&amp;"*. ¿Qué día y hora le acomodan mejor?","Entregado","Hola, "&amp;B173&amp;", ¡muchas felicidades por estrenar su *"&amp;D173&amp;"*! Fue un gusto acompañarle en este proceso. Quedo pendiente de cualquier duda y con gusto le agendo su próxima cita de servicio cuando lo necesite.","Hola, "&amp;B173&amp;", seguimos en contacto para avanzar con el proceso de su próximo Toyota.")&amp;CHAR(10)&amp;CHAR(10)&amp;Config!$B$1)</f>
        <v/>
      </c>
      <c r="V173" s="11">
        <f>IF(U173="","",HYPERLINK("https://wa.me/52"&amp;C173&amp;"?text="&amp;_xlfn.ENCODEURL(U173),"Enviar aviso de etapa"))</f>
        <v/>
      </c>
      <c r="W173" s="10">
        <f>IF(OR(B173="",O173=""),"","Hola, "&amp;B173&amp;", ¡feliz cumpleaños! Le deseo un excelente día rodeado de quienes más quiere. Ha sido un placer acompañarle desde que estrenó su Toyota. ¡Un abrazo!"&amp;CHAR(10)&amp;CHAR(10)&amp;Config!$B$1)</f>
        <v/>
      </c>
      <c r="X173" s="11">
        <f>IF(W173="","",HYPERLINK("https://wa.me/52"&amp;C173&amp;"?text="&amp;_xlfn.ENCODEURL(W173),"Enviar felicitación"))</f>
        <v/>
      </c>
      <c r="Y173" s="10">
        <f>IF(OR(B173="",P173=""),"","Hola, "&amp;B173&amp;", hoy se cumple un año más desde que estrenó su *"&amp;D173&amp;"*. Espero que haya sido un gran compañero de camino. Cualquier cosa que necesite, aquí estoy para apoyarle."&amp;CHAR(10)&amp;CHAR(10)&amp;Config!$B$1)</f>
        <v/>
      </c>
      <c r="Z173" s="11">
        <f>IF(Y173="","",HYPERLINK("https://wa.me/52"&amp;C173&amp;"?text="&amp;_xlfn.ENCODEURL(Y173),"Enviar aniversario"))</f>
        <v/>
      </c>
      <c r="AA173" s="11" t="n"/>
      <c r="AB173" s="11">
        <f>IF(OR(B173="",AA173=""),"",HYPERLINK("https://wa.me/52"&amp;C173&amp;"?text="&amp;_xlfn.ENCODEURL(_xlfn.SWITCH(AA173,"Bienvenida (primera visita)",Q173,"Seguimiento",S173,"Aviso de Etapa",U173,"Requisitos",AC173,"Datos de Facturación",AD173,"Cumpleaños",W173,"Aniversario",Y173,"")),"Enviar mensaje seleccionado"))</f>
        <v/>
      </c>
      <c r="AC173" s="10">
        <f>IF(B173="","",_xlfn.SWITCH(F173&amp;"|"&amp;G173,"Crédito|Persona física","Hola, "&amp;B173&amp;", para continuar con el proceso de tu *"&amp;D173&amp;"* por "&amp;F173&amp;",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"&amp;B173&amp;", para continuar con el proceso de tu *"&amp;D173&amp;"* por "&amp;F173&amp;",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"&amp;B173&amp;", para continuar con el proceso de tu *"&amp;D173&amp;"* por "&amp;F173&amp;",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"&amp;B173&amp;", para continuar con el proceso de tu *"&amp;D173&amp;"* por "&amp;F173&amp;", estos son los documentos que necesitamos:"&amp;CHAR(10)&amp;CHAR(10)&amp;"- INE"&amp;CHAR(10)&amp;"- Comprobante de domicilio"&amp;CHAR(10)&amp;"- Constancia de situación fiscal (no mayor a 3 meses)","Contado|Persona física con actividad empresarial","Hola, "&amp;B173&amp;", para continuar con el proceso de tu *"&amp;D173&amp;"* por "&amp;F173&amp;", estos son los documentos que necesitamos:"&amp;CHAR(10)&amp;CHAR(10)&amp;"- INE"&amp;CHAR(10)&amp;"- Comprobante de domicilio"&amp;CHAR(10)&amp;"- Constancia de situación fiscal (no mayor a 3 meses)","Contado|Persona moral","Hola, "&amp;B173&amp;", para continuar con el proceso de tu *"&amp;D173&amp;"* por "&amp;F173&amp;",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73" s="10">
        <f>IFERROR(INDEX(Facturación!$Q:$Q,MATCH(B173,Facturación!$A:$A,0)),"")</f>
        <v/>
      </c>
    </row>
    <row r="174" ht="15" customHeight="1" s="1">
      <c r="A174" s="11">
        <f>IF(B174="","",ROW()-1)</f>
        <v/>
      </c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0">
        <f>IF(OR(B174="",L174&lt;&gt;"Sí"),"","Hola, "&amp;B174&amp;", excelente día. Le saluda *Alejandro Estrada* de Toyota Corregidora."&amp;CHAR(10)&amp;"Muchas gracias por visitarnos y conocer la *"&amp;D174&amp;"*.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74" s="11">
        <f>IF(Q174="","",HYPERLINK("https://wa.me/52"&amp;C174&amp;"?text="&amp;_xlfn.ENCODEURL(Q174),"Enviar Bienvenida"))</f>
        <v/>
      </c>
      <c r="S174" s="10">
        <f>IF(B174="","","Hola, "&amp;B174&amp;", muy buen día."&amp;CHAR(10)&amp;"Espero que esté teniendo una excelente semana. Le escribo para saber si tiene alguna duda sobre la oferta del *"&amp;D174&amp;"*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74" s="11">
        <f>IF(S174="","",HYPERLINK("https://wa.me/52"&amp;C174&amp;"?text="&amp;_xlfn.ENCODEURL(S174),"Enviar Seguimiento"))</f>
        <v/>
      </c>
      <c r="U174" s="10">
        <f>IF(B174="","",_xlfn.SWITCH(M174,"Apartado","Hola, "&amp;B174&amp;", buen día. Le confirmo que su apartado por el *"&amp;D174&amp;"* quedó registrado correctamente. Seguimos con el proceso y le mantendré informado(a) de cada paso.","Toma de vehículo","Hola, "&amp;B174&amp;", le comparto que estamos en el proceso de toma de su vehículo actual. En cuanto tengamos el resultado le aviso para continuar con el siguiente paso.","Pago vehículo a cuenta","Hola, "&amp;B174&amp;", quedamos en proceso de pago del vehículo que se toma a cuenta. Cualquier documento o aclaración que se requiera se lo haré saber por este medio.","Firma de contrato","Hola, "&amp;B174&amp;", ya estamos listos para agendar la firma de su contrato. ¿Qué día y hora se le facilita para realizarla?","Facturación","Hola, "&amp;B174&amp;", su unidad ya está en proceso de facturación. En breve le comparto los datos para su confirmación.","Programación de entrega","Hola, "&amp;B174&amp;", con gusto le comparto que ya podemos programar la entrega de su *"&amp;D174&amp;"*. ¿Qué día y hora le acomodan mejor?","Entregado","Hola, "&amp;B174&amp;", ¡muchas felicidades por estrenar su *"&amp;D174&amp;"*! Fue un gusto acompañarle en este proceso. Quedo pendiente de cualquier duda y con gusto le agendo su próxima cita de servicio cuando lo necesite.","Hola, "&amp;B174&amp;", seguimos en contacto para avanzar con el proceso de su próximo Toyota.")&amp;CHAR(10)&amp;CHAR(10)&amp;Config!$B$1)</f>
        <v/>
      </c>
      <c r="V174" s="11">
        <f>IF(U174="","",HYPERLINK("https://wa.me/52"&amp;C174&amp;"?text="&amp;_xlfn.ENCODEURL(U174),"Enviar aviso de etapa"))</f>
        <v/>
      </c>
      <c r="W174" s="10">
        <f>IF(OR(B174="",O174=""),"","Hola, "&amp;B174&amp;", ¡feliz cumpleaños! Le deseo un excelente día rodeado de quienes más quiere. Ha sido un placer acompañarle desde que estrenó su Toyota. ¡Un abrazo!"&amp;CHAR(10)&amp;CHAR(10)&amp;Config!$B$1)</f>
        <v/>
      </c>
      <c r="X174" s="11">
        <f>IF(W174="","",HYPERLINK("https://wa.me/52"&amp;C174&amp;"?text="&amp;_xlfn.ENCODEURL(W174),"Enviar felicitación"))</f>
        <v/>
      </c>
      <c r="Y174" s="10">
        <f>IF(OR(B174="",P174=""),"","Hola, "&amp;B174&amp;", hoy se cumple un año más desde que estrenó su *"&amp;D174&amp;"*. Espero que haya sido un gran compañero de camino. Cualquier cosa que necesite, aquí estoy para apoyarle."&amp;CHAR(10)&amp;CHAR(10)&amp;Config!$B$1)</f>
        <v/>
      </c>
      <c r="Z174" s="11">
        <f>IF(Y174="","",HYPERLINK("https://wa.me/52"&amp;C174&amp;"?text="&amp;_xlfn.ENCODEURL(Y174),"Enviar aniversario"))</f>
        <v/>
      </c>
      <c r="AA174" s="11" t="n"/>
      <c r="AB174" s="11">
        <f>IF(OR(B174="",AA174=""),"",HYPERLINK("https://wa.me/52"&amp;C174&amp;"?text="&amp;_xlfn.ENCODEURL(_xlfn.SWITCH(AA174,"Bienvenida (primera visita)",Q174,"Seguimiento",S174,"Aviso de Etapa",U174,"Requisitos",AC174,"Datos de Facturación",AD174,"Cumpleaños",W174,"Aniversario",Y174,"")),"Enviar mensaje seleccionado"))</f>
        <v/>
      </c>
      <c r="AC174" s="10">
        <f>IF(B174="","",_xlfn.SWITCH(F174&amp;"|"&amp;G174,"Crédito|Persona física","Hola, "&amp;B174&amp;", para continuar con el proceso de tu *"&amp;D174&amp;"* por "&amp;F174&amp;",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"&amp;B174&amp;", para continuar con el proceso de tu *"&amp;D174&amp;"* por "&amp;F174&amp;",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"&amp;B174&amp;", para continuar con el proceso de tu *"&amp;D174&amp;"* por "&amp;F174&amp;",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"&amp;B174&amp;", para continuar con el proceso de tu *"&amp;D174&amp;"* por "&amp;F174&amp;", estos son los documentos que necesitamos:"&amp;CHAR(10)&amp;CHAR(10)&amp;"- INE"&amp;CHAR(10)&amp;"- Comprobante de domicilio"&amp;CHAR(10)&amp;"- Constancia de situación fiscal (no mayor a 3 meses)","Contado|Persona física con actividad empresarial","Hola, "&amp;B174&amp;", para continuar con el proceso de tu *"&amp;D174&amp;"* por "&amp;F174&amp;", estos son los documentos que necesitamos:"&amp;CHAR(10)&amp;CHAR(10)&amp;"- INE"&amp;CHAR(10)&amp;"- Comprobante de domicilio"&amp;CHAR(10)&amp;"- Constancia de situación fiscal (no mayor a 3 meses)","Contado|Persona moral","Hola, "&amp;B174&amp;", para continuar con el proceso de tu *"&amp;D174&amp;"* por "&amp;F174&amp;",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74" s="10">
        <f>IFERROR(INDEX(Facturación!$Q:$Q,MATCH(B174,Facturación!$A:$A,0)),"")</f>
        <v/>
      </c>
    </row>
    <row r="175" ht="15" customHeight="1" s="1">
      <c r="A175" s="11">
        <f>IF(B175="","",ROW()-1)</f>
        <v/>
      </c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0">
        <f>IF(OR(B175="",L175&lt;&gt;"Sí"),"","Hola, "&amp;B175&amp;", excelente día. Le saluda *Alejandro Estrada* de Toyota Corregidora."&amp;CHAR(10)&amp;"Muchas gracias por visitarnos y conocer la *"&amp;D175&amp;"*.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75" s="11">
        <f>IF(Q175="","",HYPERLINK("https://wa.me/52"&amp;C175&amp;"?text="&amp;_xlfn.ENCODEURL(Q175),"Enviar Bienvenida"))</f>
        <v/>
      </c>
      <c r="S175" s="10">
        <f>IF(B175="","","Hola, "&amp;B175&amp;", muy buen día."&amp;CHAR(10)&amp;"Espero que esté teniendo una excelente semana. Le escribo para saber si tiene alguna duda sobre la oferta del *"&amp;D175&amp;"*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75" s="11">
        <f>IF(S175="","",HYPERLINK("https://wa.me/52"&amp;C175&amp;"?text="&amp;_xlfn.ENCODEURL(S175),"Enviar Seguimiento"))</f>
        <v/>
      </c>
      <c r="U175" s="10">
        <f>IF(B175="","",_xlfn.SWITCH(M175,"Apartado","Hola, "&amp;B175&amp;", buen día. Le confirmo que su apartado por el *"&amp;D175&amp;"* quedó registrado correctamente. Seguimos con el proceso y le mantendré informado(a) de cada paso.","Toma de vehículo","Hola, "&amp;B175&amp;", le comparto que estamos en el proceso de toma de su vehículo actual. En cuanto tengamos el resultado le aviso para continuar con el siguiente paso.","Pago vehículo a cuenta","Hola, "&amp;B175&amp;", quedamos en proceso de pago del vehículo que se toma a cuenta. Cualquier documento o aclaración que se requiera se lo haré saber por este medio.","Firma de contrato","Hola, "&amp;B175&amp;", ya estamos listos para agendar la firma de su contrato. ¿Qué día y hora se le facilita para realizarla?","Facturación","Hola, "&amp;B175&amp;", su unidad ya está en proceso de facturación. En breve le comparto los datos para su confirmación.","Programación de entrega","Hola, "&amp;B175&amp;", con gusto le comparto que ya podemos programar la entrega de su *"&amp;D175&amp;"*. ¿Qué día y hora le acomodan mejor?","Entregado","Hola, "&amp;B175&amp;", ¡muchas felicidades por estrenar su *"&amp;D175&amp;"*! Fue un gusto acompañarle en este proceso. Quedo pendiente de cualquier duda y con gusto le agendo su próxima cita de servicio cuando lo necesite.","Hola, "&amp;B175&amp;", seguimos en contacto para avanzar con el proceso de su próximo Toyota.")&amp;CHAR(10)&amp;CHAR(10)&amp;Config!$B$1)</f>
        <v/>
      </c>
      <c r="V175" s="11">
        <f>IF(U175="","",HYPERLINK("https://wa.me/52"&amp;C175&amp;"?text="&amp;_xlfn.ENCODEURL(U175),"Enviar aviso de etapa"))</f>
        <v/>
      </c>
      <c r="W175" s="10">
        <f>IF(OR(B175="",O175=""),"","Hola, "&amp;B175&amp;", ¡feliz cumpleaños! Le deseo un excelente día rodeado de quienes más quiere. Ha sido un placer acompañarle desde que estrenó su Toyota. ¡Un abrazo!"&amp;CHAR(10)&amp;CHAR(10)&amp;Config!$B$1)</f>
        <v/>
      </c>
      <c r="X175" s="11">
        <f>IF(W175="","",HYPERLINK("https://wa.me/52"&amp;C175&amp;"?text="&amp;_xlfn.ENCODEURL(W175),"Enviar felicitación"))</f>
        <v/>
      </c>
      <c r="Y175" s="10">
        <f>IF(OR(B175="",P175=""),"","Hola, "&amp;B175&amp;", hoy se cumple un año más desde que estrenó su *"&amp;D175&amp;"*. Espero que haya sido un gran compañero de camino. Cualquier cosa que necesite, aquí estoy para apoyarle."&amp;CHAR(10)&amp;CHAR(10)&amp;Config!$B$1)</f>
        <v/>
      </c>
      <c r="Z175" s="11">
        <f>IF(Y175="","",HYPERLINK("https://wa.me/52"&amp;C175&amp;"?text="&amp;_xlfn.ENCODEURL(Y175),"Enviar aniversario"))</f>
        <v/>
      </c>
      <c r="AA175" s="11" t="n"/>
      <c r="AB175" s="11">
        <f>IF(OR(B175="",AA175=""),"",HYPERLINK("https://wa.me/52"&amp;C175&amp;"?text="&amp;_xlfn.ENCODEURL(_xlfn.SWITCH(AA175,"Bienvenida (primera visita)",Q175,"Seguimiento",S175,"Aviso de Etapa",U175,"Requisitos",AC175,"Datos de Facturación",AD175,"Cumpleaños",W175,"Aniversario",Y175,"")),"Enviar mensaje seleccionado"))</f>
        <v/>
      </c>
      <c r="AC175" s="10">
        <f>IF(B175="","",_xlfn.SWITCH(F175&amp;"|"&amp;G175,"Crédito|Persona física","Hola, "&amp;B175&amp;", para continuar con el proceso de tu *"&amp;D175&amp;"* por "&amp;F175&amp;",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"&amp;B175&amp;", para continuar con el proceso de tu *"&amp;D175&amp;"* por "&amp;F175&amp;",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"&amp;B175&amp;", para continuar con el proceso de tu *"&amp;D175&amp;"* por "&amp;F175&amp;",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"&amp;B175&amp;", para continuar con el proceso de tu *"&amp;D175&amp;"* por "&amp;F175&amp;", estos son los documentos que necesitamos:"&amp;CHAR(10)&amp;CHAR(10)&amp;"- INE"&amp;CHAR(10)&amp;"- Comprobante de domicilio"&amp;CHAR(10)&amp;"- Constancia de situación fiscal (no mayor a 3 meses)","Contado|Persona física con actividad empresarial","Hola, "&amp;B175&amp;", para continuar con el proceso de tu *"&amp;D175&amp;"* por "&amp;F175&amp;", estos son los documentos que necesitamos:"&amp;CHAR(10)&amp;CHAR(10)&amp;"- INE"&amp;CHAR(10)&amp;"- Comprobante de domicilio"&amp;CHAR(10)&amp;"- Constancia de situación fiscal (no mayor a 3 meses)","Contado|Persona moral","Hola, "&amp;B175&amp;", para continuar con el proceso de tu *"&amp;D175&amp;"* por "&amp;F175&amp;",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75" s="10">
        <f>IFERROR(INDEX(Facturación!$Q:$Q,MATCH(B175,Facturación!$A:$A,0)),"")</f>
        <v/>
      </c>
    </row>
    <row r="176" ht="15" customHeight="1" s="1">
      <c r="A176" s="11">
        <f>IF(B176="","",ROW()-1)</f>
        <v/>
      </c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0">
        <f>IF(OR(B176="",L176&lt;&gt;"Sí"),"","Hola, "&amp;B176&amp;", excelente día. Le saluda *Alejandro Estrada* de Toyota Corregidora."&amp;CHAR(10)&amp;"Muchas gracias por visitarnos y conocer la *"&amp;D176&amp;"*.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76" s="11">
        <f>IF(Q176="","",HYPERLINK("https://wa.me/52"&amp;C176&amp;"?text="&amp;_xlfn.ENCODEURL(Q176),"Enviar Bienvenida"))</f>
        <v/>
      </c>
      <c r="S176" s="10">
        <f>IF(B176="","","Hola, "&amp;B176&amp;", muy buen día."&amp;CHAR(10)&amp;"Espero que esté teniendo una excelente semana. Le escribo para saber si tiene alguna duda sobre la oferta del *"&amp;D176&amp;"*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76" s="11">
        <f>IF(S176="","",HYPERLINK("https://wa.me/52"&amp;C176&amp;"?text="&amp;_xlfn.ENCODEURL(S176),"Enviar Seguimiento"))</f>
        <v/>
      </c>
      <c r="U176" s="10">
        <f>IF(B176="","",_xlfn.SWITCH(M176,"Apartado","Hola, "&amp;B176&amp;", buen día. Le confirmo que su apartado por el *"&amp;D176&amp;"* quedó registrado correctamente. Seguimos con el proceso y le mantendré informado(a) de cada paso.","Toma de vehículo","Hola, "&amp;B176&amp;", le comparto que estamos en el proceso de toma de su vehículo actual. En cuanto tengamos el resultado le aviso para continuar con el siguiente paso.","Pago vehículo a cuenta","Hola, "&amp;B176&amp;", quedamos en proceso de pago del vehículo que se toma a cuenta. Cualquier documento o aclaración que se requiera se lo haré saber por este medio.","Firma de contrato","Hola, "&amp;B176&amp;", ya estamos listos para agendar la firma de su contrato. ¿Qué día y hora se le facilita para realizarla?","Facturación","Hola, "&amp;B176&amp;", su unidad ya está en proceso de facturación. En breve le comparto los datos para su confirmación.","Programación de entrega","Hola, "&amp;B176&amp;", con gusto le comparto que ya podemos programar la entrega de su *"&amp;D176&amp;"*. ¿Qué día y hora le acomodan mejor?","Entregado","Hola, "&amp;B176&amp;", ¡muchas felicidades por estrenar su *"&amp;D176&amp;"*! Fue un gusto acompañarle en este proceso. Quedo pendiente de cualquier duda y con gusto le agendo su próxima cita de servicio cuando lo necesite.","Hola, "&amp;B176&amp;", seguimos en contacto para avanzar con el proceso de su próximo Toyota.")&amp;CHAR(10)&amp;CHAR(10)&amp;Config!$B$1)</f>
        <v/>
      </c>
      <c r="V176" s="11">
        <f>IF(U176="","",HYPERLINK("https://wa.me/52"&amp;C176&amp;"?text="&amp;_xlfn.ENCODEURL(U176),"Enviar aviso de etapa"))</f>
        <v/>
      </c>
      <c r="W176" s="10">
        <f>IF(OR(B176="",O176=""),"","Hola, "&amp;B176&amp;", ¡feliz cumpleaños! Le deseo un excelente día rodeado de quienes más quiere. Ha sido un placer acompañarle desde que estrenó su Toyota. ¡Un abrazo!"&amp;CHAR(10)&amp;CHAR(10)&amp;Config!$B$1)</f>
        <v/>
      </c>
      <c r="X176" s="11">
        <f>IF(W176="","",HYPERLINK("https://wa.me/52"&amp;C176&amp;"?text="&amp;_xlfn.ENCODEURL(W176),"Enviar felicitación"))</f>
        <v/>
      </c>
      <c r="Y176" s="10">
        <f>IF(OR(B176="",P176=""),"","Hola, "&amp;B176&amp;", hoy se cumple un año más desde que estrenó su *"&amp;D176&amp;"*. Espero que haya sido un gran compañero de camino. Cualquier cosa que necesite, aquí estoy para apoyarle."&amp;CHAR(10)&amp;CHAR(10)&amp;Config!$B$1)</f>
        <v/>
      </c>
      <c r="Z176" s="11">
        <f>IF(Y176="","",HYPERLINK("https://wa.me/52"&amp;C176&amp;"?text="&amp;_xlfn.ENCODEURL(Y176),"Enviar aniversario"))</f>
        <v/>
      </c>
      <c r="AA176" s="11" t="n"/>
      <c r="AB176" s="11">
        <f>IF(OR(B176="",AA176=""),"",HYPERLINK("https://wa.me/52"&amp;C176&amp;"?text="&amp;_xlfn.ENCODEURL(_xlfn.SWITCH(AA176,"Bienvenida (primera visita)",Q176,"Seguimiento",S176,"Aviso de Etapa",U176,"Requisitos",AC176,"Datos de Facturación",AD176,"Cumpleaños",W176,"Aniversario",Y176,"")),"Enviar mensaje seleccionado"))</f>
        <v/>
      </c>
      <c r="AC176" s="10">
        <f>IF(B176="","",_xlfn.SWITCH(F176&amp;"|"&amp;G176,"Crédito|Persona física","Hola, "&amp;B176&amp;", para continuar con el proceso de tu *"&amp;D176&amp;"* por "&amp;F176&amp;",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"&amp;B176&amp;", para continuar con el proceso de tu *"&amp;D176&amp;"* por "&amp;F176&amp;",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"&amp;B176&amp;", para continuar con el proceso de tu *"&amp;D176&amp;"* por "&amp;F176&amp;",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"&amp;B176&amp;", para continuar con el proceso de tu *"&amp;D176&amp;"* por "&amp;F176&amp;", estos son los documentos que necesitamos:"&amp;CHAR(10)&amp;CHAR(10)&amp;"- INE"&amp;CHAR(10)&amp;"- Comprobante de domicilio"&amp;CHAR(10)&amp;"- Constancia de situación fiscal (no mayor a 3 meses)","Contado|Persona física con actividad empresarial","Hola, "&amp;B176&amp;", para continuar con el proceso de tu *"&amp;D176&amp;"* por "&amp;F176&amp;", estos son los documentos que necesitamos:"&amp;CHAR(10)&amp;CHAR(10)&amp;"- INE"&amp;CHAR(10)&amp;"- Comprobante de domicilio"&amp;CHAR(10)&amp;"- Constancia de situación fiscal (no mayor a 3 meses)","Contado|Persona moral","Hola, "&amp;B176&amp;", para continuar con el proceso de tu *"&amp;D176&amp;"* por "&amp;F176&amp;",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76" s="10">
        <f>IFERROR(INDEX(Facturación!$Q:$Q,MATCH(B176,Facturación!$A:$A,0)),"")</f>
        <v/>
      </c>
    </row>
    <row r="177" ht="15" customHeight="1" s="1">
      <c r="A177" s="11">
        <f>IF(B177="","",ROW()-1)</f>
        <v/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0">
        <f>IF(OR(B177="",L177&lt;&gt;"Sí"),"","Hola, "&amp;B177&amp;", excelente día. Le saluda *Alejandro Estrada* de Toyota Corregidora."&amp;CHAR(10)&amp;"Muchas gracias por visitarnos y conocer la *"&amp;D177&amp;"*.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77" s="11">
        <f>IF(Q177="","",HYPERLINK("https://wa.me/52"&amp;C177&amp;"?text="&amp;_xlfn.ENCODEURL(Q177),"Enviar Bienvenida"))</f>
        <v/>
      </c>
      <c r="S177" s="10">
        <f>IF(B177="","","Hola, "&amp;B177&amp;", muy buen día."&amp;CHAR(10)&amp;"Espero que esté teniendo una excelente semana. Le escribo para saber si tiene alguna duda sobre la oferta del *"&amp;D177&amp;"*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77" s="11">
        <f>IF(S177="","",HYPERLINK("https://wa.me/52"&amp;C177&amp;"?text="&amp;_xlfn.ENCODEURL(S177),"Enviar Seguimiento"))</f>
        <v/>
      </c>
      <c r="U177" s="10">
        <f>IF(B177="","",_xlfn.SWITCH(M177,"Apartado","Hola, "&amp;B177&amp;", buen día. Le confirmo que su apartado por el *"&amp;D177&amp;"* quedó registrado correctamente. Seguimos con el proceso y le mantendré informado(a) de cada paso.","Toma de vehículo","Hola, "&amp;B177&amp;", le comparto que estamos en el proceso de toma de su vehículo actual. En cuanto tengamos el resultado le aviso para continuar con el siguiente paso.","Pago vehículo a cuenta","Hola, "&amp;B177&amp;", quedamos en proceso de pago del vehículo que se toma a cuenta. Cualquier documento o aclaración que se requiera se lo haré saber por este medio.","Firma de contrato","Hola, "&amp;B177&amp;", ya estamos listos para agendar la firma de su contrato. ¿Qué día y hora se le facilita para realizarla?","Facturación","Hola, "&amp;B177&amp;", su unidad ya está en proceso de facturación. En breve le comparto los datos para su confirmación.","Programación de entrega","Hola, "&amp;B177&amp;", con gusto le comparto que ya podemos programar la entrega de su *"&amp;D177&amp;"*. ¿Qué día y hora le acomodan mejor?","Entregado","Hola, "&amp;B177&amp;", ¡muchas felicidades por estrenar su *"&amp;D177&amp;"*! Fue un gusto acompañarle en este proceso. Quedo pendiente de cualquier duda y con gusto le agendo su próxima cita de servicio cuando lo necesite.","Hola, "&amp;B177&amp;", seguimos en contacto para avanzar con el proceso de su próximo Toyota.")&amp;CHAR(10)&amp;CHAR(10)&amp;Config!$B$1)</f>
        <v/>
      </c>
      <c r="V177" s="11">
        <f>IF(U177="","",HYPERLINK("https://wa.me/52"&amp;C177&amp;"?text="&amp;_xlfn.ENCODEURL(U177),"Enviar aviso de etapa"))</f>
        <v/>
      </c>
      <c r="W177" s="10">
        <f>IF(OR(B177="",O177=""),"","Hola, "&amp;B177&amp;", ¡feliz cumpleaños! Le deseo un excelente día rodeado de quienes más quiere. Ha sido un placer acompañarle desde que estrenó su Toyota. ¡Un abrazo!"&amp;CHAR(10)&amp;CHAR(10)&amp;Config!$B$1)</f>
        <v/>
      </c>
      <c r="X177" s="11">
        <f>IF(W177="","",HYPERLINK("https://wa.me/52"&amp;C177&amp;"?text="&amp;_xlfn.ENCODEURL(W177),"Enviar felicitación"))</f>
        <v/>
      </c>
      <c r="Y177" s="10">
        <f>IF(OR(B177="",P177=""),"","Hola, "&amp;B177&amp;", hoy se cumple un año más desde que estrenó su *"&amp;D177&amp;"*. Espero que haya sido un gran compañero de camino. Cualquier cosa que necesite, aquí estoy para apoyarle."&amp;CHAR(10)&amp;CHAR(10)&amp;Config!$B$1)</f>
        <v/>
      </c>
      <c r="Z177" s="11">
        <f>IF(Y177="","",HYPERLINK("https://wa.me/52"&amp;C177&amp;"?text="&amp;_xlfn.ENCODEURL(Y177),"Enviar aniversario"))</f>
        <v/>
      </c>
      <c r="AA177" s="11" t="n"/>
      <c r="AB177" s="11">
        <f>IF(OR(B177="",AA177=""),"",HYPERLINK("https://wa.me/52"&amp;C177&amp;"?text="&amp;_xlfn.ENCODEURL(_xlfn.SWITCH(AA177,"Bienvenida (primera visita)",Q177,"Seguimiento",S177,"Aviso de Etapa",U177,"Requisitos",AC177,"Datos de Facturación",AD177,"Cumpleaños",W177,"Aniversario",Y177,"")),"Enviar mensaje seleccionado"))</f>
        <v/>
      </c>
      <c r="AC177" s="10">
        <f>IF(B177="","",_xlfn.SWITCH(F177&amp;"|"&amp;G177,"Crédito|Persona física","Hola, "&amp;B177&amp;", para continuar con el proceso de tu *"&amp;D177&amp;"* por "&amp;F177&amp;",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"&amp;B177&amp;", para continuar con el proceso de tu *"&amp;D177&amp;"* por "&amp;F177&amp;",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"&amp;B177&amp;", para continuar con el proceso de tu *"&amp;D177&amp;"* por "&amp;F177&amp;",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"&amp;B177&amp;", para continuar con el proceso de tu *"&amp;D177&amp;"* por "&amp;F177&amp;", estos son los documentos que necesitamos:"&amp;CHAR(10)&amp;CHAR(10)&amp;"- INE"&amp;CHAR(10)&amp;"- Comprobante de domicilio"&amp;CHAR(10)&amp;"- Constancia de situación fiscal (no mayor a 3 meses)","Contado|Persona física con actividad empresarial","Hola, "&amp;B177&amp;", para continuar con el proceso de tu *"&amp;D177&amp;"* por "&amp;F177&amp;", estos son los documentos que necesitamos:"&amp;CHAR(10)&amp;CHAR(10)&amp;"- INE"&amp;CHAR(10)&amp;"- Comprobante de domicilio"&amp;CHAR(10)&amp;"- Constancia de situación fiscal (no mayor a 3 meses)","Contado|Persona moral","Hola, "&amp;B177&amp;", para continuar con el proceso de tu *"&amp;D177&amp;"* por "&amp;F177&amp;",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77" s="10">
        <f>IFERROR(INDEX(Facturación!$Q:$Q,MATCH(B177,Facturación!$A:$A,0)),"")</f>
        <v/>
      </c>
    </row>
    <row r="178" ht="15" customHeight="1" s="1">
      <c r="A178" s="11">
        <f>IF(B178="","",ROW()-1)</f>
        <v/>
      </c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0">
        <f>IF(OR(B178="",L178&lt;&gt;"Sí"),"","Hola, "&amp;B178&amp;", excelente día. Le saluda *Alejandro Estrada* de Toyota Corregidora."&amp;CHAR(10)&amp;"Muchas gracias por visitarnos y conocer la *"&amp;D178&amp;"*.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78" s="11">
        <f>IF(Q178="","",HYPERLINK("https://wa.me/52"&amp;C178&amp;"?text="&amp;_xlfn.ENCODEURL(Q178),"Enviar Bienvenida"))</f>
        <v/>
      </c>
      <c r="S178" s="10">
        <f>IF(B178="","","Hola, "&amp;B178&amp;", muy buen día."&amp;CHAR(10)&amp;"Espero que esté teniendo una excelente semana. Le escribo para saber si tiene alguna duda sobre la oferta del *"&amp;D178&amp;"*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78" s="11">
        <f>IF(S178="","",HYPERLINK("https://wa.me/52"&amp;C178&amp;"?text="&amp;_xlfn.ENCODEURL(S178),"Enviar Seguimiento"))</f>
        <v/>
      </c>
      <c r="U178" s="10">
        <f>IF(B178="","",_xlfn.SWITCH(M178,"Apartado","Hola, "&amp;B178&amp;", buen día. Le confirmo que su apartado por el *"&amp;D178&amp;"* quedó registrado correctamente. Seguimos con el proceso y le mantendré informado(a) de cada paso.","Toma de vehículo","Hola, "&amp;B178&amp;", le comparto que estamos en el proceso de toma de su vehículo actual. En cuanto tengamos el resultado le aviso para continuar con el siguiente paso.","Pago vehículo a cuenta","Hola, "&amp;B178&amp;", quedamos en proceso de pago del vehículo que se toma a cuenta. Cualquier documento o aclaración que se requiera se lo haré saber por este medio.","Firma de contrato","Hola, "&amp;B178&amp;", ya estamos listos para agendar la firma de su contrato. ¿Qué día y hora se le facilita para realizarla?","Facturación","Hola, "&amp;B178&amp;", su unidad ya está en proceso de facturación. En breve le comparto los datos para su confirmación.","Programación de entrega","Hola, "&amp;B178&amp;", con gusto le comparto que ya podemos programar la entrega de su *"&amp;D178&amp;"*. ¿Qué día y hora le acomodan mejor?","Entregado","Hola, "&amp;B178&amp;", ¡muchas felicidades por estrenar su *"&amp;D178&amp;"*! Fue un gusto acompañarle en este proceso. Quedo pendiente de cualquier duda y con gusto le agendo su próxima cita de servicio cuando lo necesite.","Hola, "&amp;B178&amp;", seguimos en contacto para avanzar con el proceso de su próximo Toyota.")&amp;CHAR(10)&amp;CHAR(10)&amp;Config!$B$1)</f>
        <v/>
      </c>
      <c r="V178" s="11">
        <f>IF(U178="","",HYPERLINK("https://wa.me/52"&amp;C178&amp;"?text="&amp;_xlfn.ENCODEURL(U178),"Enviar aviso de etapa"))</f>
        <v/>
      </c>
      <c r="W178" s="10">
        <f>IF(OR(B178="",O178=""),"","Hola, "&amp;B178&amp;", ¡feliz cumpleaños! Le deseo un excelente día rodeado de quienes más quiere. Ha sido un placer acompañarle desde que estrenó su Toyota. ¡Un abrazo!"&amp;CHAR(10)&amp;CHAR(10)&amp;Config!$B$1)</f>
        <v/>
      </c>
      <c r="X178" s="11">
        <f>IF(W178="","",HYPERLINK("https://wa.me/52"&amp;C178&amp;"?text="&amp;_xlfn.ENCODEURL(W178),"Enviar felicitación"))</f>
        <v/>
      </c>
      <c r="Y178" s="10">
        <f>IF(OR(B178="",P178=""),"","Hola, "&amp;B178&amp;", hoy se cumple un año más desde que estrenó su *"&amp;D178&amp;"*. Espero que haya sido un gran compañero de camino. Cualquier cosa que necesite, aquí estoy para apoyarle."&amp;CHAR(10)&amp;CHAR(10)&amp;Config!$B$1)</f>
        <v/>
      </c>
      <c r="Z178" s="11">
        <f>IF(Y178="","",HYPERLINK("https://wa.me/52"&amp;C178&amp;"?text="&amp;_xlfn.ENCODEURL(Y178),"Enviar aniversario"))</f>
        <v/>
      </c>
      <c r="AA178" s="11" t="n"/>
      <c r="AB178" s="11">
        <f>IF(OR(B178="",AA178=""),"",HYPERLINK("https://wa.me/52"&amp;C178&amp;"?text="&amp;_xlfn.ENCODEURL(_xlfn.SWITCH(AA178,"Bienvenida (primera visita)",Q178,"Seguimiento",S178,"Aviso de Etapa",U178,"Requisitos",AC178,"Datos de Facturación",AD178,"Cumpleaños",W178,"Aniversario",Y178,"")),"Enviar mensaje seleccionado"))</f>
        <v/>
      </c>
      <c r="AC178" s="10">
        <f>IF(B178="","",_xlfn.SWITCH(F178&amp;"|"&amp;G178,"Crédito|Persona física","Hola, "&amp;B178&amp;", para continuar con el proceso de tu *"&amp;D178&amp;"* por "&amp;F178&amp;",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"&amp;B178&amp;", para continuar con el proceso de tu *"&amp;D178&amp;"* por "&amp;F178&amp;",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"&amp;B178&amp;", para continuar con el proceso de tu *"&amp;D178&amp;"* por "&amp;F178&amp;",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"&amp;B178&amp;", para continuar con el proceso de tu *"&amp;D178&amp;"* por "&amp;F178&amp;", estos son los documentos que necesitamos:"&amp;CHAR(10)&amp;CHAR(10)&amp;"- INE"&amp;CHAR(10)&amp;"- Comprobante de domicilio"&amp;CHAR(10)&amp;"- Constancia de situación fiscal (no mayor a 3 meses)","Contado|Persona física con actividad empresarial","Hola, "&amp;B178&amp;", para continuar con el proceso de tu *"&amp;D178&amp;"* por "&amp;F178&amp;", estos son los documentos que necesitamos:"&amp;CHAR(10)&amp;CHAR(10)&amp;"- INE"&amp;CHAR(10)&amp;"- Comprobante de domicilio"&amp;CHAR(10)&amp;"- Constancia de situación fiscal (no mayor a 3 meses)","Contado|Persona moral","Hola, "&amp;B178&amp;", para continuar con el proceso de tu *"&amp;D178&amp;"* por "&amp;F178&amp;",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78" s="10">
        <f>IFERROR(INDEX(Facturación!$Q:$Q,MATCH(B178,Facturación!$A:$A,0)),"")</f>
        <v/>
      </c>
    </row>
    <row r="179" ht="15" customHeight="1" s="1">
      <c r="A179" s="11">
        <f>IF(B179="","",ROW()-1)</f>
        <v/>
      </c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0">
        <f>IF(OR(B179="",L179&lt;&gt;"Sí"),"","Hola, "&amp;B179&amp;", excelente día. Le saluda *Alejandro Estrada* de Toyota Corregidora."&amp;CHAR(10)&amp;"Muchas gracias por visitarnos y conocer la *"&amp;D179&amp;"*.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79" s="11">
        <f>IF(Q179="","",HYPERLINK("https://wa.me/52"&amp;C179&amp;"?text="&amp;_xlfn.ENCODEURL(Q179),"Enviar Bienvenida"))</f>
        <v/>
      </c>
      <c r="S179" s="10">
        <f>IF(B179="","","Hola, "&amp;B179&amp;", muy buen día."&amp;CHAR(10)&amp;"Espero que esté teniendo una excelente semana. Le escribo para saber si tiene alguna duda sobre la oferta del *"&amp;D179&amp;"*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79" s="11">
        <f>IF(S179="","",HYPERLINK("https://wa.me/52"&amp;C179&amp;"?text="&amp;_xlfn.ENCODEURL(S179),"Enviar Seguimiento"))</f>
        <v/>
      </c>
      <c r="U179" s="10">
        <f>IF(B179="","",_xlfn.SWITCH(M179,"Apartado","Hola, "&amp;B179&amp;", buen día. Le confirmo que su apartado por el *"&amp;D179&amp;"* quedó registrado correctamente. Seguimos con el proceso y le mantendré informado(a) de cada paso.","Toma de vehículo","Hola, "&amp;B179&amp;", le comparto que estamos en el proceso de toma de su vehículo actual. En cuanto tengamos el resultado le aviso para continuar con el siguiente paso.","Pago vehículo a cuenta","Hola, "&amp;B179&amp;", quedamos en proceso de pago del vehículo que se toma a cuenta. Cualquier documento o aclaración que se requiera se lo haré saber por este medio.","Firma de contrato","Hola, "&amp;B179&amp;", ya estamos listos para agendar la firma de su contrato. ¿Qué día y hora se le facilita para realizarla?","Facturación","Hola, "&amp;B179&amp;", su unidad ya está en proceso de facturación. En breve le comparto los datos para su confirmación.","Programación de entrega","Hola, "&amp;B179&amp;", con gusto le comparto que ya podemos programar la entrega de su *"&amp;D179&amp;"*. ¿Qué día y hora le acomodan mejor?","Entregado","Hola, "&amp;B179&amp;", ¡muchas felicidades por estrenar su *"&amp;D179&amp;"*! Fue un gusto acompañarle en este proceso. Quedo pendiente de cualquier duda y con gusto le agendo su próxima cita de servicio cuando lo necesite.","Hola, "&amp;B179&amp;", seguimos en contacto para avanzar con el proceso de su próximo Toyota.")&amp;CHAR(10)&amp;CHAR(10)&amp;Config!$B$1)</f>
        <v/>
      </c>
      <c r="V179" s="11">
        <f>IF(U179="","",HYPERLINK("https://wa.me/52"&amp;C179&amp;"?text="&amp;_xlfn.ENCODEURL(U179),"Enviar aviso de etapa"))</f>
        <v/>
      </c>
      <c r="W179" s="10">
        <f>IF(OR(B179="",O179=""),"","Hola, "&amp;B179&amp;", ¡feliz cumpleaños! Le deseo un excelente día rodeado de quienes más quiere. Ha sido un placer acompañarle desde que estrenó su Toyota. ¡Un abrazo!"&amp;CHAR(10)&amp;CHAR(10)&amp;Config!$B$1)</f>
        <v/>
      </c>
      <c r="X179" s="11">
        <f>IF(W179="","",HYPERLINK("https://wa.me/52"&amp;C179&amp;"?text="&amp;_xlfn.ENCODEURL(W179),"Enviar felicitación"))</f>
        <v/>
      </c>
      <c r="Y179" s="10">
        <f>IF(OR(B179="",P179=""),"","Hola, "&amp;B179&amp;", hoy se cumple un año más desde que estrenó su *"&amp;D179&amp;"*. Espero que haya sido un gran compañero de camino. Cualquier cosa que necesite, aquí estoy para apoyarle."&amp;CHAR(10)&amp;CHAR(10)&amp;Config!$B$1)</f>
        <v/>
      </c>
      <c r="Z179" s="11">
        <f>IF(Y179="","",HYPERLINK("https://wa.me/52"&amp;C179&amp;"?text="&amp;_xlfn.ENCODEURL(Y179),"Enviar aniversario"))</f>
        <v/>
      </c>
      <c r="AA179" s="11" t="n"/>
      <c r="AB179" s="11">
        <f>IF(OR(B179="",AA179=""),"",HYPERLINK("https://wa.me/52"&amp;C179&amp;"?text="&amp;_xlfn.ENCODEURL(_xlfn.SWITCH(AA179,"Bienvenida (primera visita)",Q179,"Seguimiento",S179,"Aviso de Etapa",U179,"Requisitos",AC179,"Datos de Facturación",AD179,"Cumpleaños",W179,"Aniversario",Y179,"")),"Enviar mensaje seleccionado"))</f>
        <v/>
      </c>
      <c r="AC179" s="10">
        <f>IF(B179="","",_xlfn.SWITCH(F179&amp;"|"&amp;G179,"Crédito|Persona física","Hola, "&amp;B179&amp;", para continuar con el proceso de tu *"&amp;D179&amp;"* por "&amp;F179&amp;",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"&amp;B179&amp;", para continuar con el proceso de tu *"&amp;D179&amp;"* por "&amp;F179&amp;",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"&amp;B179&amp;", para continuar con el proceso de tu *"&amp;D179&amp;"* por "&amp;F179&amp;",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"&amp;B179&amp;", para continuar con el proceso de tu *"&amp;D179&amp;"* por "&amp;F179&amp;", estos son los documentos que necesitamos:"&amp;CHAR(10)&amp;CHAR(10)&amp;"- INE"&amp;CHAR(10)&amp;"- Comprobante de domicilio"&amp;CHAR(10)&amp;"- Constancia de situación fiscal (no mayor a 3 meses)","Contado|Persona física con actividad empresarial","Hola, "&amp;B179&amp;", para continuar con el proceso de tu *"&amp;D179&amp;"* por "&amp;F179&amp;", estos son los documentos que necesitamos:"&amp;CHAR(10)&amp;CHAR(10)&amp;"- INE"&amp;CHAR(10)&amp;"- Comprobante de domicilio"&amp;CHAR(10)&amp;"- Constancia de situación fiscal (no mayor a 3 meses)","Contado|Persona moral","Hola, "&amp;B179&amp;", para continuar con el proceso de tu *"&amp;D179&amp;"* por "&amp;F179&amp;",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79" s="10">
        <f>IFERROR(INDEX(Facturación!$Q:$Q,MATCH(B179,Facturación!$A:$A,0)),"")</f>
        <v/>
      </c>
    </row>
    <row r="180" ht="15" customHeight="1" s="1">
      <c r="A180" s="11">
        <f>IF(B180="","",ROW()-1)</f>
        <v/>
      </c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0">
        <f>IF(OR(B180="",L180&lt;&gt;"Sí"),"","Hola, "&amp;B180&amp;", excelente día. Le saluda *Alejandro Estrada* de Toyota Corregidora."&amp;CHAR(10)&amp;"Muchas gracias por visitarnos y conocer la *"&amp;D180&amp;"*.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80" s="11">
        <f>IF(Q180="","",HYPERLINK("https://wa.me/52"&amp;C180&amp;"?text="&amp;_xlfn.ENCODEURL(Q180),"Enviar Bienvenida"))</f>
        <v/>
      </c>
      <c r="S180" s="10">
        <f>IF(B180="","","Hola, "&amp;B180&amp;", muy buen día."&amp;CHAR(10)&amp;"Espero que esté teniendo una excelente semana. Le escribo para saber si tiene alguna duda sobre la oferta del *"&amp;D180&amp;"*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80" s="11">
        <f>IF(S180="","",HYPERLINK("https://wa.me/52"&amp;C180&amp;"?text="&amp;_xlfn.ENCODEURL(S180),"Enviar Seguimiento"))</f>
        <v/>
      </c>
      <c r="U180" s="10">
        <f>IF(B180="","",_xlfn.SWITCH(M180,"Apartado","Hola, "&amp;B180&amp;", buen día. Le confirmo que su apartado por el *"&amp;D180&amp;"* quedó registrado correctamente. Seguimos con el proceso y le mantendré informado(a) de cada paso.","Toma de vehículo","Hola, "&amp;B180&amp;", le comparto que estamos en el proceso de toma de su vehículo actual. En cuanto tengamos el resultado le aviso para continuar con el siguiente paso.","Pago vehículo a cuenta","Hola, "&amp;B180&amp;", quedamos en proceso de pago del vehículo que se toma a cuenta. Cualquier documento o aclaración que se requiera se lo haré saber por este medio.","Firma de contrato","Hola, "&amp;B180&amp;", ya estamos listos para agendar la firma de su contrato. ¿Qué día y hora se le facilita para realizarla?","Facturación","Hola, "&amp;B180&amp;", su unidad ya está en proceso de facturación. En breve le comparto los datos para su confirmación.","Programación de entrega","Hola, "&amp;B180&amp;", con gusto le comparto que ya podemos programar la entrega de su *"&amp;D180&amp;"*. ¿Qué día y hora le acomodan mejor?","Entregado","Hola, "&amp;B180&amp;", ¡muchas felicidades por estrenar su *"&amp;D180&amp;"*! Fue un gusto acompañarle en este proceso. Quedo pendiente de cualquier duda y con gusto le agendo su próxima cita de servicio cuando lo necesite.","Hola, "&amp;B180&amp;", seguimos en contacto para avanzar con el proceso de su próximo Toyota.")&amp;CHAR(10)&amp;CHAR(10)&amp;Config!$B$1)</f>
        <v/>
      </c>
      <c r="V180" s="11">
        <f>IF(U180="","",HYPERLINK("https://wa.me/52"&amp;C180&amp;"?text="&amp;_xlfn.ENCODEURL(U180),"Enviar aviso de etapa"))</f>
        <v/>
      </c>
      <c r="W180" s="10">
        <f>IF(OR(B180="",O180=""),"","Hola, "&amp;B180&amp;", ¡feliz cumpleaños! Le deseo un excelente día rodeado de quienes más quiere. Ha sido un placer acompañarle desde que estrenó su Toyota. ¡Un abrazo!"&amp;CHAR(10)&amp;CHAR(10)&amp;Config!$B$1)</f>
        <v/>
      </c>
      <c r="X180" s="11">
        <f>IF(W180="","",HYPERLINK("https://wa.me/52"&amp;C180&amp;"?text="&amp;_xlfn.ENCODEURL(W180),"Enviar felicitación"))</f>
        <v/>
      </c>
      <c r="Y180" s="10">
        <f>IF(OR(B180="",P180=""),"","Hola, "&amp;B180&amp;", hoy se cumple un año más desde que estrenó su *"&amp;D180&amp;"*. Espero que haya sido un gran compañero de camino. Cualquier cosa que necesite, aquí estoy para apoyarle."&amp;CHAR(10)&amp;CHAR(10)&amp;Config!$B$1)</f>
        <v/>
      </c>
      <c r="Z180" s="11">
        <f>IF(Y180="","",HYPERLINK("https://wa.me/52"&amp;C180&amp;"?text="&amp;_xlfn.ENCODEURL(Y180),"Enviar aniversario"))</f>
        <v/>
      </c>
      <c r="AA180" s="11" t="n"/>
      <c r="AB180" s="11">
        <f>IF(OR(B180="",AA180=""),"",HYPERLINK("https://wa.me/52"&amp;C180&amp;"?text="&amp;_xlfn.ENCODEURL(_xlfn.SWITCH(AA180,"Bienvenida (primera visita)",Q180,"Seguimiento",S180,"Aviso de Etapa",U180,"Requisitos",AC180,"Datos de Facturación",AD180,"Cumpleaños",W180,"Aniversario",Y180,"")),"Enviar mensaje seleccionado"))</f>
        <v/>
      </c>
      <c r="AC180" s="10">
        <f>IF(B180="","",_xlfn.SWITCH(F180&amp;"|"&amp;G180,"Crédito|Persona física","Hola, "&amp;B180&amp;", para continuar con el proceso de tu *"&amp;D180&amp;"* por "&amp;F180&amp;",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"&amp;B180&amp;", para continuar con el proceso de tu *"&amp;D180&amp;"* por "&amp;F180&amp;",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"&amp;B180&amp;", para continuar con el proceso de tu *"&amp;D180&amp;"* por "&amp;F180&amp;",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"&amp;B180&amp;", para continuar con el proceso de tu *"&amp;D180&amp;"* por "&amp;F180&amp;", estos son los documentos que necesitamos:"&amp;CHAR(10)&amp;CHAR(10)&amp;"- INE"&amp;CHAR(10)&amp;"- Comprobante de domicilio"&amp;CHAR(10)&amp;"- Constancia de situación fiscal (no mayor a 3 meses)","Contado|Persona física con actividad empresarial","Hola, "&amp;B180&amp;", para continuar con el proceso de tu *"&amp;D180&amp;"* por "&amp;F180&amp;", estos son los documentos que necesitamos:"&amp;CHAR(10)&amp;CHAR(10)&amp;"- INE"&amp;CHAR(10)&amp;"- Comprobante de domicilio"&amp;CHAR(10)&amp;"- Constancia de situación fiscal (no mayor a 3 meses)","Contado|Persona moral","Hola, "&amp;B180&amp;", para continuar con el proceso de tu *"&amp;D180&amp;"* por "&amp;F180&amp;",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80" s="10">
        <f>IFERROR(INDEX(Facturación!$Q:$Q,MATCH(B180,Facturación!$A:$A,0)),"")</f>
        <v/>
      </c>
    </row>
    <row r="181" ht="15" customHeight="1" s="1">
      <c r="A181" s="11">
        <f>IF(B181="","",ROW()-1)</f>
        <v/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0">
        <f>IF(OR(B181="",L181&lt;&gt;"Sí"),"","Hola, "&amp;B181&amp;", excelente día. Le saluda *Alejandro Estrada* de Toyota Corregidora."&amp;CHAR(10)&amp;"Muchas gracias por visitarnos y conocer la *"&amp;D181&amp;"*.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81" s="11">
        <f>IF(Q181="","",HYPERLINK("https://wa.me/52"&amp;C181&amp;"?text="&amp;_xlfn.ENCODEURL(Q181),"Enviar Bienvenida"))</f>
        <v/>
      </c>
      <c r="S181" s="10">
        <f>IF(B181="","","Hola, "&amp;B181&amp;", muy buen día."&amp;CHAR(10)&amp;"Espero que esté teniendo una excelente semana. Le escribo para saber si tiene alguna duda sobre la oferta del *"&amp;D181&amp;"*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81" s="11">
        <f>IF(S181="","",HYPERLINK("https://wa.me/52"&amp;C181&amp;"?text="&amp;_xlfn.ENCODEURL(S181),"Enviar Seguimiento"))</f>
        <v/>
      </c>
      <c r="U181" s="10">
        <f>IF(B181="","",_xlfn.SWITCH(M181,"Apartado","Hola, "&amp;B181&amp;", buen día. Le confirmo que su apartado por el *"&amp;D181&amp;"* quedó registrado correctamente. Seguimos con el proceso y le mantendré informado(a) de cada paso.","Toma de vehículo","Hola, "&amp;B181&amp;", le comparto que estamos en el proceso de toma de su vehículo actual. En cuanto tengamos el resultado le aviso para continuar con el siguiente paso.","Pago vehículo a cuenta","Hola, "&amp;B181&amp;", quedamos en proceso de pago del vehículo que se toma a cuenta. Cualquier documento o aclaración que se requiera se lo haré saber por este medio.","Firma de contrato","Hola, "&amp;B181&amp;", ya estamos listos para agendar la firma de su contrato. ¿Qué día y hora se le facilita para realizarla?","Facturación","Hola, "&amp;B181&amp;", su unidad ya está en proceso de facturación. En breve le comparto los datos para su confirmación.","Programación de entrega","Hola, "&amp;B181&amp;", con gusto le comparto que ya podemos programar la entrega de su *"&amp;D181&amp;"*. ¿Qué día y hora le acomodan mejor?","Entregado","Hola, "&amp;B181&amp;", ¡muchas felicidades por estrenar su *"&amp;D181&amp;"*! Fue un gusto acompañarle en este proceso. Quedo pendiente de cualquier duda y con gusto le agendo su próxima cita de servicio cuando lo necesite.","Hola, "&amp;B181&amp;", seguimos en contacto para avanzar con el proceso de su próximo Toyota.")&amp;CHAR(10)&amp;CHAR(10)&amp;Config!$B$1)</f>
        <v/>
      </c>
      <c r="V181" s="11">
        <f>IF(U181="","",HYPERLINK("https://wa.me/52"&amp;C181&amp;"?text="&amp;_xlfn.ENCODEURL(U181),"Enviar aviso de etapa"))</f>
        <v/>
      </c>
      <c r="W181" s="10">
        <f>IF(OR(B181="",O181=""),"","Hola, "&amp;B181&amp;", ¡feliz cumpleaños! Le deseo un excelente día rodeado de quienes más quiere. Ha sido un placer acompañarle desde que estrenó su Toyota. ¡Un abrazo!"&amp;CHAR(10)&amp;CHAR(10)&amp;Config!$B$1)</f>
        <v/>
      </c>
      <c r="X181" s="11">
        <f>IF(W181="","",HYPERLINK("https://wa.me/52"&amp;C181&amp;"?text="&amp;_xlfn.ENCODEURL(W181),"Enviar felicitación"))</f>
        <v/>
      </c>
      <c r="Y181" s="10">
        <f>IF(OR(B181="",P181=""),"","Hola, "&amp;B181&amp;", hoy se cumple un año más desde que estrenó su *"&amp;D181&amp;"*. Espero que haya sido un gran compañero de camino. Cualquier cosa que necesite, aquí estoy para apoyarle."&amp;CHAR(10)&amp;CHAR(10)&amp;Config!$B$1)</f>
        <v/>
      </c>
      <c r="Z181" s="11">
        <f>IF(Y181="","",HYPERLINK("https://wa.me/52"&amp;C181&amp;"?text="&amp;_xlfn.ENCODEURL(Y181),"Enviar aniversario"))</f>
        <v/>
      </c>
      <c r="AA181" s="11" t="n"/>
      <c r="AB181" s="11">
        <f>IF(OR(B181="",AA181=""),"",HYPERLINK("https://wa.me/52"&amp;C181&amp;"?text="&amp;_xlfn.ENCODEURL(_xlfn.SWITCH(AA181,"Bienvenida (primera visita)",Q181,"Seguimiento",S181,"Aviso de Etapa",U181,"Requisitos",AC181,"Datos de Facturación",AD181,"Cumpleaños",W181,"Aniversario",Y181,"")),"Enviar mensaje seleccionado"))</f>
        <v/>
      </c>
      <c r="AC181" s="10">
        <f>IF(B181="","",_xlfn.SWITCH(F181&amp;"|"&amp;G181,"Crédito|Persona física","Hola, "&amp;B181&amp;", para continuar con el proceso de tu *"&amp;D181&amp;"* por "&amp;F181&amp;",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"&amp;B181&amp;", para continuar con el proceso de tu *"&amp;D181&amp;"* por "&amp;F181&amp;",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"&amp;B181&amp;", para continuar con el proceso de tu *"&amp;D181&amp;"* por "&amp;F181&amp;",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"&amp;B181&amp;", para continuar con el proceso de tu *"&amp;D181&amp;"* por "&amp;F181&amp;", estos son los documentos que necesitamos:"&amp;CHAR(10)&amp;CHAR(10)&amp;"- INE"&amp;CHAR(10)&amp;"- Comprobante de domicilio"&amp;CHAR(10)&amp;"- Constancia de situación fiscal (no mayor a 3 meses)","Contado|Persona física con actividad empresarial","Hola, "&amp;B181&amp;", para continuar con el proceso de tu *"&amp;D181&amp;"* por "&amp;F181&amp;", estos son los documentos que necesitamos:"&amp;CHAR(10)&amp;CHAR(10)&amp;"- INE"&amp;CHAR(10)&amp;"- Comprobante de domicilio"&amp;CHAR(10)&amp;"- Constancia de situación fiscal (no mayor a 3 meses)","Contado|Persona moral","Hola, "&amp;B181&amp;", para continuar con el proceso de tu *"&amp;D181&amp;"* por "&amp;F181&amp;",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81" s="10">
        <f>IFERROR(INDEX(Facturación!$Q:$Q,MATCH(B181,Facturación!$A:$A,0)),"")</f>
        <v/>
      </c>
    </row>
    <row r="182" ht="15" customHeight="1" s="1">
      <c r="A182" s="11">
        <f>IF(B182="","",ROW()-1)</f>
        <v/>
      </c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0">
        <f>IF(OR(B182="",L182&lt;&gt;"Sí"),"","Hola, "&amp;B182&amp;", excelente día. Le saluda *Alejandro Estrada* de Toyota Corregidora."&amp;CHAR(10)&amp;"Muchas gracias por visitarnos y conocer la *"&amp;D182&amp;"*.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82" s="11">
        <f>IF(Q182="","",HYPERLINK("https://wa.me/52"&amp;C182&amp;"?text="&amp;_xlfn.ENCODEURL(Q182),"Enviar Bienvenida"))</f>
        <v/>
      </c>
      <c r="S182" s="10">
        <f>IF(B182="","","Hola, "&amp;B182&amp;", muy buen día."&amp;CHAR(10)&amp;"Espero que esté teniendo una excelente semana. Le escribo para saber si tiene alguna duda sobre la oferta del *"&amp;D182&amp;"*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82" s="11">
        <f>IF(S182="","",HYPERLINK("https://wa.me/52"&amp;C182&amp;"?text="&amp;_xlfn.ENCODEURL(S182),"Enviar Seguimiento"))</f>
        <v/>
      </c>
      <c r="U182" s="10">
        <f>IF(B182="","",_xlfn.SWITCH(M182,"Apartado","Hola, "&amp;B182&amp;", buen día. Le confirmo que su apartado por el *"&amp;D182&amp;"* quedó registrado correctamente. Seguimos con el proceso y le mantendré informado(a) de cada paso.","Toma de vehículo","Hola, "&amp;B182&amp;", le comparto que estamos en el proceso de toma de su vehículo actual. En cuanto tengamos el resultado le aviso para continuar con el siguiente paso.","Pago vehículo a cuenta","Hola, "&amp;B182&amp;", quedamos en proceso de pago del vehículo que se toma a cuenta. Cualquier documento o aclaración que se requiera se lo haré saber por este medio.","Firma de contrato","Hola, "&amp;B182&amp;", ya estamos listos para agendar la firma de su contrato. ¿Qué día y hora se le facilita para realizarla?","Facturación","Hola, "&amp;B182&amp;", su unidad ya está en proceso de facturación. En breve le comparto los datos para su confirmación.","Programación de entrega","Hola, "&amp;B182&amp;", con gusto le comparto que ya podemos programar la entrega de su *"&amp;D182&amp;"*. ¿Qué día y hora le acomodan mejor?","Entregado","Hola, "&amp;B182&amp;", ¡muchas felicidades por estrenar su *"&amp;D182&amp;"*! Fue un gusto acompañarle en este proceso. Quedo pendiente de cualquier duda y con gusto le agendo su próxima cita de servicio cuando lo necesite.","Hola, "&amp;B182&amp;", seguimos en contacto para avanzar con el proceso de su próximo Toyota.")&amp;CHAR(10)&amp;CHAR(10)&amp;Config!$B$1)</f>
        <v/>
      </c>
      <c r="V182" s="11">
        <f>IF(U182="","",HYPERLINK("https://wa.me/52"&amp;C182&amp;"?text="&amp;_xlfn.ENCODEURL(U182),"Enviar aviso de etapa"))</f>
        <v/>
      </c>
      <c r="W182" s="10">
        <f>IF(OR(B182="",O182=""),"","Hola, "&amp;B182&amp;", ¡feliz cumpleaños! Le deseo un excelente día rodeado de quienes más quiere. Ha sido un placer acompañarle desde que estrenó su Toyota. ¡Un abrazo!"&amp;CHAR(10)&amp;CHAR(10)&amp;Config!$B$1)</f>
        <v/>
      </c>
      <c r="X182" s="11">
        <f>IF(W182="","",HYPERLINK("https://wa.me/52"&amp;C182&amp;"?text="&amp;_xlfn.ENCODEURL(W182),"Enviar felicitación"))</f>
        <v/>
      </c>
      <c r="Y182" s="10">
        <f>IF(OR(B182="",P182=""),"","Hola, "&amp;B182&amp;", hoy se cumple un año más desde que estrenó su *"&amp;D182&amp;"*. Espero que haya sido un gran compañero de camino. Cualquier cosa que necesite, aquí estoy para apoyarle."&amp;CHAR(10)&amp;CHAR(10)&amp;Config!$B$1)</f>
        <v/>
      </c>
      <c r="Z182" s="11">
        <f>IF(Y182="","",HYPERLINK("https://wa.me/52"&amp;C182&amp;"?text="&amp;_xlfn.ENCODEURL(Y182),"Enviar aniversario"))</f>
        <v/>
      </c>
      <c r="AA182" s="11" t="n"/>
      <c r="AB182" s="11">
        <f>IF(OR(B182="",AA182=""),"",HYPERLINK("https://wa.me/52"&amp;C182&amp;"?text="&amp;_xlfn.ENCODEURL(_xlfn.SWITCH(AA182,"Bienvenida (primera visita)",Q182,"Seguimiento",S182,"Aviso de Etapa",U182,"Requisitos",AC182,"Datos de Facturación",AD182,"Cumpleaños",W182,"Aniversario",Y182,"")),"Enviar mensaje seleccionado"))</f>
        <v/>
      </c>
      <c r="AC182" s="10">
        <f>IF(B182="","",_xlfn.SWITCH(F182&amp;"|"&amp;G182,"Crédito|Persona física","Hola, "&amp;B182&amp;", para continuar con el proceso de tu *"&amp;D182&amp;"* por "&amp;F182&amp;",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"&amp;B182&amp;", para continuar con el proceso de tu *"&amp;D182&amp;"* por "&amp;F182&amp;",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"&amp;B182&amp;", para continuar con el proceso de tu *"&amp;D182&amp;"* por "&amp;F182&amp;",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"&amp;B182&amp;", para continuar con el proceso de tu *"&amp;D182&amp;"* por "&amp;F182&amp;", estos son los documentos que necesitamos:"&amp;CHAR(10)&amp;CHAR(10)&amp;"- INE"&amp;CHAR(10)&amp;"- Comprobante de domicilio"&amp;CHAR(10)&amp;"- Constancia de situación fiscal (no mayor a 3 meses)","Contado|Persona física con actividad empresarial","Hola, "&amp;B182&amp;", para continuar con el proceso de tu *"&amp;D182&amp;"* por "&amp;F182&amp;", estos son los documentos que necesitamos:"&amp;CHAR(10)&amp;CHAR(10)&amp;"- INE"&amp;CHAR(10)&amp;"- Comprobante de domicilio"&amp;CHAR(10)&amp;"- Constancia de situación fiscal (no mayor a 3 meses)","Contado|Persona moral","Hola, "&amp;B182&amp;", para continuar con el proceso de tu *"&amp;D182&amp;"* por "&amp;F182&amp;",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82" s="10">
        <f>IFERROR(INDEX(Facturación!$Q:$Q,MATCH(B182,Facturación!$A:$A,0)),"")</f>
        <v/>
      </c>
    </row>
    <row r="183" ht="15" customHeight="1" s="1">
      <c r="A183" s="11">
        <f>IF(B183="","",ROW()-1)</f>
        <v/>
      </c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0">
        <f>IF(OR(B183="",L183&lt;&gt;"Sí"),"","Hola, "&amp;B183&amp;", excelente día. Le saluda *Alejandro Estrada* de Toyota Corregidora."&amp;CHAR(10)&amp;"Muchas gracias por visitarnos y conocer la *"&amp;D183&amp;"*.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83" s="11">
        <f>IF(Q183="","",HYPERLINK("https://wa.me/52"&amp;C183&amp;"?text="&amp;_xlfn.ENCODEURL(Q183),"Enviar Bienvenida"))</f>
        <v/>
      </c>
      <c r="S183" s="10">
        <f>IF(B183="","","Hola, "&amp;B183&amp;", muy buen día."&amp;CHAR(10)&amp;"Espero que esté teniendo una excelente semana. Le escribo para saber si tiene alguna duda sobre la oferta del *"&amp;D183&amp;"*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83" s="11">
        <f>IF(S183="","",HYPERLINK("https://wa.me/52"&amp;C183&amp;"?text="&amp;_xlfn.ENCODEURL(S183),"Enviar Seguimiento"))</f>
        <v/>
      </c>
      <c r="U183" s="10">
        <f>IF(B183="","",_xlfn.SWITCH(M183,"Apartado","Hola, "&amp;B183&amp;", buen día. Le confirmo que su apartado por el *"&amp;D183&amp;"* quedó registrado correctamente. Seguimos con el proceso y le mantendré informado(a) de cada paso.","Toma de vehículo","Hola, "&amp;B183&amp;", le comparto que estamos en el proceso de toma de su vehículo actual. En cuanto tengamos el resultado le aviso para continuar con el siguiente paso.","Pago vehículo a cuenta","Hola, "&amp;B183&amp;", quedamos en proceso de pago del vehículo que se toma a cuenta. Cualquier documento o aclaración que se requiera se lo haré saber por este medio.","Firma de contrato","Hola, "&amp;B183&amp;", ya estamos listos para agendar la firma de su contrato. ¿Qué día y hora se le facilita para realizarla?","Facturación","Hola, "&amp;B183&amp;", su unidad ya está en proceso de facturación. En breve le comparto los datos para su confirmación.","Programación de entrega","Hola, "&amp;B183&amp;", con gusto le comparto que ya podemos programar la entrega de su *"&amp;D183&amp;"*. ¿Qué día y hora le acomodan mejor?","Entregado","Hola, "&amp;B183&amp;", ¡muchas felicidades por estrenar su *"&amp;D183&amp;"*! Fue un gusto acompañarle en este proceso. Quedo pendiente de cualquier duda y con gusto le agendo su próxima cita de servicio cuando lo necesite.","Hola, "&amp;B183&amp;", seguimos en contacto para avanzar con el proceso de su próximo Toyota.")&amp;CHAR(10)&amp;CHAR(10)&amp;Config!$B$1)</f>
        <v/>
      </c>
      <c r="V183" s="11">
        <f>IF(U183="","",HYPERLINK("https://wa.me/52"&amp;C183&amp;"?text="&amp;_xlfn.ENCODEURL(U183),"Enviar aviso de etapa"))</f>
        <v/>
      </c>
      <c r="W183" s="10">
        <f>IF(OR(B183="",O183=""),"","Hola, "&amp;B183&amp;", ¡feliz cumpleaños! Le deseo un excelente día rodeado de quienes más quiere. Ha sido un placer acompañarle desde que estrenó su Toyota. ¡Un abrazo!"&amp;CHAR(10)&amp;CHAR(10)&amp;Config!$B$1)</f>
        <v/>
      </c>
      <c r="X183" s="11">
        <f>IF(W183="","",HYPERLINK("https://wa.me/52"&amp;C183&amp;"?text="&amp;_xlfn.ENCODEURL(W183),"Enviar felicitación"))</f>
        <v/>
      </c>
      <c r="Y183" s="10">
        <f>IF(OR(B183="",P183=""),"","Hola, "&amp;B183&amp;", hoy se cumple un año más desde que estrenó su *"&amp;D183&amp;"*. Espero que haya sido un gran compañero de camino. Cualquier cosa que necesite, aquí estoy para apoyarle."&amp;CHAR(10)&amp;CHAR(10)&amp;Config!$B$1)</f>
        <v/>
      </c>
      <c r="Z183" s="11">
        <f>IF(Y183="","",HYPERLINK("https://wa.me/52"&amp;C183&amp;"?text="&amp;_xlfn.ENCODEURL(Y183),"Enviar aniversario"))</f>
        <v/>
      </c>
      <c r="AA183" s="11" t="n"/>
      <c r="AB183" s="11">
        <f>IF(OR(B183="",AA183=""),"",HYPERLINK("https://wa.me/52"&amp;C183&amp;"?text="&amp;_xlfn.ENCODEURL(_xlfn.SWITCH(AA183,"Bienvenida (primera visita)",Q183,"Seguimiento",S183,"Aviso de Etapa",U183,"Requisitos",AC183,"Datos de Facturación",AD183,"Cumpleaños",W183,"Aniversario",Y183,"")),"Enviar mensaje seleccionado"))</f>
        <v/>
      </c>
      <c r="AC183" s="10">
        <f>IF(B183="","",_xlfn.SWITCH(F183&amp;"|"&amp;G183,"Crédito|Persona física","Hola, "&amp;B183&amp;", para continuar con el proceso de tu *"&amp;D183&amp;"* por "&amp;F183&amp;",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"&amp;B183&amp;", para continuar con el proceso de tu *"&amp;D183&amp;"* por "&amp;F183&amp;",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"&amp;B183&amp;", para continuar con el proceso de tu *"&amp;D183&amp;"* por "&amp;F183&amp;",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"&amp;B183&amp;", para continuar con el proceso de tu *"&amp;D183&amp;"* por "&amp;F183&amp;", estos son los documentos que necesitamos:"&amp;CHAR(10)&amp;CHAR(10)&amp;"- INE"&amp;CHAR(10)&amp;"- Comprobante de domicilio"&amp;CHAR(10)&amp;"- Constancia de situación fiscal (no mayor a 3 meses)","Contado|Persona física con actividad empresarial","Hola, "&amp;B183&amp;", para continuar con el proceso de tu *"&amp;D183&amp;"* por "&amp;F183&amp;", estos son los documentos que necesitamos:"&amp;CHAR(10)&amp;CHAR(10)&amp;"- INE"&amp;CHAR(10)&amp;"- Comprobante de domicilio"&amp;CHAR(10)&amp;"- Constancia de situación fiscal (no mayor a 3 meses)","Contado|Persona moral","Hola, "&amp;B183&amp;", para continuar con el proceso de tu *"&amp;D183&amp;"* por "&amp;F183&amp;",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83" s="10">
        <f>IFERROR(INDEX(Facturación!$Q:$Q,MATCH(B183,Facturación!$A:$A,0)),"")</f>
        <v/>
      </c>
    </row>
    <row r="184" ht="15" customHeight="1" s="1">
      <c r="A184" s="11">
        <f>IF(B184="","",ROW()-1)</f>
        <v/>
      </c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0">
        <f>IF(OR(B184="",L184&lt;&gt;"Sí"),"","Hola, "&amp;B184&amp;", excelente día. Le saluda *Alejandro Estrada* de Toyota Corregidora."&amp;CHAR(10)&amp;"Muchas gracias por visitarnos y conocer la *"&amp;D184&amp;"*.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84" s="11">
        <f>IF(Q184="","",HYPERLINK("https://wa.me/52"&amp;C184&amp;"?text="&amp;_xlfn.ENCODEURL(Q184),"Enviar Bienvenida"))</f>
        <v/>
      </c>
      <c r="S184" s="10">
        <f>IF(B184="","","Hola, "&amp;B184&amp;", muy buen día."&amp;CHAR(10)&amp;"Espero que esté teniendo una excelente semana. Le escribo para saber si tiene alguna duda sobre la oferta del *"&amp;D184&amp;"*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84" s="11">
        <f>IF(S184="","",HYPERLINK("https://wa.me/52"&amp;C184&amp;"?text="&amp;_xlfn.ENCODEURL(S184),"Enviar Seguimiento"))</f>
        <v/>
      </c>
      <c r="U184" s="10">
        <f>IF(B184="","",_xlfn.SWITCH(M184,"Apartado","Hola, "&amp;B184&amp;", buen día. Le confirmo que su apartado por el *"&amp;D184&amp;"* quedó registrado correctamente. Seguimos con el proceso y le mantendré informado(a) de cada paso.","Toma de vehículo","Hola, "&amp;B184&amp;", le comparto que estamos en el proceso de toma de su vehículo actual. En cuanto tengamos el resultado le aviso para continuar con el siguiente paso.","Pago vehículo a cuenta","Hola, "&amp;B184&amp;", quedamos en proceso de pago del vehículo que se toma a cuenta. Cualquier documento o aclaración que se requiera se lo haré saber por este medio.","Firma de contrato","Hola, "&amp;B184&amp;", ya estamos listos para agendar la firma de su contrato. ¿Qué día y hora se le facilita para realizarla?","Facturación","Hola, "&amp;B184&amp;", su unidad ya está en proceso de facturación. En breve le comparto los datos para su confirmación.","Programación de entrega","Hola, "&amp;B184&amp;", con gusto le comparto que ya podemos programar la entrega de su *"&amp;D184&amp;"*. ¿Qué día y hora le acomodan mejor?","Entregado","Hola, "&amp;B184&amp;", ¡muchas felicidades por estrenar su *"&amp;D184&amp;"*! Fue un gusto acompañarle en este proceso. Quedo pendiente de cualquier duda y con gusto le agendo su próxima cita de servicio cuando lo necesite.","Hola, "&amp;B184&amp;", seguimos en contacto para avanzar con el proceso de su próximo Toyota.")&amp;CHAR(10)&amp;CHAR(10)&amp;Config!$B$1)</f>
        <v/>
      </c>
      <c r="V184" s="11">
        <f>IF(U184="","",HYPERLINK("https://wa.me/52"&amp;C184&amp;"?text="&amp;_xlfn.ENCODEURL(U184),"Enviar aviso de etapa"))</f>
        <v/>
      </c>
      <c r="W184" s="10">
        <f>IF(OR(B184="",O184=""),"","Hola, "&amp;B184&amp;", ¡feliz cumpleaños! Le deseo un excelente día rodeado de quienes más quiere. Ha sido un placer acompañarle desde que estrenó su Toyota. ¡Un abrazo!"&amp;CHAR(10)&amp;CHAR(10)&amp;Config!$B$1)</f>
        <v/>
      </c>
      <c r="X184" s="11">
        <f>IF(W184="","",HYPERLINK("https://wa.me/52"&amp;C184&amp;"?text="&amp;_xlfn.ENCODEURL(W184),"Enviar felicitación"))</f>
        <v/>
      </c>
      <c r="Y184" s="10">
        <f>IF(OR(B184="",P184=""),"","Hola, "&amp;B184&amp;", hoy se cumple un año más desde que estrenó su *"&amp;D184&amp;"*. Espero que haya sido un gran compañero de camino. Cualquier cosa que necesite, aquí estoy para apoyarle."&amp;CHAR(10)&amp;CHAR(10)&amp;Config!$B$1)</f>
        <v/>
      </c>
      <c r="Z184" s="11">
        <f>IF(Y184="","",HYPERLINK("https://wa.me/52"&amp;C184&amp;"?text="&amp;_xlfn.ENCODEURL(Y184),"Enviar aniversario"))</f>
        <v/>
      </c>
      <c r="AA184" s="11" t="n"/>
      <c r="AB184" s="11">
        <f>IF(OR(B184="",AA184=""),"",HYPERLINK("https://wa.me/52"&amp;C184&amp;"?text="&amp;_xlfn.ENCODEURL(_xlfn.SWITCH(AA184,"Bienvenida (primera visita)",Q184,"Seguimiento",S184,"Aviso de Etapa",U184,"Requisitos",AC184,"Datos de Facturación",AD184,"Cumpleaños",W184,"Aniversario",Y184,"")),"Enviar mensaje seleccionado"))</f>
        <v/>
      </c>
      <c r="AC184" s="10">
        <f>IF(B184="","",_xlfn.SWITCH(F184&amp;"|"&amp;G184,"Crédito|Persona física","Hola, "&amp;B184&amp;", para continuar con el proceso de tu *"&amp;D184&amp;"* por "&amp;F184&amp;",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"&amp;B184&amp;", para continuar con el proceso de tu *"&amp;D184&amp;"* por "&amp;F184&amp;",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"&amp;B184&amp;", para continuar con el proceso de tu *"&amp;D184&amp;"* por "&amp;F184&amp;",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"&amp;B184&amp;", para continuar con el proceso de tu *"&amp;D184&amp;"* por "&amp;F184&amp;", estos son los documentos que necesitamos:"&amp;CHAR(10)&amp;CHAR(10)&amp;"- INE"&amp;CHAR(10)&amp;"- Comprobante de domicilio"&amp;CHAR(10)&amp;"- Constancia de situación fiscal (no mayor a 3 meses)","Contado|Persona física con actividad empresarial","Hola, "&amp;B184&amp;", para continuar con el proceso de tu *"&amp;D184&amp;"* por "&amp;F184&amp;", estos son los documentos que necesitamos:"&amp;CHAR(10)&amp;CHAR(10)&amp;"- INE"&amp;CHAR(10)&amp;"- Comprobante de domicilio"&amp;CHAR(10)&amp;"- Constancia de situación fiscal (no mayor a 3 meses)","Contado|Persona moral","Hola, "&amp;B184&amp;", para continuar con el proceso de tu *"&amp;D184&amp;"* por "&amp;F184&amp;",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84" s="10">
        <f>IFERROR(INDEX(Facturación!$Q:$Q,MATCH(B184,Facturación!$A:$A,0)),"")</f>
        <v/>
      </c>
    </row>
    <row r="185" ht="15" customHeight="1" s="1">
      <c r="A185" s="11">
        <f>IF(B185="","",ROW()-1)</f>
        <v/>
      </c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0">
        <f>IF(OR(B185="",L185&lt;&gt;"Sí"),"","Hola, "&amp;B185&amp;", excelente día. Le saluda *Alejandro Estrada* de Toyota Corregidora."&amp;CHAR(10)&amp;"Muchas gracias por visitarnos y conocer la *"&amp;D185&amp;"*.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85" s="11">
        <f>IF(Q185="","",HYPERLINK("https://wa.me/52"&amp;C185&amp;"?text="&amp;_xlfn.ENCODEURL(Q185),"Enviar Bienvenida"))</f>
        <v/>
      </c>
      <c r="S185" s="10">
        <f>IF(B185="","","Hola, "&amp;B185&amp;", muy buen día."&amp;CHAR(10)&amp;"Espero que esté teniendo una excelente semana. Le escribo para saber si tiene alguna duda sobre la oferta del *"&amp;D185&amp;"*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85" s="11">
        <f>IF(S185="","",HYPERLINK("https://wa.me/52"&amp;C185&amp;"?text="&amp;_xlfn.ENCODEURL(S185),"Enviar Seguimiento"))</f>
        <v/>
      </c>
      <c r="U185" s="10">
        <f>IF(B185="","",_xlfn.SWITCH(M185,"Apartado","Hola, "&amp;B185&amp;", buen día. Le confirmo que su apartado por el *"&amp;D185&amp;"* quedó registrado correctamente. Seguimos con el proceso y le mantendré informado(a) de cada paso.","Toma de vehículo","Hola, "&amp;B185&amp;", le comparto que estamos en el proceso de toma de su vehículo actual. En cuanto tengamos el resultado le aviso para continuar con el siguiente paso.","Pago vehículo a cuenta","Hola, "&amp;B185&amp;", quedamos en proceso de pago del vehículo que se toma a cuenta. Cualquier documento o aclaración que se requiera se lo haré saber por este medio.","Firma de contrato","Hola, "&amp;B185&amp;", ya estamos listos para agendar la firma de su contrato. ¿Qué día y hora se le facilita para realizarla?","Facturación","Hola, "&amp;B185&amp;", su unidad ya está en proceso de facturación. En breve le comparto los datos para su confirmación.","Programación de entrega","Hola, "&amp;B185&amp;", con gusto le comparto que ya podemos programar la entrega de su *"&amp;D185&amp;"*. ¿Qué día y hora le acomodan mejor?","Entregado","Hola, "&amp;B185&amp;", ¡muchas felicidades por estrenar su *"&amp;D185&amp;"*! Fue un gusto acompañarle en este proceso. Quedo pendiente de cualquier duda y con gusto le agendo su próxima cita de servicio cuando lo necesite.","Hola, "&amp;B185&amp;", seguimos en contacto para avanzar con el proceso de su próximo Toyota.")&amp;CHAR(10)&amp;CHAR(10)&amp;Config!$B$1)</f>
        <v/>
      </c>
      <c r="V185" s="11">
        <f>IF(U185="","",HYPERLINK("https://wa.me/52"&amp;C185&amp;"?text="&amp;_xlfn.ENCODEURL(U185),"Enviar aviso de etapa"))</f>
        <v/>
      </c>
      <c r="W185" s="10">
        <f>IF(OR(B185="",O185=""),"","Hola, "&amp;B185&amp;", ¡feliz cumpleaños! Le deseo un excelente día rodeado de quienes más quiere. Ha sido un placer acompañarle desde que estrenó su Toyota. ¡Un abrazo!"&amp;CHAR(10)&amp;CHAR(10)&amp;Config!$B$1)</f>
        <v/>
      </c>
      <c r="X185" s="11">
        <f>IF(W185="","",HYPERLINK("https://wa.me/52"&amp;C185&amp;"?text="&amp;_xlfn.ENCODEURL(W185),"Enviar felicitación"))</f>
        <v/>
      </c>
      <c r="Y185" s="10">
        <f>IF(OR(B185="",P185=""),"","Hola, "&amp;B185&amp;", hoy se cumple un año más desde que estrenó su *"&amp;D185&amp;"*. Espero que haya sido un gran compañero de camino. Cualquier cosa que necesite, aquí estoy para apoyarle."&amp;CHAR(10)&amp;CHAR(10)&amp;Config!$B$1)</f>
        <v/>
      </c>
      <c r="Z185" s="11">
        <f>IF(Y185="","",HYPERLINK("https://wa.me/52"&amp;C185&amp;"?text="&amp;_xlfn.ENCODEURL(Y185),"Enviar aniversario"))</f>
        <v/>
      </c>
      <c r="AA185" s="11" t="n"/>
      <c r="AB185" s="11">
        <f>IF(OR(B185="",AA185=""),"",HYPERLINK("https://wa.me/52"&amp;C185&amp;"?text="&amp;_xlfn.ENCODEURL(_xlfn.SWITCH(AA185,"Bienvenida (primera visita)",Q185,"Seguimiento",S185,"Aviso de Etapa",U185,"Requisitos",AC185,"Datos de Facturación",AD185,"Cumpleaños",W185,"Aniversario",Y185,"")),"Enviar mensaje seleccionado"))</f>
        <v/>
      </c>
      <c r="AC185" s="10">
        <f>IF(B185="","",_xlfn.SWITCH(F185&amp;"|"&amp;G185,"Crédito|Persona física","Hola, "&amp;B185&amp;", para continuar con el proceso de tu *"&amp;D185&amp;"* por "&amp;F185&amp;",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"&amp;B185&amp;", para continuar con el proceso de tu *"&amp;D185&amp;"* por "&amp;F185&amp;",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"&amp;B185&amp;", para continuar con el proceso de tu *"&amp;D185&amp;"* por "&amp;F185&amp;",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"&amp;B185&amp;", para continuar con el proceso de tu *"&amp;D185&amp;"* por "&amp;F185&amp;", estos son los documentos que necesitamos:"&amp;CHAR(10)&amp;CHAR(10)&amp;"- INE"&amp;CHAR(10)&amp;"- Comprobante de domicilio"&amp;CHAR(10)&amp;"- Constancia de situación fiscal (no mayor a 3 meses)","Contado|Persona física con actividad empresarial","Hola, "&amp;B185&amp;", para continuar con el proceso de tu *"&amp;D185&amp;"* por "&amp;F185&amp;", estos son los documentos que necesitamos:"&amp;CHAR(10)&amp;CHAR(10)&amp;"- INE"&amp;CHAR(10)&amp;"- Comprobante de domicilio"&amp;CHAR(10)&amp;"- Constancia de situación fiscal (no mayor a 3 meses)","Contado|Persona moral","Hola, "&amp;B185&amp;", para continuar con el proceso de tu *"&amp;D185&amp;"* por "&amp;F185&amp;",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85" s="10">
        <f>IFERROR(INDEX(Facturación!$Q:$Q,MATCH(B185,Facturación!$A:$A,0)),"")</f>
        <v/>
      </c>
    </row>
    <row r="186" ht="15" customHeight="1" s="1">
      <c r="A186" s="11">
        <f>IF(B186="","",ROW()-1)</f>
        <v/>
      </c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0">
        <f>IF(OR(B186="",L186&lt;&gt;"Sí"),"","Hola, "&amp;B186&amp;", excelente día. Le saluda *Alejandro Estrada* de Toyota Corregidora."&amp;CHAR(10)&amp;"Muchas gracias por visitarnos y conocer la *"&amp;D186&amp;"*.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86" s="11">
        <f>IF(Q186="","",HYPERLINK("https://wa.me/52"&amp;C186&amp;"?text="&amp;_xlfn.ENCODEURL(Q186),"Enviar Bienvenida"))</f>
        <v/>
      </c>
      <c r="S186" s="10">
        <f>IF(B186="","","Hola, "&amp;B186&amp;", muy buen día."&amp;CHAR(10)&amp;"Espero que esté teniendo una excelente semana. Le escribo para saber si tiene alguna duda sobre la oferta del *"&amp;D186&amp;"*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86" s="11">
        <f>IF(S186="","",HYPERLINK("https://wa.me/52"&amp;C186&amp;"?text="&amp;_xlfn.ENCODEURL(S186),"Enviar Seguimiento"))</f>
        <v/>
      </c>
      <c r="U186" s="10">
        <f>IF(B186="","",_xlfn.SWITCH(M186,"Apartado","Hola, "&amp;B186&amp;", buen día. Le confirmo que su apartado por el *"&amp;D186&amp;"* quedó registrado correctamente. Seguimos con el proceso y le mantendré informado(a) de cada paso.","Toma de vehículo","Hola, "&amp;B186&amp;", le comparto que estamos en el proceso de toma de su vehículo actual. En cuanto tengamos el resultado le aviso para continuar con el siguiente paso.","Pago vehículo a cuenta","Hola, "&amp;B186&amp;", quedamos en proceso de pago del vehículo que se toma a cuenta. Cualquier documento o aclaración que se requiera se lo haré saber por este medio.","Firma de contrato","Hola, "&amp;B186&amp;", ya estamos listos para agendar la firma de su contrato. ¿Qué día y hora se le facilita para realizarla?","Facturación","Hola, "&amp;B186&amp;", su unidad ya está en proceso de facturación. En breve le comparto los datos para su confirmación.","Programación de entrega","Hola, "&amp;B186&amp;", con gusto le comparto que ya podemos programar la entrega de su *"&amp;D186&amp;"*. ¿Qué día y hora le acomodan mejor?","Entregado","Hola, "&amp;B186&amp;", ¡muchas felicidades por estrenar su *"&amp;D186&amp;"*! Fue un gusto acompañarle en este proceso. Quedo pendiente de cualquier duda y con gusto le agendo su próxima cita de servicio cuando lo necesite.","Hola, "&amp;B186&amp;", seguimos en contacto para avanzar con el proceso de su próximo Toyota.")&amp;CHAR(10)&amp;CHAR(10)&amp;Config!$B$1)</f>
        <v/>
      </c>
      <c r="V186" s="11">
        <f>IF(U186="","",HYPERLINK("https://wa.me/52"&amp;C186&amp;"?text="&amp;_xlfn.ENCODEURL(U186),"Enviar aviso de etapa"))</f>
        <v/>
      </c>
      <c r="W186" s="10">
        <f>IF(OR(B186="",O186=""),"","Hola, "&amp;B186&amp;", ¡feliz cumpleaños! Le deseo un excelente día rodeado de quienes más quiere. Ha sido un placer acompañarle desde que estrenó su Toyota. ¡Un abrazo!"&amp;CHAR(10)&amp;CHAR(10)&amp;Config!$B$1)</f>
        <v/>
      </c>
      <c r="X186" s="11">
        <f>IF(W186="","",HYPERLINK("https://wa.me/52"&amp;C186&amp;"?text="&amp;_xlfn.ENCODEURL(W186),"Enviar felicitación"))</f>
        <v/>
      </c>
      <c r="Y186" s="10">
        <f>IF(OR(B186="",P186=""),"","Hola, "&amp;B186&amp;", hoy se cumple un año más desde que estrenó su *"&amp;D186&amp;"*. Espero que haya sido un gran compañero de camino. Cualquier cosa que necesite, aquí estoy para apoyarle."&amp;CHAR(10)&amp;CHAR(10)&amp;Config!$B$1)</f>
        <v/>
      </c>
      <c r="Z186" s="11">
        <f>IF(Y186="","",HYPERLINK("https://wa.me/52"&amp;C186&amp;"?text="&amp;_xlfn.ENCODEURL(Y186),"Enviar aniversario"))</f>
        <v/>
      </c>
      <c r="AA186" s="11" t="n"/>
      <c r="AB186" s="11">
        <f>IF(OR(B186="",AA186=""),"",HYPERLINK("https://wa.me/52"&amp;C186&amp;"?text="&amp;_xlfn.ENCODEURL(_xlfn.SWITCH(AA186,"Bienvenida (primera visita)",Q186,"Seguimiento",S186,"Aviso de Etapa",U186,"Requisitos",AC186,"Datos de Facturación",AD186,"Cumpleaños",W186,"Aniversario",Y186,"")),"Enviar mensaje seleccionado"))</f>
        <v/>
      </c>
      <c r="AC186" s="10">
        <f>IF(B186="","",_xlfn.SWITCH(F186&amp;"|"&amp;G186,"Crédito|Persona física","Hola, "&amp;B186&amp;", para continuar con el proceso de tu *"&amp;D186&amp;"* por "&amp;F186&amp;",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"&amp;B186&amp;", para continuar con el proceso de tu *"&amp;D186&amp;"* por "&amp;F186&amp;",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"&amp;B186&amp;", para continuar con el proceso de tu *"&amp;D186&amp;"* por "&amp;F186&amp;",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"&amp;B186&amp;", para continuar con el proceso de tu *"&amp;D186&amp;"* por "&amp;F186&amp;", estos son los documentos que necesitamos:"&amp;CHAR(10)&amp;CHAR(10)&amp;"- INE"&amp;CHAR(10)&amp;"- Comprobante de domicilio"&amp;CHAR(10)&amp;"- Constancia de situación fiscal (no mayor a 3 meses)","Contado|Persona física con actividad empresarial","Hola, "&amp;B186&amp;", para continuar con el proceso de tu *"&amp;D186&amp;"* por "&amp;F186&amp;", estos son los documentos que necesitamos:"&amp;CHAR(10)&amp;CHAR(10)&amp;"- INE"&amp;CHAR(10)&amp;"- Comprobante de domicilio"&amp;CHAR(10)&amp;"- Constancia de situación fiscal (no mayor a 3 meses)","Contado|Persona moral","Hola, "&amp;B186&amp;", para continuar con el proceso de tu *"&amp;D186&amp;"* por "&amp;F186&amp;",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86" s="10">
        <f>IFERROR(INDEX(Facturación!$Q:$Q,MATCH(B186,Facturación!$A:$A,0)),"")</f>
        <v/>
      </c>
    </row>
    <row r="187" ht="15" customHeight="1" s="1">
      <c r="A187" s="11">
        <f>IF(B187="","",ROW()-1)</f>
        <v/>
      </c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0">
        <f>IF(OR(B187="",L187&lt;&gt;"Sí"),"","Hola, "&amp;B187&amp;", excelente día. Le saluda *Alejandro Estrada* de Toyota Corregidora."&amp;CHAR(10)&amp;"Muchas gracias por visitarnos y conocer la *"&amp;D187&amp;"*.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87" s="11">
        <f>IF(Q187="","",HYPERLINK("https://wa.me/52"&amp;C187&amp;"?text="&amp;_xlfn.ENCODEURL(Q187),"Enviar Bienvenida"))</f>
        <v/>
      </c>
      <c r="S187" s="10">
        <f>IF(B187="","","Hola, "&amp;B187&amp;", muy buen día."&amp;CHAR(10)&amp;"Espero que esté teniendo una excelente semana. Le escribo para saber si tiene alguna duda sobre la oferta del *"&amp;D187&amp;"*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87" s="11">
        <f>IF(S187="","",HYPERLINK("https://wa.me/52"&amp;C187&amp;"?text="&amp;_xlfn.ENCODEURL(S187),"Enviar Seguimiento"))</f>
        <v/>
      </c>
      <c r="U187" s="10">
        <f>IF(B187="","",_xlfn.SWITCH(M187,"Apartado","Hola, "&amp;B187&amp;", buen día. Le confirmo que su apartado por el *"&amp;D187&amp;"* quedó registrado correctamente. Seguimos con el proceso y le mantendré informado(a) de cada paso.","Toma de vehículo","Hola, "&amp;B187&amp;", le comparto que estamos en el proceso de toma de su vehículo actual. En cuanto tengamos el resultado le aviso para continuar con el siguiente paso.","Pago vehículo a cuenta","Hola, "&amp;B187&amp;", quedamos en proceso de pago del vehículo que se toma a cuenta. Cualquier documento o aclaración que se requiera se lo haré saber por este medio.","Firma de contrato","Hola, "&amp;B187&amp;", ya estamos listos para agendar la firma de su contrato. ¿Qué día y hora se le facilita para realizarla?","Facturación","Hola, "&amp;B187&amp;", su unidad ya está en proceso de facturación. En breve le comparto los datos para su confirmación.","Programación de entrega","Hola, "&amp;B187&amp;", con gusto le comparto que ya podemos programar la entrega de su *"&amp;D187&amp;"*. ¿Qué día y hora le acomodan mejor?","Entregado","Hola, "&amp;B187&amp;", ¡muchas felicidades por estrenar su *"&amp;D187&amp;"*! Fue un gusto acompañarle en este proceso. Quedo pendiente de cualquier duda y con gusto le agendo su próxima cita de servicio cuando lo necesite.","Hola, "&amp;B187&amp;", seguimos en contacto para avanzar con el proceso de su próximo Toyota.")&amp;CHAR(10)&amp;CHAR(10)&amp;Config!$B$1)</f>
        <v/>
      </c>
      <c r="V187" s="11">
        <f>IF(U187="","",HYPERLINK("https://wa.me/52"&amp;C187&amp;"?text="&amp;_xlfn.ENCODEURL(U187),"Enviar aviso de etapa"))</f>
        <v/>
      </c>
      <c r="W187" s="10">
        <f>IF(OR(B187="",O187=""),"","Hola, "&amp;B187&amp;", ¡feliz cumpleaños! Le deseo un excelente día rodeado de quienes más quiere. Ha sido un placer acompañarle desde que estrenó su Toyota. ¡Un abrazo!"&amp;CHAR(10)&amp;CHAR(10)&amp;Config!$B$1)</f>
        <v/>
      </c>
      <c r="X187" s="11">
        <f>IF(W187="","",HYPERLINK("https://wa.me/52"&amp;C187&amp;"?text="&amp;_xlfn.ENCODEURL(W187),"Enviar felicitación"))</f>
        <v/>
      </c>
      <c r="Y187" s="10">
        <f>IF(OR(B187="",P187=""),"","Hola, "&amp;B187&amp;", hoy se cumple un año más desde que estrenó su *"&amp;D187&amp;"*. Espero que haya sido un gran compañero de camino. Cualquier cosa que necesite, aquí estoy para apoyarle."&amp;CHAR(10)&amp;CHAR(10)&amp;Config!$B$1)</f>
        <v/>
      </c>
      <c r="Z187" s="11">
        <f>IF(Y187="","",HYPERLINK("https://wa.me/52"&amp;C187&amp;"?text="&amp;_xlfn.ENCODEURL(Y187),"Enviar aniversario"))</f>
        <v/>
      </c>
      <c r="AA187" s="11" t="n"/>
      <c r="AB187" s="11">
        <f>IF(OR(B187="",AA187=""),"",HYPERLINK("https://wa.me/52"&amp;C187&amp;"?text="&amp;_xlfn.ENCODEURL(_xlfn.SWITCH(AA187,"Bienvenida (primera visita)",Q187,"Seguimiento",S187,"Aviso de Etapa",U187,"Requisitos",AC187,"Datos de Facturación",AD187,"Cumpleaños",W187,"Aniversario",Y187,"")),"Enviar mensaje seleccionado"))</f>
        <v/>
      </c>
      <c r="AC187" s="10">
        <f>IF(B187="","",_xlfn.SWITCH(F187&amp;"|"&amp;G187,"Crédito|Persona física","Hola, "&amp;B187&amp;", para continuar con el proceso de tu *"&amp;D187&amp;"* por "&amp;F187&amp;",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"&amp;B187&amp;", para continuar con el proceso de tu *"&amp;D187&amp;"* por "&amp;F187&amp;",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"&amp;B187&amp;", para continuar con el proceso de tu *"&amp;D187&amp;"* por "&amp;F187&amp;",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"&amp;B187&amp;", para continuar con el proceso de tu *"&amp;D187&amp;"* por "&amp;F187&amp;", estos son los documentos que necesitamos:"&amp;CHAR(10)&amp;CHAR(10)&amp;"- INE"&amp;CHAR(10)&amp;"- Comprobante de domicilio"&amp;CHAR(10)&amp;"- Constancia de situación fiscal (no mayor a 3 meses)","Contado|Persona física con actividad empresarial","Hola, "&amp;B187&amp;", para continuar con el proceso de tu *"&amp;D187&amp;"* por "&amp;F187&amp;", estos son los documentos que necesitamos:"&amp;CHAR(10)&amp;CHAR(10)&amp;"- INE"&amp;CHAR(10)&amp;"- Comprobante de domicilio"&amp;CHAR(10)&amp;"- Constancia de situación fiscal (no mayor a 3 meses)","Contado|Persona moral","Hola, "&amp;B187&amp;", para continuar con el proceso de tu *"&amp;D187&amp;"* por "&amp;F187&amp;",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87" s="10">
        <f>IFERROR(INDEX(Facturación!$Q:$Q,MATCH(B187,Facturación!$A:$A,0)),"")</f>
        <v/>
      </c>
    </row>
    <row r="188" ht="15" customHeight="1" s="1">
      <c r="A188" s="11">
        <f>IF(B188="","",ROW()-1)</f>
        <v/>
      </c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0">
        <f>IF(OR(B188="",L188&lt;&gt;"Sí"),"","Hola, "&amp;B188&amp;", excelente día. Le saluda *Alejandro Estrada* de Toyota Corregidora."&amp;CHAR(10)&amp;"Muchas gracias por visitarnos y conocer la *"&amp;D188&amp;"*.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88" s="11">
        <f>IF(Q188="","",HYPERLINK("https://wa.me/52"&amp;C188&amp;"?text="&amp;_xlfn.ENCODEURL(Q188),"Enviar Bienvenida"))</f>
        <v/>
      </c>
      <c r="S188" s="10">
        <f>IF(B188="","","Hola, "&amp;B188&amp;", muy buen día."&amp;CHAR(10)&amp;"Espero que esté teniendo una excelente semana. Le escribo para saber si tiene alguna duda sobre la oferta del *"&amp;D188&amp;"*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88" s="11">
        <f>IF(S188="","",HYPERLINK("https://wa.me/52"&amp;C188&amp;"?text="&amp;_xlfn.ENCODEURL(S188),"Enviar Seguimiento"))</f>
        <v/>
      </c>
      <c r="U188" s="10">
        <f>IF(B188="","",_xlfn.SWITCH(M188,"Apartado","Hola, "&amp;B188&amp;", buen día. Le confirmo que su apartado por el *"&amp;D188&amp;"* quedó registrado correctamente. Seguimos con el proceso y le mantendré informado(a) de cada paso.","Toma de vehículo","Hola, "&amp;B188&amp;", le comparto que estamos en el proceso de toma de su vehículo actual. En cuanto tengamos el resultado le aviso para continuar con el siguiente paso.","Pago vehículo a cuenta","Hola, "&amp;B188&amp;", quedamos en proceso de pago del vehículo que se toma a cuenta. Cualquier documento o aclaración que se requiera se lo haré saber por este medio.","Firma de contrato","Hola, "&amp;B188&amp;", ya estamos listos para agendar la firma de su contrato. ¿Qué día y hora se le facilita para realizarla?","Facturación","Hola, "&amp;B188&amp;", su unidad ya está en proceso de facturación. En breve le comparto los datos para su confirmación.","Programación de entrega","Hola, "&amp;B188&amp;", con gusto le comparto que ya podemos programar la entrega de su *"&amp;D188&amp;"*. ¿Qué día y hora le acomodan mejor?","Entregado","Hola, "&amp;B188&amp;", ¡muchas felicidades por estrenar su *"&amp;D188&amp;"*! Fue un gusto acompañarle en este proceso. Quedo pendiente de cualquier duda y con gusto le agendo su próxima cita de servicio cuando lo necesite.","Hola, "&amp;B188&amp;", seguimos en contacto para avanzar con el proceso de su próximo Toyota.")&amp;CHAR(10)&amp;CHAR(10)&amp;Config!$B$1)</f>
        <v/>
      </c>
      <c r="V188" s="11">
        <f>IF(U188="","",HYPERLINK("https://wa.me/52"&amp;C188&amp;"?text="&amp;_xlfn.ENCODEURL(U188),"Enviar aviso de etapa"))</f>
        <v/>
      </c>
      <c r="W188" s="10">
        <f>IF(OR(B188="",O188=""),"","Hola, "&amp;B188&amp;", ¡feliz cumpleaños! Le deseo un excelente día rodeado de quienes más quiere. Ha sido un placer acompañarle desde que estrenó su Toyota. ¡Un abrazo!"&amp;CHAR(10)&amp;CHAR(10)&amp;Config!$B$1)</f>
        <v/>
      </c>
      <c r="X188" s="11">
        <f>IF(W188="","",HYPERLINK("https://wa.me/52"&amp;C188&amp;"?text="&amp;_xlfn.ENCODEURL(W188),"Enviar felicitación"))</f>
        <v/>
      </c>
      <c r="Y188" s="10">
        <f>IF(OR(B188="",P188=""),"","Hola, "&amp;B188&amp;", hoy se cumple un año más desde que estrenó su *"&amp;D188&amp;"*. Espero que haya sido un gran compañero de camino. Cualquier cosa que necesite, aquí estoy para apoyarle."&amp;CHAR(10)&amp;CHAR(10)&amp;Config!$B$1)</f>
        <v/>
      </c>
      <c r="Z188" s="11">
        <f>IF(Y188="","",HYPERLINK("https://wa.me/52"&amp;C188&amp;"?text="&amp;_xlfn.ENCODEURL(Y188),"Enviar aniversario"))</f>
        <v/>
      </c>
      <c r="AA188" s="11" t="n"/>
      <c r="AB188" s="11">
        <f>IF(OR(B188="",AA188=""),"",HYPERLINK("https://wa.me/52"&amp;C188&amp;"?text="&amp;_xlfn.ENCODEURL(_xlfn.SWITCH(AA188,"Bienvenida (primera visita)",Q188,"Seguimiento",S188,"Aviso de Etapa",U188,"Requisitos",AC188,"Datos de Facturación",AD188,"Cumpleaños",W188,"Aniversario",Y188,"")),"Enviar mensaje seleccionado"))</f>
        <v/>
      </c>
      <c r="AC188" s="10">
        <f>IF(B188="","",_xlfn.SWITCH(F188&amp;"|"&amp;G188,"Crédito|Persona física","Hola, "&amp;B188&amp;", para continuar con el proceso de tu *"&amp;D188&amp;"* por "&amp;F188&amp;",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"&amp;B188&amp;", para continuar con el proceso de tu *"&amp;D188&amp;"* por "&amp;F188&amp;",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"&amp;B188&amp;", para continuar con el proceso de tu *"&amp;D188&amp;"* por "&amp;F188&amp;",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"&amp;B188&amp;", para continuar con el proceso de tu *"&amp;D188&amp;"* por "&amp;F188&amp;", estos son los documentos que necesitamos:"&amp;CHAR(10)&amp;CHAR(10)&amp;"- INE"&amp;CHAR(10)&amp;"- Comprobante de domicilio"&amp;CHAR(10)&amp;"- Constancia de situación fiscal (no mayor a 3 meses)","Contado|Persona física con actividad empresarial","Hola, "&amp;B188&amp;", para continuar con el proceso de tu *"&amp;D188&amp;"* por "&amp;F188&amp;", estos son los documentos que necesitamos:"&amp;CHAR(10)&amp;CHAR(10)&amp;"- INE"&amp;CHAR(10)&amp;"- Comprobante de domicilio"&amp;CHAR(10)&amp;"- Constancia de situación fiscal (no mayor a 3 meses)","Contado|Persona moral","Hola, "&amp;B188&amp;", para continuar con el proceso de tu *"&amp;D188&amp;"* por "&amp;F188&amp;",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88" s="10">
        <f>IFERROR(INDEX(Facturación!$Q:$Q,MATCH(B188,Facturación!$A:$A,0)),"")</f>
        <v/>
      </c>
    </row>
    <row r="189" ht="15" customHeight="1" s="1">
      <c r="A189" s="11">
        <f>IF(B189="","",ROW()-1)</f>
        <v/>
      </c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0">
        <f>IF(OR(B189="",L189&lt;&gt;"Sí"),"","Hola, "&amp;B189&amp;", excelente día. Le saluda *Alejandro Estrada* de Toyota Corregidora."&amp;CHAR(10)&amp;"Muchas gracias por visitarnos y conocer la *"&amp;D189&amp;"*.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89" s="11">
        <f>IF(Q189="","",HYPERLINK("https://wa.me/52"&amp;C189&amp;"?text="&amp;_xlfn.ENCODEURL(Q189),"Enviar Bienvenida"))</f>
        <v/>
      </c>
      <c r="S189" s="10">
        <f>IF(B189="","","Hola, "&amp;B189&amp;", muy buen día."&amp;CHAR(10)&amp;"Espero que esté teniendo una excelente semana. Le escribo para saber si tiene alguna duda sobre la oferta del *"&amp;D189&amp;"*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89" s="11">
        <f>IF(S189="","",HYPERLINK("https://wa.me/52"&amp;C189&amp;"?text="&amp;_xlfn.ENCODEURL(S189),"Enviar Seguimiento"))</f>
        <v/>
      </c>
      <c r="U189" s="10">
        <f>IF(B189="","",_xlfn.SWITCH(M189,"Apartado","Hola, "&amp;B189&amp;", buen día. Le confirmo que su apartado por el *"&amp;D189&amp;"* quedó registrado correctamente. Seguimos con el proceso y le mantendré informado(a) de cada paso.","Toma de vehículo","Hola, "&amp;B189&amp;", le comparto que estamos en el proceso de toma de su vehículo actual. En cuanto tengamos el resultado le aviso para continuar con el siguiente paso.","Pago vehículo a cuenta","Hola, "&amp;B189&amp;", quedamos en proceso de pago del vehículo que se toma a cuenta. Cualquier documento o aclaración que se requiera se lo haré saber por este medio.","Firma de contrato","Hola, "&amp;B189&amp;", ya estamos listos para agendar la firma de su contrato. ¿Qué día y hora se le facilita para realizarla?","Facturación","Hola, "&amp;B189&amp;", su unidad ya está en proceso de facturación. En breve le comparto los datos para su confirmación.","Programación de entrega","Hola, "&amp;B189&amp;", con gusto le comparto que ya podemos programar la entrega de su *"&amp;D189&amp;"*. ¿Qué día y hora le acomodan mejor?","Entregado","Hola, "&amp;B189&amp;", ¡muchas felicidades por estrenar su *"&amp;D189&amp;"*! Fue un gusto acompañarle en este proceso. Quedo pendiente de cualquier duda y con gusto le agendo su próxima cita de servicio cuando lo necesite.","Hola, "&amp;B189&amp;", seguimos en contacto para avanzar con el proceso de su próximo Toyota.")&amp;CHAR(10)&amp;CHAR(10)&amp;Config!$B$1)</f>
        <v/>
      </c>
      <c r="V189" s="11">
        <f>IF(U189="","",HYPERLINK("https://wa.me/52"&amp;C189&amp;"?text="&amp;_xlfn.ENCODEURL(U189),"Enviar aviso de etapa"))</f>
        <v/>
      </c>
      <c r="W189" s="10">
        <f>IF(OR(B189="",O189=""),"","Hola, "&amp;B189&amp;", ¡feliz cumpleaños! Le deseo un excelente día rodeado de quienes más quiere. Ha sido un placer acompañarle desde que estrenó su Toyota. ¡Un abrazo!"&amp;CHAR(10)&amp;CHAR(10)&amp;Config!$B$1)</f>
        <v/>
      </c>
      <c r="X189" s="11">
        <f>IF(W189="","",HYPERLINK("https://wa.me/52"&amp;C189&amp;"?text="&amp;_xlfn.ENCODEURL(W189),"Enviar felicitación"))</f>
        <v/>
      </c>
      <c r="Y189" s="10">
        <f>IF(OR(B189="",P189=""),"","Hola, "&amp;B189&amp;", hoy se cumple un año más desde que estrenó su *"&amp;D189&amp;"*. Espero que haya sido un gran compañero de camino. Cualquier cosa que necesite, aquí estoy para apoyarle."&amp;CHAR(10)&amp;CHAR(10)&amp;Config!$B$1)</f>
        <v/>
      </c>
      <c r="Z189" s="11">
        <f>IF(Y189="","",HYPERLINK("https://wa.me/52"&amp;C189&amp;"?text="&amp;_xlfn.ENCODEURL(Y189),"Enviar aniversario"))</f>
        <v/>
      </c>
      <c r="AA189" s="11" t="n"/>
      <c r="AB189" s="11">
        <f>IF(OR(B189="",AA189=""),"",HYPERLINK("https://wa.me/52"&amp;C189&amp;"?text="&amp;_xlfn.ENCODEURL(_xlfn.SWITCH(AA189,"Bienvenida (primera visita)",Q189,"Seguimiento",S189,"Aviso de Etapa",U189,"Requisitos",AC189,"Datos de Facturación",AD189,"Cumpleaños",W189,"Aniversario",Y189,"")),"Enviar mensaje seleccionado"))</f>
        <v/>
      </c>
      <c r="AC189" s="10">
        <f>IF(B189="","",_xlfn.SWITCH(F189&amp;"|"&amp;G189,"Crédito|Persona física","Hola, "&amp;B189&amp;", para continuar con el proceso de tu *"&amp;D189&amp;"* por "&amp;F189&amp;",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"&amp;B189&amp;", para continuar con el proceso de tu *"&amp;D189&amp;"* por "&amp;F189&amp;",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"&amp;B189&amp;", para continuar con el proceso de tu *"&amp;D189&amp;"* por "&amp;F189&amp;",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"&amp;B189&amp;", para continuar con el proceso de tu *"&amp;D189&amp;"* por "&amp;F189&amp;", estos son los documentos que necesitamos:"&amp;CHAR(10)&amp;CHAR(10)&amp;"- INE"&amp;CHAR(10)&amp;"- Comprobante de domicilio"&amp;CHAR(10)&amp;"- Constancia de situación fiscal (no mayor a 3 meses)","Contado|Persona física con actividad empresarial","Hola, "&amp;B189&amp;", para continuar con el proceso de tu *"&amp;D189&amp;"* por "&amp;F189&amp;", estos son los documentos que necesitamos:"&amp;CHAR(10)&amp;CHAR(10)&amp;"- INE"&amp;CHAR(10)&amp;"- Comprobante de domicilio"&amp;CHAR(10)&amp;"- Constancia de situación fiscal (no mayor a 3 meses)","Contado|Persona moral","Hola, "&amp;B189&amp;", para continuar con el proceso de tu *"&amp;D189&amp;"* por "&amp;F189&amp;",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89" s="10">
        <f>IFERROR(INDEX(Facturación!$Q:$Q,MATCH(B189,Facturación!$A:$A,0)),"")</f>
        <v/>
      </c>
    </row>
    <row r="190" ht="15" customHeight="1" s="1">
      <c r="A190" s="11">
        <f>IF(B190="","",ROW()-1)</f>
        <v/>
      </c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0">
        <f>IF(OR(B190="",L190&lt;&gt;"Sí"),"","Hola, "&amp;B190&amp;", excelente día. Le saluda *Alejandro Estrada* de Toyota Corregidora."&amp;CHAR(10)&amp;"Muchas gracias por visitarnos y conocer la *"&amp;D190&amp;"*.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90" s="11">
        <f>IF(Q190="","",HYPERLINK("https://wa.me/52"&amp;C190&amp;"?text="&amp;_xlfn.ENCODEURL(Q190),"Enviar Bienvenida"))</f>
        <v/>
      </c>
      <c r="S190" s="10">
        <f>IF(B190="","","Hola, "&amp;B190&amp;", muy buen día."&amp;CHAR(10)&amp;"Espero que esté teniendo una excelente semana. Le escribo para saber si tiene alguna duda sobre la oferta del *"&amp;D190&amp;"*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90" s="11">
        <f>IF(S190="","",HYPERLINK("https://wa.me/52"&amp;C190&amp;"?text="&amp;_xlfn.ENCODEURL(S190),"Enviar Seguimiento"))</f>
        <v/>
      </c>
      <c r="U190" s="10">
        <f>IF(B190="","",_xlfn.SWITCH(M190,"Apartado","Hola, "&amp;B190&amp;", buen día. Le confirmo que su apartado por el *"&amp;D190&amp;"* quedó registrado correctamente. Seguimos con el proceso y le mantendré informado(a) de cada paso.","Toma de vehículo","Hola, "&amp;B190&amp;", le comparto que estamos en el proceso de toma de su vehículo actual. En cuanto tengamos el resultado le aviso para continuar con el siguiente paso.","Pago vehículo a cuenta","Hola, "&amp;B190&amp;", quedamos en proceso de pago del vehículo que se toma a cuenta. Cualquier documento o aclaración que se requiera se lo haré saber por este medio.","Firma de contrato","Hola, "&amp;B190&amp;", ya estamos listos para agendar la firma de su contrato. ¿Qué día y hora se le facilita para realizarla?","Facturación","Hola, "&amp;B190&amp;", su unidad ya está en proceso de facturación. En breve le comparto los datos para su confirmación.","Programación de entrega","Hola, "&amp;B190&amp;", con gusto le comparto que ya podemos programar la entrega de su *"&amp;D190&amp;"*. ¿Qué día y hora le acomodan mejor?","Entregado","Hola, "&amp;B190&amp;", ¡muchas felicidades por estrenar su *"&amp;D190&amp;"*! Fue un gusto acompañarle en este proceso. Quedo pendiente de cualquier duda y con gusto le agendo su próxima cita de servicio cuando lo necesite.","Hola, "&amp;B190&amp;", seguimos en contacto para avanzar con el proceso de su próximo Toyota.")&amp;CHAR(10)&amp;CHAR(10)&amp;Config!$B$1)</f>
        <v/>
      </c>
      <c r="V190" s="11">
        <f>IF(U190="","",HYPERLINK("https://wa.me/52"&amp;C190&amp;"?text="&amp;_xlfn.ENCODEURL(U190),"Enviar aviso de etapa"))</f>
        <v/>
      </c>
      <c r="W190" s="10">
        <f>IF(OR(B190="",O190=""),"","Hola, "&amp;B190&amp;", ¡feliz cumpleaños! Le deseo un excelente día rodeado de quienes más quiere. Ha sido un placer acompañarle desde que estrenó su Toyota. ¡Un abrazo!"&amp;CHAR(10)&amp;CHAR(10)&amp;Config!$B$1)</f>
        <v/>
      </c>
      <c r="X190" s="11">
        <f>IF(W190="","",HYPERLINK("https://wa.me/52"&amp;C190&amp;"?text="&amp;_xlfn.ENCODEURL(W190),"Enviar felicitación"))</f>
        <v/>
      </c>
      <c r="Y190" s="10">
        <f>IF(OR(B190="",P190=""),"","Hola, "&amp;B190&amp;", hoy se cumple un año más desde que estrenó su *"&amp;D190&amp;"*. Espero que haya sido un gran compañero de camino. Cualquier cosa que necesite, aquí estoy para apoyarle."&amp;CHAR(10)&amp;CHAR(10)&amp;Config!$B$1)</f>
        <v/>
      </c>
      <c r="Z190" s="11">
        <f>IF(Y190="","",HYPERLINK("https://wa.me/52"&amp;C190&amp;"?text="&amp;_xlfn.ENCODEURL(Y190),"Enviar aniversario"))</f>
        <v/>
      </c>
      <c r="AA190" s="11" t="n"/>
      <c r="AB190" s="11">
        <f>IF(OR(B190="",AA190=""),"",HYPERLINK("https://wa.me/52"&amp;C190&amp;"?text="&amp;_xlfn.ENCODEURL(_xlfn.SWITCH(AA190,"Bienvenida (primera visita)",Q190,"Seguimiento",S190,"Aviso de Etapa",U190,"Requisitos",AC190,"Datos de Facturación",AD190,"Cumpleaños",W190,"Aniversario",Y190,"")),"Enviar mensaje seleccionado"))</f>
        <v/>
      </c>
      <c r="AC190" s="10">
        <f>IF(B190="","",_xlfn.SWITCH(F190&amp;"|"&amp;G190,"Crédito|Persona física","Hola, "&amp;B190&amp;", para continuar con el proceso de tu *"&amp;D190&amp;"* por "&amp;F190&amp;",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"&amp;B190&amp;", para continuar con el proceso de tu *"&amp;D190&amp;"* por "&amp;F190&amp;",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"&amp;B190&amp;", para continuar con el proceso de tu *"&amp;D190&amp;"* por "&amp;F190&amp;",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"&amp;B190&amp;", para continuar con el proceso de tu *"&amp;D190&amp;"* por "&amp;F190&amp;", estos son los documentos que necesitamos:"&amp;CHAR(10)&amp;CHAR(10)&amp;"- INE"&amp;CHAR(10)&amp;"- Comprobante de domicilio"&amp;CHAR(10)&amp;"- Constancia de situación fiscal (no mayor a 3 meses)","Contado|Persona física con actividad empresarial","Hola, "&amp;B190&amp;", para continuar con el proceso de tu *"&amp;D190&amp;"* por "&amp;F190&amp;", estos son los documentos que necesitamos:"&amp;CHAR(10)&amp;CHAR(10)&amp;"- INE"&amp;CHAR(10)&amp;"- Comprobante de domicilio"&amp;CHAR(10)&amp;"- Constancia de situación fiscal (no mayor a 3 meses)","Contado|Persona moral","Hola, "&amp;B190&amp;", para continuar con el proceso de tu *"&amp;D190&amp;"* por "&amp;F190&amp;",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90" s="10">
        <f>IFERROR(INDEX(Facturación!$Q:$Q,MATCH(B190,Facturación!$A:$A,0)),"")</f>
        <v/>
      </c>
    </row>
    <row r="191" ht="15" customHeight="1" s="1">
      <c r="A191" s="11">
        <f>IF(B191="","",ROW()-1)</f>
        <v/>
      </c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0">
        <f>IF(OR(B191="",L191&lt;&gt;"Sí"),"","Hola, "&amp;B191&amp;", excelente día. Le saluda *Alejandro Estrada* de Toyota Corregidora."&amp;CHAR(10)&amp;"Muchas gracias por visitarnos y conocer la *"&amp;D191&amp;"*.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91" s="11">
        <f>IF(Q191="","",HYPERLINK("https://wa.me/52"&amp;C191&amp;"?text="&amp;_xlfn.ENCODEURL(Q191),"Enviar Bienvenida"))</f>
        <v/>
      </c>
      <c r="S191" s="10">
        <f>IF(B191="","","Hola, "&amp;B191&amp;", muy buen día."&amp;CHAR(10)&amp;"Espero que esté teniendo una excelente semana. Le escribo para saber si tiene alguna duda sobre la oferta del *"&amp;D191&amp;"*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91" s="11">
        <f>IF(S191="","",HYPERLINK("https://wa.me/52"&amp;C191&amp;"?text="&amp;_xlfn.ENCODEURL(S191),"Enviar Seguimiento"))</f>
        <v/>
      </c>
      <c r="U191" s="10">
        <f>IF(B191="","",_xlfn.SWITCH(M191,"Apartado","Hola, "&amp;B191&amp;", buen día. Le confirmo que su apartado por el *"&amp;D191&amp;"* quedó registrado correctamente. Seguimos con el proceso y le mantendré informado(a) de cada paso.","Toma de vehículo","Hola, "&amp;B191&amp;", le comparto que estamos en el proceso de toma de su vehículo actual. En cuanto tengamos el resultado le aviso para continuar con el siguiente paso.","Pago vehículo a cuenta","Hola, "&amp;B191&amp;", quedamos en proceso de pago del vehículo que se toma a cuenta. Cualquier documento o aclaración que se requiera se lo haré saber por este medio.","Firma de contrato","Hola, "&amp;B191&amp;", ya estamos listos para agendar la firma de su contrato. ¿Qué día y hora se le facilita para realizarla?","Facturación","Hola, "&amp;B191&amp;", su unidad ya está en proceso de facturación. En breve le comparto los datos para su confirmación.","Programación de entrega","Hola, "&amp;B191&amp;", con gusto le comparto que ya podemos programar la entrega de su *"&amp;D191&amp;"*. ¿Qué día y hora le acomodan mejor?","Entregado","Hola, "&amp;B191&amp;", ¡muchas felicidades por estrenar su *"&amp;D191&amp;"*! Fue un gusto acompañarle en este proceso. Quedo pendiente de cualquier duda y con gusto le agendo su próxima cita de servicio cuando lo necesite.","Hola, "&amp;B191&amp;", seguimos en contacto para avanzar con el proceso de su próximo Toyota.")&amp;CHAR(10)&amp;CHAR(10)&amp;Config!$B$1)</f>
        <v/>
      </c>
      <c r="V191" s="11">
        <f>IF(U191="","",HYPERLINK("https://wa.me/52"&amp;C191&amp;"?text="&amp;_xlfn.ENCODEURL(U191),"Enviar aviso de etapa"))</f>
        <v/>
      </c>
      <c r="W191" s="10">
        <f>IF(OR(B191="",O191=""),"","Hola, "&amp;B191&amp;", ¡feliz cumpleaños! Le deseo un excelente día rodeado de quienes más quiere. Ha sido un placer acompañarle desde que estrenó su Toyota. ¡Un abrazo!"&amp;CHAR(10)&amp;CHAR(10)&amp;Config!$B$1)</f>
        <v/>
      </c>
      <c r="X191" s="11">
        <f>IF(W191="","",HYPERLINK("https://wa.me/52"&amp;C191&amp;"?text="&amp;_xlfn.ENCODEURL(W191),"Enviar felicitación"))</f>
        <v/>
      </c>
      <c r="Y191" s="10">
        <f>IF(OR(B191="",P191=""),"","Hola, "&amp;B191&amp;", hoy se cumple un año más desde que estrenó su *"&amp;D191&amp;"*. Espero que haya sido un gran compañero de camino. Cualquier cosa que necesite, aquí estoy para apoyarle."&amp;CHAR(10)&amp;CHAR(10)&amp;Config!$B$1)</f>
        <v/>
      </c>
      <c r="Z191" s="11">
        <f>IF(Y191="","",HYPERLINK("https://wa.me/52"&amp;C191&amp;"?text="&amp;_xlfn.ENCODEURL(Y191),"Enviar aniversario"))</f>
        <v/>
      </c>
      <c r="AA191" s="11" t="n"/>
      <c r="AB191" s="11">
        <f>IF(OR(B191="",AA191=""),"",HYPERLINK("https://wa.me/52"&amp;C191&amp;"?text="&amp;_xlfn.ENCODEURL(_xlfn.SWITCH(AA191,"Bienvenida (primera visita)",Q191,"Seguimiento",S191,"Aviso de Etapa",U191,"Requisitos",AC191,"Datos de Facturación",AD191,"Cumpleaños",W191,"Aniversario",Y191,"")),"Enviar mensaje seleccionado"))</f>
        <v/>
      </c>
      <c r="AC191" s="10">
        <f>IF(B191="","",_xlfn.SWITCH(F191&amp;"|"&amp;G191,"Crédito|Persona física","Hola, "&amp;B191&amp;", para continuar con el proceso de tu *"&amp;D191&amp;"* por "&amp;F191&amp;",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"&amp;B191&amp;", para continuar con el proceso de tu *"&amp;D191&amp;"* por "&amp;F191&amp;",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"&amp;B191&amp;", para continuar con el proceso de tu *"&amp;D191&amp;"* por "&amp;F191&amp;",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"&amp;B191&amp;", para continuar con el proceso de tu *"&amp;D191&amp;"* por "&amp;F191&amp;", estos son los documentos que necesitamos:"&amp;CHAR(10)&amp;CHAR(10)&amp;"- INE"&amp;CHAR(10)&amp;"- Comprobante de domicilio"&amp;CHAR(10)&amp;"- Constancia de situación fiscal (no mayor a 3 meses)","Contado|Persona física con actividad empresarial","Hola, "&amp;B191&amp;", para continuar con el proceso de tu *"&amp;D191&amp;"* por "&amp;F191&amp;", estos son los documentos que necesitamos:"&amp;CHAR(10)&amp;CHAR(10)&amp;"- INE"&amp;CHAR(10)&amp;"- Comprobante de domicilio"&amp;CHAR(10)&amp;"- Constancia de situación fiscal (no mayor a 3 meses)","Contado|Persona moral","Hola, "&amp;B191&amp;", para continuar con el proceso de tu *"&amp;D191&amp;"* por "&amp;F191&amp;",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91" s="10">
        <f>IFERROR(INDEX(Facturación!$Q:$Q,MATCH(B191,Facturación!$A:$A,0)),"")</f>
        <v/>
      </c>
    </row>
    <row r="192" ht="15" customHeight="1" s="1">
      <c r="A192" s="11">
        <f>IF(B192="","",ROW()-1)</f>
        <v/>
      </c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0">
        <f>IF(OR(B192="",L192&lt;&gt;"Sí"),"","Hola, "&amp;B192&amp;", excelente día. Le saluda *Alejandro Estrada* de Toyota Corregidora."&amp;CHAR(10)&amp;"Muchas gracias por visitarnos y conocer la *"&amp;D192&amp;"*.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92" s="11">
        <f>IF(Q192="","",HYPERLINK("https://wa.me/52"&amp;C192&amp;"?text="&amp;_xlfn.ENCODEURL(Q192),"Enviar Bienvenida"))</f>
        <v/>
      </c>
      <c r="S192" s="10">
        <f>IF(B192="","","Hola, "&amp;B192&amp;", muy buen día."&amp;CHAR(10)&amp;"Espero que esté teniendo una excelente semana. Le escribo para saber si tiene alguna duda sobre la oferta del *"&amp;D192&amp;"*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92" s="11">
        <f>IF(S192="","",HYPERLINK("https://wa.me/52"&amp;C192&amp;"?text="&amp;_xlfn.ENCODEURL(S192),"Enviar Seguimiento"))</f>
        <v/>
      </c>
      <c r="U192" s="10">
        <f>IF(B192="","",_xlfn.SWITCH(M192,"Apartado","Hola, "&amp;B192&amp;", buen día. Le confirmo que su apartado por el *"&amp;D192&amp;"* quedó registrado correctamente. Seguimos con el proceso y le mantendré informado(a) de cada paso.","Toma de vehículo","Hola, "&amp;B192&amp;", le comparto que estamos en el proceso de toma de su vehículo actual. En cuanto tengamos el resultado le aviso para continuar con el siguiente paso.","Pago vehículo a cuenta","Hola, "&amp;B192&amp;", quedamos en proceso de pago del vehículo que se toma a cuenta. Cualquier documento o aclaración que se requiera se lo haré saber por este medio.","Firma de contrato","Hola, "&amp;B192&amp;", ya estamos listos para agendar la firma de su contrato. ¿Qué día y hora se le facilita para realizarla?","Facturación","Hola, "&amp;B192&amp;", su unidad ya está en proceso de facturación. En breve le comparto los datos para su confirmación.","Programación de entrega","Hola, "&amp;B192&amp;", con gusto le comparto que ya podemos programar la entrega de su *"&amp;D192&amp;"*. ¿Qué día y hora le acomodan mejor?","Entregado","Hola, "&amp;B192&amp;", ¡muchas felicidades por estrenar su *"&amp;D192&amp;"*! Fue un gusto acompañarle en este proceso. Quedo pendiente de cualquier duda y con gusto le agendo su próxima cita de servicio cuando lo necesite.","Hola, "&amp;B192&amp;", seguimos en contacto para avanzar con el proceso de su próximo Toyota.")&amp;CHAR(10)&amp;CHAR(10)&amp;Config!$B$1)</f>
        <v/>
      </c>
      <c r="V192" s="11">
        <f>IF(U192="","",HYPERLINK("https://wa.me/52"&amp;C192&amp;"?text="&amp;_xlfn.ENCODEURL(U192),"Enviar aviso de etapa"))</f>
        <v/>
      </c>
      <c r="W192" s="10">
        <f>IF(OR(B192="",O192=""),"","Hola, "&amp;B192&amp;", ¡feliz cumpleaños! Le deseo un excelente día rodeado de quienes más quiere. Ha sido un placer acompañarle desde que estrenó su Toyota. ¡Un abrazo!"&amp;CHAR(10)&amp;CHAR(10)&amp;Config!$B$1)</f>
        <v/>
      </c>
      <c r="X192" s="11">
        <f>IF(W192="","",HYPERLINK("https://wa.me/52"&amp;C192&amp;"?text="&amp;_xlfn.ENCODEURL(W192),"Enviar felicitación"))</f>
        <v/>
      </c>
      <c r="Y192" s="10">
        <f>IF(OR(B192="",P192=""),"","Hola, "&amp;B192&amp;", hoy se cumple un año más desde que estrenó su *"&amp;D192&amp;"*. Espero que haya sido un gran compañero de camino. Cualquier cosa que necesite, aquí estoy para apoyarle."&amp;CHAR(10)&amp;CHAR(10)&amp;Config!$B$1)</f>
        <v/>
      </c>
      <c r="Z192" s="11">
        <f>IF(Y192="","",HYPERLINK("https://wa.me/52"&amp;C192&amp;"?text="&amp;_xlfn.ENCODEURL(Y192),"Enviar aniversario"))</f>
        <v/>
      </c>
      <c r="AA192" s="11" t="n"/>
      <c r="AB192" s="11">
        <f>IF(OR(B192="",AA192=""),"",HYPERLINK("https://wa.me/52"&amp;C192&amp;"?text="&amp;_xlfn.ENCODEURL(_xlfn.SWITCH(AA192,"Bienvenida (primera visita)",Q192,"Seguimiento",S192,"Aviso de Etapa",U192,"Requisitos",AC192,"Datos de Facturación",AD192,"Cumpleaños",W192,"Aniversario",Y192,"")),"Enviar mensaje seleccionado"))</f>
        <v/>
      </c>
      <c r="AC192" s="10">
        <f>IF(B192="","",_xlfn.SWITCH(F192&amp;"|"&amp;G192,"Crédito|Persona física","Hola, "&amp;B192&amp;", para continuar con el proceso de tu *"&amp;D192&amp;"* por "&amp;F192&amp;",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"&amp;B192&amp;", para continuar con el proceso de tu *"&amp;D192&amp;"* por "&amp;F192&amp;",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"&amp;B192&amp;", para continuar con el proceso de tu *"&amp;D192&amp;"* por "&amp;F192&amp;",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"&amp;B192&amp;", para continuar con el proceso de tu *"&amp;D192&amp;"* por "&amp;F192&amp;", estos son los documentos que necesitamos:"&amp;CHAR(10)&amp;CHAR(10)&amp;"- INE"&amp;CHAR(10)&amp;"- Comprobante de domicilio"&amp;CHAR(10)&amp;"- Constancia de situación fiscal (no mayor a 3 meses)","Contado|Persona física con actividad empresarial","Hola, "&amp;B192&amp;", para continuar con el proceso de tu *"&amp;D192&amp;"* por "&amp;F192&amp;", estos son los documentos que necesitamos:"&amp;CHAR(10)&amp;CHAR(10)&amp;"- INE"&amp;CHAR(10)&amp;"- Comprobante de domicilio"&amp;CHAR(10)&amp;"- Constancia de situación fiscal (no mayor a 3 meses)","Contado|Persona moral","Hola, "&amp;B192&amp;", para continuar con el proceso de tu *"&amp;D192&amp;"* por "&amp;F192&amp;",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92" s="10">
        <f>IFERROR(INDEX(Facturación!$Q:$Q,MATCH(B192,Facturación!$A:$A,0)),"")</f>
        <v/>
      </c>
    </row>
    <row r="193" ht="15" customHeight="1" s="1">
      <c r="A193" s="11">
        <f>IF(B193="","",ROW()-1)</f>
        <v/>
      </c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0">
        <f>IF(OR(B193="",L193&lt;&gt;"Sí"),"","Hola, "&amp;B193&amp;", excelente día. Le saluda *Alejandro Estrada* de Toyota Corregidora."&amp;CHAR(10)&amp;"Muchas gracias por visitarnos y conocer la *"&amp;D193&amp;"*.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93" s="11">
        <f>IF(Q193="","",HYPERLINK("https://wa.me/52"&amp;C193&amp;"?text="&amp;_xlfn.ENCODEURL(Q193),"Enviar Bienvenida"))</f>
        <v/>
      </c>
      <c r="S193" s="10">
        <f>IF(B193="","","Hola, "&amp;B193&amp;", muy buen día."&amp;CHAR(10)&amp;"Espero que esté teniendo una excelente semana. Le escribo para saber si tiene alguna duda sobre la oferta del *"&amp;D193&amp;"*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93" s="11">
        <f>IF(S193="","",HYPERLINK("https://wa.me/52"&amp;C193&amp;"?text="&amp;_xlfn.ENCODEURL(S193),"Enviar Seguimiento"))</f>
        <v/>
      </c>
      <c r="U193" s="10">
        <f>IF(B193="","",_xlfn.SWITCH(M193,"Apartado","Hola, "&amp;B193&amp;", buen día. Le confirmo que su apartado por el *"&amp;D193&amp;"* quedó registrado correctamente. Seguimos con el proceso y le mantendré informado(a) de cada paso.","Toma de vehículo","Hola, "&amp;B193&amp;", le comparto que estamos en el proceso de toma de su vehículo actual. En cuanto tengamos el resultado le aviso para continuar con el siguiente paso.","Pago vehículo a cuenta","Hola, "&amp;B193&amp;", quedamos en proceso de pago del vehículo que se toma a cuenta. Cualquier documento o aclaración que se requiera se lo haré saber por este medio.","Firma de contrato","Hola, "&amp;B193&amp;", ya estamos listos para agendar la firma de su contrato. ¿Qué día y hora se le facilita para realizarla?","Facturación","Hola, "&amp;B193&amp;", su unidad ya está en proceso de facturación. En breve le comparto los datos para su confirmación.","Programación de entrega","Hola, "&amp;B193&amp;", con gusto le comparto que ya podemos programar la entrega de su *"&amp;D193&amp;"*. ¿Qué día y hora le acomodan mejor?","Entregado","Hola, "&amp;B193&amp;", ¡muchas felicidades por estrenar su *"&amp;D193&amp;"*! Fue un gusto acompañarle en este proceso. Quedo pendiente de cualquier duda y con gusto le agendo su próxima cita de servicio cuando lo necesite.","Hola, "&amp;B193&amp;", seguimos en contacto para avanzar con el proceso de su próximo Toyota.")&amp;CHAR(10)&amp;CHAR(10)&amp;Config!$B$1)</f>
        <v/>
      </c>
      <c r="V193" s="11">
        <f>IF(U193="","",HYPERLINK("https://wa.me/52"&amp;C193&amp;"?text="&amp;_xlfn.ENCODEURL(U193),"Enviar aviso de etapa"))</f>
        <v/>
      </c>
      <c r="W193" s="10">
        <f>IF(OR(B193="",O193=""),"","Hola, "&amp;B193&amp;", ¡feliz cumpleaños! Le deseo un excelente día rodeado de quienes más quiere. Ha sido un placer acompañarle desde que estrenó su Toyota. ¡Un abrazo!"&amp;CHAR(10)&amp;CHAR(10)&amp;Config!$B$1)</f>
        <v/>
      </c>
      <c r="X193" s="11">
        <f>IF(W193="","",HYPERLINK("https://wa.me/52"&amp;C193&amp;"?text="&amp;_xlfn.ENCODEURL(W193),"Enviar felicitación"))</f>
        <v/>
      </c>
      <c r="Y193" s="10">
        <f>IF(OR(B193="",P193=""),"","Hola, "&amp;B193&amp;", hoy se cumple un año más desde que estrenó su *"&amp;D193&amp;"*. Espero que haya sido un gran compañero de camino. Cualquier cosa que necesite, aquí estoy para apoyarle."&amp;CHAR(10)&amp;CHAR(10)&amp;Config!$B$1)</f>
        <v/>
      </c>
      <c r="Z193" s="11">
        <f>IF(Y193="","",HYPERLINK("https://wa.me/52"&amp;C193&amp;"?text="&amp;_xlfn.ENCODEURL(Y193),"Enviar aniversario"))</f>
        <v/>
      </c>
      <c r="AA193" s="11" t="n"/>
      <c r="AB193" s="11">
        <f>IF(OR(B193="",AA193=""),"",HYPERLINK("https://wa.me/52"&amp;C193&amp;"?text="&amp;_xlfn.ENCODEURL(_xlfn.SWITCH(AA193,"Bienvenida (primera visita)",Q193,"Seguimiento",S193,"Aviso de Etapa",U193,"Requisitos",AC193,"Datos de Facturación",AD193,"Cumpleaños",W193,"Aniversario",Y193,"")),"Enviar mensaje seleccionado"))</f>
        <v/>
      </c>
      <c r="AC193" s="10">
        <f>IF(B193="","",_xlfn.SWITCH(F193&amp;"|"&amp;G193,"Crédito|Persona física","Hola, "&amp;B193&amp;", para continuar con el proceso de tu *"&amp;D193&amp;"* por "&amp;F193&amp;",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"&amp;B193&amp;", para continuar con el proceso de tu *"&amp;D193&amp;"* por "&amp;F193&amp;",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"&amp;B193&amp;", para continuar con el proceso de tu *"&amp;D193&amp;"* por "&amp;F193&amp;",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"&amp;B193&amp;", para continuar con el proceso de tu *"&amp;D193&amp;"* por "&amp;F193&amp;", estos son los documentos que necesitamos:"&amp;CHAR(10)&amp;CHAR(10)&amp;"- INE"&amp;CHAR(10)&amp;"- Comprobante de domicilio"&amp;CHAR(10)&amp;"- Constancia de situación fiscal (no mayor a 3 meses)","Contado|Persona física con actividad empresarial","Hola, "&amp;B193&amp;", para continuar con el proceso de tu *"&amp;D193&amp;"* por "&amp;F193&amp;", estos son los documentos que necesitamos:"&amp;CHAR(10)&amp;CHAR(10)&amp;"- INE"&amp;CHAR(10)&amp;"- Comprobante de domicilio"&amp;CHAR(10)&amp;"- Constancia de situación fiscal (no mayor a 3 meses)","Contado|Persona moral","Hola, "&amp;B193&amp;", para continuar con el proceso de tu *"&amp;D193&amp;"* por "&amp;F193&amp;",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93" s="10">
        <f>IFERROR(INDEX(Facturación!$Q:$Q,MATCH(B193,Facturación!$A:$A,0)),"")</f>
        <v/>
      </c>
    </row>
    <row r="194" ht="15" customHeight="1" s="1">
      <c r="A194" s="11">
        <f>IF(B194="","",ROW()-1)</f>
        <v/>
      </c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0">
        <f>IF(OR(B194="",L194&lt;&gt;"Sí"),"","Hola, "&amp;B194&amp;", excelente día. Le saluda *Alejandro Estrada* de Toyota Corregidora."&amp;CHAR(10)&amp;"Muchas gracias por visitarnos y conocer la *"&amp;D194&amp;"*.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94" s="11">
        <f>IF(Q194="","",HYPERLINK("https://wa.me/52"&amp;C194&amp;"?text="&amp;_xlfn.ENCODEURL(Q194),"Enviar Bienvenida"))</f>
        <v/>
      </c>
      <c r="S194" s="10">
        <f>IF(B194="","","Hola, "&amp;B194&amp;", muy buen día."&amp;CHAR(10)&amp;"Espero que esté teniendo una excelente semana. Le escribo para saber si tiene alguna duda sobre la oferta del *"&amp;D194&amp;"*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94" s="11">
        <f>IF(S194="","",HYPERLINK("https://wa.me/52"&amp;C194&amp;"?text="&amp;_xlfn.ENCODEURL(S194),"Enviar Seguimiento"))</f>
        <v/>
      </c>
      <c r="U194" s="10">
        <f>IF(B194="","",_xlfn.SWITCH(M194,"Apartado","Hola, "&amp;B194&amp;", buen día. Le confirmo que su apartado por el *"&amp;D194&amp;"* quedó registrado correctamente. Seguimos con el proceso y le mantendré informado(a) de cada paso.","Toma de vehículo","Hola, "&amp;B194&amp;", le comparto que estamos en el proceso de toma de su vehículo actual. En cuanto tengamos el resultado le aviso para continuar con el siguiente paso.","Pago vehículo a cuenta","Hola, "&amp;B194&amp;", quedamos en proceso de pago del vehículo que se toma a cuenta. Cualquier documento o aclaración que se requiera se lo haré saber por este medio.","Firma de contrato","Hola, "&amp;B194&amp;", ya estamos listos para agendar la firma de su contrato. ¿Qué día y hora se le facilita para realizarla?","Facturación","Hola, "&amp;B194&amp;", su unidad ya está en proceso de facturación. En breve le comparto los datos para su confirmación.","Programación de entrega","Hola, "&amp;B194&amp;", con gusto le comparto que ya podemos programar la entrega de su *"&amp;D194&amp;"*. ¿Qué día y hora le acomodan mejor?","Entregado","Hola, "&amp;B194&amp;", ¡muchas felicidades por estrenar su *"&amp;D194&amp;"*! Fue un gusto acompañarle en este proceso. Quedo pendiente de cualquier duda y con gusto le agendo su próxima cita de servicio cuando lo necesite.","Hola, "&amp;B194&amp;", seguimos en contacto para avanzar con el proceso de su próximo Toyota.")&amp;CHAR(10)&amp;CHAR(10)&amp;Config!$B$1)</f>
        <v/>
      </c>
      <c r="V194" s="11">
        <f>IF(U194="","",HYPERLINK("https://wa.me/52"&amp;C194&amp;"?text="&amp;_xlfn.ENCODEURL(U194),"Enviar aviso de etapa"))</f>
        <v/>
      </c>
      <c r="W194" s="10">
        <f>IF(OR(B194="",O194=""),"","Hola, "&amp;B194&amp;", ¡feliz cumpleaños! Le deseo un excelente día rodeado de quienes más quiere. Ha sido un placer acompañarle desde que estrenó su Toyota. ¡Un abrazo!"&amp;CHAR(10)&amp;CHAR(10)&amp;Config!$B$1)</f>
        <v/>
      </c>
      <c r="X194" s="11">
        <f>IF(W194="","",HYPERLINK("https://wa.me/52"&amp;C194&amp;"?text="&amp;_xlfn.ENCODEURL(W194),"Enviar felicitación"))</f>
        <v/>
      </c>
      <c r="Y194" s="10">
        <f>IF(OR(B194="",P194=""),"","Hola, "&amp;B194&amp;", hoy se cumple un año más desde que estrenó su *"&amp;D194&amp;"*. Espero que haya sido un gran compañero de camino. Cualquier cosa que necesite, aquí estoy para apoyarle."&amp;CHAR(10)&amp;CHAR(10)&amp;Config!$B$1)</f>
        <v/>
      </c>
      <c r="Z194" s="11">
        <f>IF(Y194="","",HYPERLINK("https://wa.me/52"&amp;C194&amp;"?text="&amp;_xlfn.ENCODEURL(Y194),"Enviar aniversario"))</f>
        <v/>
      </c>
      <c r="AA194" s="11" t="n"/>
      <c r="AB194" s="11">
        <f>IF(OR(B194="",AA194=""),"",HYPERLINK("https://wa.me/52"&amp;C194&amp;"?text="&amp;_xlfn.ENCODEURL(_xlfn.SWITCH(AA194,"Bienvenida (primera visita)",Q194,"Seguimiento",S194,"Aviso de Etapa",U194,"Requisitos",AC194,"Datos de Facturación",AD194,"Cumpleaños",W194,"Aniversario",Y194,"")),"Enviar mensaje seleccionado"))</f>
        <v/>
      </c>
      <c r="AC194" s="10">
        <f>IF(B194="","",_xlfn.SWITCH(F194&amp;"|"&amp;G194,"Crédito|Persona física","Hola, "&amp;B194&amp;", para continuar con el proceso de tu *"&amp;D194&amp;"* por "&amp;F194&amp;",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"&amp;B194&amp;", para continuar con el proceso de tu *"&amp;D194&amp;"* por "&amp;F194&amp;",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"&amp;B194&amp;", para continuar con el proceso de tu *"&amp;D194&amp;"* por "&amp;F194&amp;",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"&amp;B194&amp;", para continuar con el proceso de tu *"&amp;D194&amp;"* por "&amp;F194&amp;", estos son los documentos que necesitamos:"&amp;CHAR(10)&amp;CHAR(10)&amp;"- INE"&amp;CHAR(10)&amp;"- Comprobante de domicilio"&amp;CHAR(10)&amp;"- Constancia de situación fiscal (no mayor a 3 meses)","Contado|Persona física con actividad empresarial","Hola, "&amp;B194&amp;", para continuar con el proceso de tu *"&amp;D194&amp;"* por "&amp;F194&amp;", estos son los documentos que necesitamos:"&amp;CHAR(10)&amp;CHAR(10)&amp;"- INE"&amp;CHAR(10)&amp;"- Comprobante de domicilio"&amp;CHAR(10)&amp;"- Constancia de situación fiscal (no mayor a 3 meses)","Contado|Persona moral","Hola, "&amp;B194&amp;", para continuar con el proceso de tu *"&amp;D194&amp;"* por "&amp;F194&amp;",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94" s="10">
        <f>IFERROR(INDEX(Facturación!$Q:$Q,MATCH(B194,Facturación!$A:$A,0)),"")</f>
        <v/>
      </c>
    </row>
    <row r="195" ht="15" customHeight="1" s="1">
      <c r="A195" s="11">
        <f>IF(B195="","",ROW()-1)</f>
        <v/>
      </c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0">
        <f>IF(OR(B195="",L195&lt;&gt;"Sí"),"","Hola, "&amp;B195&amp;", excelente día. Le saluda *Alejandro Estrada* de Toyota Corregidora."&amp;CHAR(10)&amp;"Muchas gracias por visitarnos y conocer la *"&amp;D195&amp;"*.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95" s="11">
        <f>IF(Q195="","",HYPERLINK("https://wa.me/52"&amp;C195&amp;"?text="&amp;_xlfn.ENCODEURL(Q195),"Enviar Bienvenida"))</f>
        <v/>
      </c>
      <c r="S195" s="10">
        <f>IF(B195="","","Hola, "&amp;B195&amp;", muy buen día."&amp;CHAR(10)&amp;"Espero que esté teniendo una excelente semana. Le escribo para saber si tiene alguna duda sobre la oferta del *"&amp;D195&amp;"*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95" s="11">
        <f>IF(S195="","",HYPERLINK("https://wa.me/52"&amp;C195&amp;"?text="&amp;_xlfn.ENCODEURL(S195),"Enviar Seguimiento"))</f>
        <v/>
      </c>
      <c r="U195" s="10">
        <f>IF(B195="","",_xlfn.SWITCH(M195,"Apartado","Hola, "&amp;B195&amp;", buen día. Le confirmo que su apartado por el *"&amp;D195&amp;"* quedó registrado correctamente. Seguimos con el proceso y le mantendré informado(a) de cada paso.","Toma de vehículo","Hola, "&amp;B195&amp;", le comparto que estamos en el proceso de toma de su vehículo actual. En cuanto tengamos el resultado le aviso para continuar con el siguiente paso.","Pago vehículo a cuenta","Hola, "&amp;B195&amp;", quedamos en proceso de pago del vehículo que se toma a cuenta. Cualquier documento o aclaración que se requiera se lo haré saber por este medio.","Firma de contrato","Hola, "&amp;B195&amp;", ya estamos listos para agendar la firma de su contrato. ¿Qué día y hora se le facilita para realizarla?","Facturación","Hola, "&amp;B195&amp;", su unidad ya está en proceso de facturación. En breve le comparto los datos para su confirmación.","Programación de entrega","Hola, "&amp;B195&amp;", con gusto le comparto que ya podemos programar la entrega de su *"&amp;D195&amp;"*. ¿Qué día y hora le acomodan mejor?","Entregado","Hola, "&amp;B195&amp;", ¡muchas felicidades por estrenar su *"&amp;D195&amp;"*! Fue un gusto acompañarle en este proceso. Quedo pendiente de cualquier duda y con gusto le agendo su próxima cita de servicio cuando lo necesite.","Hola, "&amp;B195&amp;", seguimos en contacto para avanzar con el proceso de su próximo Toyota.")&amp;CHAR(10)&amp;CHAR(10)&amp;Config!$B$1)</f>
        <v/>
      </c>
      <c r="V195" s="11">
        <f>IF(U195="","",HYPERLINK("https://wa.me/52"&amp;C195&amp;"?text="&amp;_xlfn.ENCODEURL(U195),"Enviar aviso de etapa"))</f>
        <v/>
      </c>
      <c r="W195" s="10">
        <f>IF(OR(B195="",O195=""),"","Hola, "&amp;B195&amp;", ¡feliz cumpleaños! Le deseo un excelente día rodeado de quienes más quiere. Ha sido un placer acompañarle desde que estrenó su Toyota. ¡Un abrazo!"&amp;CHAR(10)&amp;CHAR(10)&amp;Config!$B$1)</f>
        <v/>
      </c>
      <c r="X195" s="11">
        <f>IF(W195="","",HYPERLINK("https://wa.me/52"&amp;C195&amp;"?text="&amp;_xlfn.ENCODEURL(W195),"Enviar felicitación"))</f>
        <v/>
      </c>
      <c r="Y195" s="10">
        <f>IF(OR(B195="",P195=""),"","Hola, "&amp;B195&amp;", hoy se cumple un año más desde que estrenó su *"&amp;D195&amp;"*. Espero que haya sido un gran compañero de camino. Cualquier cosa que necesite, aquí estoy para apoyarle."&amp;CHAR(10)&amp;CHAR(10)&amp;Config!$B$1)</f>
        <v/>
      </c>
      <c r="Z195" s="11">
        <f>IF(Y195="","",HYPERLINK("https://wa.me/52"&amp;C195&amp;"?text="&amp;_xlfn.ENCODEURL(Y195),"Enviar aniversario"))</f>
        <v/>
      </c>
      <c r="AA195" s="11" t="n"/>
      <c r="AB195" s="11">
        <f>IF(OR(B195="",AA195=""),"",HYPERLINK("https://wa.me/52"&amp;C195&amp;"?text="&amp;_xlfn.ENCODEURL(_xlfn.SWITCH(AA195,"Bienvenida (primera visita)",Q195,"Seguimiento",S195,"Aviso de Etapa",U195,"Requisitos",AC195,"Datos de Facturación",AD195,"Cumpleaños",W195,"Aniversario",Y195,"")),"Enviar mensaje seleccionado"))</f>
        <v/>
      </c>
      <c r="AC195" s="10">
        <f>IF(B195="","",_xlfn.SWITCH(F195&amp;"|"&amp;G195,"Crédito|Persona física","Hola, "&amp;B195&amp;", para continuar con el proceso de tu *"&amp;D195&amp;"* por "&amp;F195&amp;",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"&amp;B195&amp;", para continuar con el proceso de tu *"&amp;D195&amp;"* por "&amp;F195&amp;",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"&amp;B195&amp;", para continuar con el proceso de tu *"&amp;D195&amp;"* por "&amp;F195&amp;",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"&amp;B195&amp;", para continuar con el proceso de tu *"&amp;D195&amp;"* por "&amp;F195&amp;", estos son los documentos que necesitamos:"&amp;CHAR(10)&amp;CHAR(10)&amp;"- INE"&amp;CHAR(10)&amp;"- Comprobante de domicilio"&amp;CHAR(10)&amp;"- Constancia de situación fiscal (no mayor a 3 meses)","Contado|Persona física con actividad empresarial","Hola, "&amp;B195&amp;", para continuar con el proceso de tu *"&amp;D195&amp;"* por "&amp;F195&amp;", estos son los documentos que necesitamos:"&amp;CHAR(10)&amp;CHAR(10)&amp;"- INE"&amp;CHAR(10)&amp;"- Comprobante de domicilio"&amp;CHAR(10)&amp;"- Constancia de situación fiscal (no mayor a 3 meses)","Contado|Persona moral","Hola, "&amp;B195&amp;", para continuar con el proceso de tu *"&amp;D195&amp;"* por "&amp;F195&amp;",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95" s="10">
        <f>IFERROR(INDEX(Facturación!$Q:$Q,MATCH(B195,Facturación!$A:$A,0)),"")</f>
        <v/>
      </c>
    </row>
    <row r="196" ht="15" customHeight="1" s="1">
      <c r="A196" s="11">
        <f>IF(B196="","",ROW()-1)</f>
        <v/>
      </c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0">
        <f>IF(OR(B196="",L196&lt;&gt;"Sí"),"","Hola, "&amp;B196&amp;", excelente día. Le saluda *Alejandro Estrada* de Toyota Corregidora."&amp;CHAR(10)&amp;"Muchas gracias por visitarnos y conocer la *"&amp;D196&amp;"*.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96" s="11">
        <f>IF(Q196="","",HYPERLINK("https://wa.me/52"&amp;C196&amp;"?text="&amp;_xlfn.ENCODEURL(Q196),"Enviar Bienvenida"))</f>
        <v/>
      </c>
      <c r="S196" s="10">
        <f>IF(B196="","","Hola, "&amp;B196&amp;", muy buen día."&amp;CHAR(10)&amp;"Espero que esté teniendo una excelente semana. Le escribo para saber si tiene alguna duda sobre la oferta del *"&amp;D196&amp;"*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96" s="11">
        <f>IF(S196="","",HYPERLINK("https://wa.me/52"&amp;C196&amp;"?text="&amp;_xlfn.ENCODEURL(S196),"Enviar Seguimiento"))</f>
        <v/>
      </c>
      <c r="U196" s="10">
        <f>IF(B196="","",_xlfn.SWITCH(M196,"Apartado","Hola, "&amp;B196&amp;", buen día. Le confirmo que su apartado por el *"&amp;D196&amp;"* quedó registrado correctamente. Seguimos con el proceso y le mantendré informado(a) de cada paso.","Toma de vehículo","Hola, "&amp;B196&amp;", le comparto que estamos en el proceso de toma de su vehículo actual. En cuanto tengamos el resultado le aviso para continuar con el siguiente paso.","Pago vehículo a cuenta","Hola, "&amp;B196&amp;", quedamos en proceso de pago del vehículo que se toma a cuenta. Cualquier documento o aclaración que se requiera se lo haré saber por este medio.","Firma de contrato","Hola, "&amp;B196&amp;", ya estamos listos para agendar la firma de su contrato. ¿Qué día y hora se le facilita para realizarla?","Facturación","Hola, "&amp;B196&amp;", su unidad ya está en proceso de facturación. En breve le comparto los datos para su confirmación.","Programación de entrega","Hola, "&amp;B196&amp;", con gusto le comparto que ya podemos programar la entrega de su *"&amp;D196&amp;"*. ¿Qué día y hora le acomodan mejor?","Entregado","Hola, "&amp;B196&amp;", ¡muchas felicidades por estrenar su *"&amp;D196&amp;"*! Fue un gusto acompañarle en este proceso. Quedo pendiente de cualquier duda y con gusto le agendo su próxima cita de servicio cuando lo necesite.","Hola, "&amp;B196&amp;", seguimos en contacto para avanzar con el proceso de su próximo Toyota.")&amp;CHAR(10)&amp;CHAR(10)&amp;Config!$B$1)</f>
        <v/>
      </c>
      <c r="V196" s="11">
        <f>IF(U196="","",HYPERLINK("https://wa.me/52"&amp;C196&amp;"?text="&amp;_xlfn.ENCODEURL(U196),"Enviar aviso de etapa"))</f>
        <v/>
      </c>
      <c r="W196" s="10">
        <f>IF(OR(B196="",O196=""),"","Hola, "&amp;B196&amp;", ¡feliz cumpleaños! Le deseo un excelente día rodeado de quienes más quiere. Ha sido un placer acompañarle desde que estrenó su Toyota. ¡Un abrazo!"&amp;CHAR(10)&amp;CHAR(10)&amp;Config!$B$1)</f>
        <v/>
      </c>
      <c r="X196" s="11">
        <f>IF(W196="","",HYPERLINK("https://wa.me/52"&amp;C196&amp;"?text="&amp;_xlfn.ENCODEURL(W196),"Enviar felicitación"))</f>
        <v/>
      </c>
      <c r="Y196" s="10">
        <f>IF(OR(B196="",P196=""),"","Hola, "&amp;B196&amp;", hoy se cumple un año más desde que estrenó su *"&amp;D196&amp;"*. Espero que haya sido un gran compañero de camino. Cualquier cosa que necesite, aquí estoy para apoyarle."&amp;CHAR(10)&amp;CHAR(10)&amp;Config!$B$1)</f>
        <v/>
      </c>
      <c r="Z196" s="11">
        <f>IF(Y196="","",HYPERLINK("https://wa.me/52"&amp;C196&amp;"?text="&amp;_xlfn.ENCODEURL(Y196),"Enviar aniversario"))</f>
        <v/>
      </c>
      <c r="AA196" s="11" t="n"/>
      <c r="AB196" s="11">
        <f>IF(OR(B196="",AA196=""),"",HYPERLINK("https://wa.me/52"&amp;C196&amp;"?text="&amp;_xlfn.ENCODEURL(_xlfn.SWITCH(AA196,"Bienvenida (primera visita)",Q196,"Seguimiento",S196,"Aviso de Etapa",U196,"Requisitos",AC196,"Datos de Facturación",AD196,"Cumpleaños",W196,"Aniversario",Y196,"")),"Enviar mensaje seleccionado"))</f>
        <v/>
      </c>
      <c r="AC196" s="10">
        <f>IF(B196="","",_xlfn.SWITCH(F196&amp;"|"&amp;G196,"Crédito|Persona física","Hola, "&amp;B196&amp;", para continuar con el proceso de tu *"&amp;D196&amp;"* por "&amp;F196&amp;",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"&amp;B196&amp;", para continuar con el proceso de tu *"&amp;D196&amp;"* por "&amp;F196&amp;",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"&amp;B196&amp;", para continuar con el proceso de tu *"&amp;D196&amp;"* por "&amp;F196&amp;",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"&amp;B196&amp;", para continuar con el proceso de tu *"&amp;D196&amp;"* por "&amp;F196&amp;", estos son los documentos que necesitamos:"&amp;CHAR(10)&amp;CHAR(10)&amp;"- INE"&amp;CHAR(10)&amp;"- Comprobante de domicilio"&amp;CHAR(10)&amp;"- Constancia de situación fiscal (no mayor a 3 meses)","Contado|Persona física con actividad empresarial","Hola, "&amp;B196&amp;", para continuar con el proceso de tu *"&amp;D196&amp;"* por "&amp;F196&amp;", estos son los documentos que necesitamos:"&amp;CHAR(10)&amp;CHAR(10)&amp;"- INE"&amp;CHAR(10)&amp;"- Comprobante de domicilio"&amp;CHAR(10)&amp;"- Constancia de situación fiscal (no mayor a 3 meses)","Contado|Persona moral","Hola, "&amp;B196&amp;", para continuar con el proceso de tu *"&amp;D196&amp;"* por "&amp;F196&amp;",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96" s="10">
        <f>IFERROR(INDEX(Facturación!$Q:$Q,MATCH(B196,Facturación!$A:$A,0)),"")</f>
        <v/>
      </c>
    </row>
    <row r="197" ht="15" customHeight="1" s="1">
      <c r="A197" s="11">
        <f>IF(B197="","",ROW()-1)</f>
        <v/>
      </c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0">
        <f>IF(OR(B197="",L197&lt;&gt;"Sí"),"","Hola, "&amp;B197&amp;", excelente día. Le saluda *Alejandro Estrada* de Toyota Corregidora."&amp;CHAR(10)&amp;"Muchas gracias por visitarnos y conocer la *"&amp;D197&amp;"*.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97" s="11">
        <f>IF(Q197="","",HYPERLINK("https://wa.me/52"&amp;C197&amp;"?text="&amp;_xlfn.ENCODEURL(Q197),"Enviar Bienvenida"))</f>
        <v/>
      </c>
      <c r="S197" s="10">
        <f>IF(B197="","","Hola, "&amp;B197&amp;", muy buen día."&amp;CHAR(10)&amp;"Espero que esté teniendo una excelente semana. Le escribo para saber si tiene alguna duda sobre la oferta del *"&amp;D197&amp;"*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97" s="11">
        <f>IF(S197="","",HYPERLINK("https://wa.me/52"&amp;C197&amp;"?text="&amp;_xlfn.ENCODEURL(S197),"Enviar Seguimiento"))</f>
        <v/>
      </c>
      <c r="U197" s="10">
        <f>IF(B197="","",_xlfn.SWITCH(M197,"Apartado","Hola, "&amp;B197&amp;", buen día. Le confirmo que su apartado por el *"&amp;D197&amp;"* quedó registrado correctamente. Seguimos con el proceso y le mantendré informado(a) de cada paso.","Toma de vehículo","Hola, "&amp;B197&amp;", le comparto que estamos en el proceso de toma de su vehículo actual. En cuanto tengamos el resultado le aviso para continuar con el siguiente paso.","Pago vehículo a cuenta","Hola, "&amp;B197&amp;", quedamos en proceso de pago del vehículo que se toma a cuenta. Cualquier documento o aclaración que se requiera se lo haré saber por este medio.","Firma de contrato","Hola, "&amp;B197&amp;", ya estamos listos para agendar la firma de su contrato. ¿Qué día y hora se le facilita para realizarla?","Facturación","Hola, "&amp;B197&amp;", su unidad ya está en proceso de facturación. En breve le comparto los datos para su confirmación.","Programación de entrega","Hola, "&amp;B197&amp;", con gusto le comparto que ya podemos programar la entrega de su *"&amp;D197&amp;"*. ¿Qué día y hora le acomodan mejor?","Entregado","Hola, "&amp;B197&amp;", ¡muchas felicidades por estrenar su *"&amp;D197&amp;"*! Fue un gusto acompañarle en este proceso. Quedo pendiente de cualquier duda y con gusto le agendo su próxima cita de servicio cuando lo necesite.","Hola, "&amp;B197&amp;", seguimos en contacto para avanzar con el proceso de su próximo Toyota.")&amp;CHAR(10)&amp;CHAR(10)&amp;Config!$B$1)</f>
        <v/>
      </c>
      <c r="V197" s="11">
        <f>IF(U197="","",HYPERLINK("https://wa.me/52"&amp;C197&amp;"?text="&amp;_xlfn.ENCODEURL(U197),"Enviar aviso de etapa"))</f>
        <v/>
      </c>
      <c r="W197" s="10">
        <f>IF(OR(B197="",O197=""),"","Hola, "&amp;B197&amp;", ¡feliz cumpleaños! Le deseo un excelente día rodeado de quienes más quiere. Ha sido un placer acompañarle desde que estrenó su Toyota. ¡Un abrazo!"&amp;CHAR(10)&amp;CHAR(10)&amp;Config!$B$1)</f>
        <v/>
      </c>
      <c r="X197" s="11">
        <f>IF(W197="","",HYPERLINK("https://wa.me/52"&amp;C197&amp;"?text="&amp;_xlfn.ENCODEURL(W197),"Enviar felicitación"))</f>
        <v/>
      </c>
      <c r="Y197" s="10">
        <f>IF(OR(B197="",P197=""),"","Hola, "&amp;B197&amp;", hoy se cumple un año más desde que estrenó su *"&amp;D197&amp;"*. Espero que haya sido un gran compañero de camino. Cualquier cosa que necesite, aquí estoy para apoyarle."&amp;CHAR(10)&amp;CHAR(10)&amp;Config!$B$1)</f>
        <v/>
      </c>
      <c r="Z197" s="11">
        <f>IF(Y197="","",HYPERLINK("https://wa.me/52"&amp;C197&amp;"?text="&amp;_xlfn.ENCODEURL(Y197),"Enviar aniversario"))</f>
        <v/>
      </c>
      <c r="AA197" s="11" t="n"/>
      <c r="AB197" s="11">
        <f>IF(OR(B197="",AA197=""),"",HYPERLINK("https://wa.me/52"&amp;C197&amp;"?text="&amp;_xlfn.ENCODEURL(_xlfn.SWITCH(AA197,"Bienvenida (primera visita)",Q197,"Seguimiento",S197,"Aviso de Etapa",U197,"Requisitos",AC197,"Datos de Facturación",AD197,"Cumpleaños",W197,"Aniversario",Y197,"")),"Enviar mensaje seleccionado"))</f>
        <v/>
      </c>
      <c r="AC197" s="10">
        <f>IF(B197="","",_xlfn.SWITCH(F197&amp;"|"&amp;G197,"Crédito|Persona física","Hola, "&amp;B197&amp;", para continuar con el proceso de tu *"&amp;D197&amp;"* por "&amp;F197&amp;",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"&amp;B197&amp;", para continuar con el proceso de tu *"&amp;D197&amp;"* por "&amp;F197&amp;",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"&amp;B197&amp;", para continuar con el proceso de tu *"&amp;D197&amp;"* por "&amp;F197&amp;",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"&amp;B197&amp;", para continuar con el proceso de tu *"&amp;D197&amp;"* por "&amp;F197&amp;", estos son los documentos que necesitamos:"&amp;CHAR(10)&amp;CHAR(10)&amp;"- INE"&amp;CHAR(10)&amp;"- Comprobante de domicilio"&amp;CHAR(10)&amp;"- Constancia de situación fiscal (no mayor a 3 meses)","Contado|Persona física con actividad empresarial","Hola, "&amp;B197&amp;", para continuar con el proceso de tu *"&amp;D197&amp;"* por "&amp;F197&amp;", estos son los documentos que necesitamos:"&amp;CHAR(10)&amp;CHAR(10)&amp;"- INE"&amp;CHAR(10)&amp;"- Comprobante de domicilio"&amp;CHAR(10)&amp;"- Constancia de situación fiscal (no mayor a 3 meses)","Contado|Persona moral","Hola, "&amp;B197&amp;", para continuar con el proceso de tu *"&amp;D197&amp;"* por "&amp;F197&amp;",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97" s="10">
        <f>IFERROR(INDEX(Facturación!$Q:$Q,MATCH(B197,Facturación!$A:$A,0)),"")</f>
        <v/>
      </c>
    </row>
    <row r="198" ht="15" customHeight="1" s="1">
      <c r="A198" s="11">
        <f>IF(B198="","",ROW()-1)</f>
        <v/>
      </c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0">
        <f>IF(OR(B198="",L198&lt;&gt;"Sí"),"","Hola, "&amp;B198&amp;", excelente día. Le saluda *Alejandro Estrada* de Toyota Corregidora."&amp;CHAR(10)&amp;"Muchas gracias por visitarnos y conocer la *"&amp;D198&amp;"*.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98" s="11">
        <f>IF(Q198="","",HYPERLINK("https://wa.me/52"&amp;C198&amp;"?text="&amp;_xlfn.ENCODEURL(Q198),"Enviar Bienvenida"))</f>
        <v/>
      </c>
      <c r="S198" s="10">
        <f>IF(B198="","","Hola, "&amp;B198&amp;", muy buen día."&amp;CHAR(10)&amp;"Espero que esté teniendo una excelente semana. Le escribo para saber si tiene alguna duda sobre la oferta del *"&amp;D198&amp;"*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98" s="11">
        <f>IF(S198="","",HYPERLINK("https://wa.me/52"&amp;C198&amp;"?text="&amp;_xlfn.ENCODEURL(S198),"Enviar Seguimiento"))</f>
        <v/>
      </c>
      <c r="U198" s="10">
        <f>IF(B198="","",_xlfn.SWITCH(M198,"Apartado","Hola, "&amp;B198&amp;", buen día. Le confirmo que su apartado por el *"&amp;D198&amp;"* quedó registrado correctamente. Seguimos con el proceso y le mantendré informado(a) de cada paso.","Toma de vehículo","Hola, "&amp;B198&amp;", le comparto que estamos en el proceso de toma de su vehículo actual. En cuanto tengamos el resultado le aviso para continuar con el siguiente paso.","Pago vehículo a cuenta","Hola, "&amp;B198&amp;", quedamos en proceso de pago del vehículo que se toma a cuenta. Cualquier documento o aclaración que se requiera se lo haré saber por este medio.","Firma de contrato","Hola, "&amp;B198&amp;", ya estamos listos para agendar la firma de su contrato. ¿Qué día y hora se le facilita para realizarla?","Facturación","Hola, "&amp;B198&amp;", su unidad ya está en proceso de facturación. En breve le comparto los datos para su confirmación.","Programación de entrega","Hola, "&amp;B198&amp;", con gusto le comparto que ya podemos programar la entrega de su *"&amp;D198&amp;"*. ¿Qué día y hora le acomodan mejor?","Entregado","Hola, "&amp;B198&amp;", ¡muchas felicidades por estrenar su *"&amp;D198&amp;"*! Fue un gusto acompañarle en este proceso. Quedo pendiente de cualquier duda y con gusto le agendo su próxima cita de servicio cuando lo necesite.","Hola, "&amp;B198&amp;", seguimos en contacto para avanzar con el proceso de su próximo Toyota.")&amp;CHAR(10)&amp;CHAR(10)&amp;Config!$B$1)</f>
        <v/>
      </c>
      <c r="V198" s="11">
        <f>IF(U198="","",HYPERLINK("https://wa.me/52"&amp;C198&amp;"?text="&amp;_xlfn.ENCODEURL(U198),"Enviar aviso de etapa"))</f>
        <v/>
      </c>
      <c r="W198" s="10">
        <f>IF(OR(B198="",O198=""),"","Hola, "&amp;B198&amp;", ¡feliz cumpleaños! Le deseo un excelente día rodeado de quienes más quiere. Ha sido un placer acompañarle desde que estrenó su Toyota. ¡Un abrazo!"&amp;CHAR(10)&amp;CHAR(10)&amp;Config!$B$1)</f>
        <v/>
      </c>
      <c r="X198" s="11">
        <f>IF(W198="","",HYPERLINK("https://wa.me/52"&amp;C198&amp;"?text="&amp;_xlfn.ENCODEURL(W198),"Enviar felicitación"))</f>
        <v/>
      </c>
      <c r="Y198" s="10">
        <f>IF(OR(B198="",P198=""),"","Hola, "&amp;B198&amp;", hoy se cumple un año más desde que estrenó su *"&amp;D198&amp;"*. Espero que haya sido un gran compañero de camino. Cualquier cosa que necesite, aquí estoy para apoyarle."&amp;CHAR(10)&amp;CHAR(10)&amp;Config!$B$1)</f>
        <v/>
      </c>
      <c r="Z198" s="11">
        <f>IF(Y198="","",HYPERLINK("https://wa.me/52"&amp;C198&amp;"?text="&amp;_xlfn.ENCODEURL(Y198),"Enviar aniversario"))</f>
        <v/>
      </c>
      <c r="AA198" s="11" t="n"/>
      <c r="AB198" s="11">
        <f>IF(OR(B198="",AA198=""),"",HYPERLINK("https://wa.me/52"&amp;C198&amp;"?text="&amp;_xlfn.ENCODEURL(_xlfn.SWITCH(AA198,"Bienvenida (primera visita)",Q198,"Seguimiento",S198,"Aviso de Etapa",U198,"Requisitos",AC198,"Datos de Facturación",AD198,"Cumpleaños",W198,"Aniversario",Y198,"")),"Enviar mensaje seleccionado"))</f>
        <v/>
      </c>
      <c r="AC198" s="10">
        <f>IF(B198="","",_xlfn.SWITCH(F198&amp;"|"&amp;G198,"Crédito|Persona física","Hola, "&amp;B198&amp;", para continuar con el proceso de tu *"&amp;D198&amp;"* por "&amp;F198&amp;",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"&amp;B198&amp;", para continuar con el proceso de tu *"&amp;D198&amp;"* por "&amp;F198&amp;",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"&amp;B198&amp;", para continuar con el proceso de tu *"&amp;D198&amp;"* por "&amp;F198&amp;",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"&amp;B198&amp;", para continuar con el proceso de tu *"&amp;D198&amp;"* por "&amp;F198&amp;", estos son los documentos que necesitamos:"&amp;CHAR(10)&amp;CHAR(10)&amp;"- INE"&amp;CHAR(10)&amp;"- Comprobante de domicilio"&amp;CHAR(10)&amp;"- Constancia de situación fiscal (no mayor a 3 meses)","Contado|Persona física con actividad empresarial","Hola, "&amp;B198&amp;", para continuar con el proceso de tu *"&amp;D198&amp;"* por "&amp;F198&amp;", estos son los documentos que necesitamos:"&amp;CHAR(10)&amp;CHAR(10)&amp;"- INE"&amp;CHAR(10)&amp;"- Comprobante de domicilio"&amp;CHAR(10)&amp;"- Constancia de situación fiscal (no mayor a 3 meses)","Contado|Persona moral","Hola, "&amp;B198&amp;", para continuar con el proceso de tu *"&amp;D198&amp;"* por "&amp;F198&amp;",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98" s="10">
        <f>IFERROR(INDEX(Facturación!$Q:$Q,MATCH(B198,Facturación!$A:$A,0)),"")</f>
        <v/>
      </c>
    </row>
    <row r="199" ht="15" customHeight="1" s="1">
      <c r="A199" s="11">
        <f>IF(B199="","",ROW()-1)</f>
        <v/>
      </c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0">
        <f>IF(OR(B199="",L199&lt;&gt;"Sí"),"","Hola, "&amp;B199&amp;", excelente día. Le saluda *Alejandro Estrada* de Toyota Corregidora."&amp;CHAR(10)&amp;"Muchas gracias por visitarnos y conocer la *"&amp;D199&amp;"*.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199" s="11">
        <f>IF(Q199="","",HYPERLINK("https://wa.me/52"&amp;C199&amp;"?text="&amp;_xlfn.ENCODEURL(Q199),"Enviar Bienvenida"))</f>
        <v/>
      </c>
      <c r="S199" s="10">
        <f>IF(B199="","","Hola, "&amp;B199&amp;", muy buen día."&amp;CHAR(10)&amp;"Espero que esté teniendo una excelente semana. Le escribo para saber si tiene alguna duda sobre la oferta del *"&amp;D199&amp;"*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199" s="11">
        <f>IF(S199="","",HYPERLINK("https://wa.me/52"&amp;C199&amp;"?text="&amp;_xlfn.ENCODEURL(S199),"Enviar Seguimiento"))</f>
        <v/>
      </c>
      <c r="U199" s="10">
        <f>IF(B199="","",_xlfn.SWITCH(M199,"Apartado","Hola, "&amp;B199&amp;", buen día. Le confirmo que su apartado por el *"&amp;D199&amp;"* quedó registrado correctamente. Seguimos con el proceso y le mantendré informado(a) de cada paso.","Toma de vehículo","Hola, "&amp;B199&amp;", le comparto que estamos en el proceso de toma de su vehículo actual. En cuanto tengamos el resultado le aviso para continuar con el siguiente paso.","Pago vehículo a cuenta","Hola, "&amp;B199&amp;", quedamos en proceso de pago del vehículo que se toma a cuenta. Cualquier documento o aclaración que se requiera se lo haré saber por este medio.","Firma de contrato","Hola, "&amp;B199&amp;", ya estamos listos para agendar la firma de su contrato. ¿Qué día y hora se le facilita para realizarla?","Facturación","Hola, "&amp;B199&amp;", su unidad ya está en proceso de facturación. En breve le comparto los datos para su confirmación.","Programación de entrega","Hola, "&amp;B199&amp;", con gusto le comparto que ya podemos programar la entrega de su *"&amp;D199&amp;"*. ¿Qué día y hora le acomodan mejor?","Entregado","Hola, "&amp;B199&amp;", ¡muchas felicidades por estrenar su *"&amp;D199&amp;"*! Fue un gusto acompañarle en este proceso. Quedo pendiente de cualquier duda y con gusto le agendo su próxima cita de servicio cuando lo necesite.","Hola, "&amp;B199&amp;", seguimos en contacto para avanzar con el proceso de su próximo Toyota.")&amp;CHAR(10)&amp;CHAR(10)&amp;Config!$B$1)</f>
        <v/>
      </c>
      <c r="V199" s="11">
        <f>IF(U199="","",HYPERLINK("https://wa.me/52"&amp;C199&amp;"?text="&amp;_xlfn.ENCODEURL(U199),"Enviar aviso de etapa"))</f>
        <v/>
      </c>
      <c r="W199" s="10">
        <f>IF(OR(B199="",O199=""),"","Hola, "&amp;B199&amp;", ¡feliz cumpleaños! Le deseo un excelente día rodeado de quienes más quiere. Ha sido un placer acompañarle desde que estrenó su Toyota. ¡Un abrazo!"&amp;CHAR(10)&amp;CHAR(10)&amp;Config!$B$1)</f>
        <v/>
      </c>
      <c r="X199" s="11">
        <f>IF(W199="","",HYPERLINK("https://wa.me/52"&amp;C199&amp;"?text="&amp;_xlfn.ENCODEURL(W199),"Enviar felicitación"))</f>
        <v/>
      </c>
      <c r="Y199" s="10">
        <f>IF(OR(B199="",P199=""),"","Hola, "&amp;B199&amp;", hoy se cumple un año más desde que estrenó su *"&amp;D199&amp;"*. Espero que haya sido un gran compañero de camino. Cualquier cosa que necesite, aquí estoy para apoyarle."&amp;CHAR(10)&amp;CHAR(10)&amp;Config!$B$1)</f>
        <v/>
      </c>
      <c r="Z199" s="11">
        <f>IF(Y199="","",HYPERLINK("https://wa.me/52"&amp;C199&amp;"?text="&amp;_xlfn.ENCODEURL(Y199),"Enviar aniversario"))</f>
        <v/>
      </c>
      <c r="AA199" s="11" t="n"/>
      <c r="AB199" s="11">
        <f>IF(OR(B199="",AA199=""),"",HYPERLINK("https://wa.me/52"&amp;C199&amp;"?text="&amp;_xlfn.ENCODEURL(_xlfn.SWITCH(AA199,"Bienvenida (primera visita)",Q199,"Seguimiento",S199,"Aviso de Etapa",U199,"Requisitos",AC199,"Datos de Facturación",AD199,"Cumpleaños",W199,"Aniversario",Y199,"")),"Enviar mensaje seleccionado"))</f>
        <v/>
      </c>
      <c r="AC199" s="10">
        <f>IF(B199="","",_xlfn.SWITCH(F199&amp;"|"&amp;G199,"Crédito|Persona física","Hola, "&amp;B199&amp;", para continuar con el proceso de tu *"&amp;D199&amp;"* por "&amp;F199&amp;",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"&amp;B199&amp;", para continuar con el proceso de tu *"&amp;D199&amp;"* por "&amp;F199&amp;",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"&amp;B199&amp;", para continuar con el proceso de tu *"&amp;D199&amp;"* por "&amp;F199&amp;",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"&amp;B199&amp;", para continuar con el proceso de tu *"&amp;D199&amp;"* por "&amp;F199&amp;", estos son los documentos que necesitamos:"&amp;CHAR(10)&amp;CHAR(10)&amp;"- INE"&amp;CHAR(10)&amp;"- Comprobante de domicilio"&amp;CHAR(10)&amp;"- Constancia de situación fiscal (no mayor a 3 meses)","Contado|Persona física con actividad empresarial","Hola, "&amp;B199&amp;", para continuar con el proceso de tu *"&amp;D199&amp;"* por "&amp;F199&amp;", estos son los documentos que necesitamos:"&amp;CHAR(10)&amp;CHAR(10)&amp;"- INE"&amp;CHAR(10)&amp;"- Comprobante de domicilio"&amp;CHAR(10)&amp;"- Constancia de situación fiscal (no mayor a 3 meses)","Contado|Persona moral","Hola, "&amp;B199&amp;", para continuar con el proceso de tu *"&amp;D199&amp;"* por "&amp;F199&amp;",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199" s="10">
        <f>IFERROR(INDEX(Facturación!$Q:$Q,MATCH(B199,Facturación!$A:$A,0)),"")</f>
        <v/>
      </c>
    </row>
    <row r="200" ht="15" customHeight="1" s="1">
      <c r="A200" s="11">
        <f>IF(B200="","",ROW()-1)</f>
        <v/>
      </c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0">
        <f>IF(OR(B200="",L200&lt;&gt;"Sí"),"","Hola, "&amp;B200&amp;", excelente día. Le saluda *Alejandro Estrada* de Toyota Corregidora."&amp;CHAR(10)&amp;"Muchas gracias por visitarnos y conocer la *"&amp;D200&amp;"*.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200" s="11">
        <f>IF(Q200="","",HYPERLINK("https://wa.me/52"&amp;C200&amp;"?text="&amp;_xlfn.ENCODEURL(Q200),"Enviar Bienvenida"))</f>
        <v/>
      </c>
      <c r="S200" s="10">
        <f>IF(B200="","","Hola, "&amp;B200&amp;", muy buen día."&amp;CHAR(10)&amp;"Espero que esté teniendo una excelente semana. Le escribo para saber si tiene alguna duda sobre la oferta del *"&amp;D200&amp;"*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200" s="11">
        <f>IF(S200="","",HYPERLINK("https://wa.me/52"&amp;C200&amp;"?text="&amp;_xlfn.ENCODEURL(S200),"Enviar Seguimiento"))</f>
        <v/>
      </c>
      <c r="U200" s="10">
        <f>IF(B200="","",_xlfn.SWITCH(M200,"Apartado","Hola, "&amp;B200&amp;", buen día. Le confirmo que su apartado por el *"&amp;D200&amp;"* quedó registrado correctamente. Seguimos con el proceso y le mantendré informado(a) de cada paso.","Toma de vehículo","Hola, "&amp;B200&amp;", le comparto que estamos en el proceso de toma de su vehículo actual. En cuanto tengamos el resultado le aviso para continuar con el siguiente paso.","Pago vehículo a cuenta","Hola, "&amp;B200&amp;", quedamos en proceso de pago del vehículo que se toma a cuenta. Cualquier documento o aclaración que se requiera se lo haré saber por este medio.","Firma de contrato","Hola, "&amp;B200&amp;", ya estamos listos para agendar la firma de su contrato. ¿Qué día y hora se le facilita para realizarla?","Facturación","Hola, "&amp;B200&amp;", su unidad ya está en proceso de facturación. En breve le comparto los datos para su confirmación.","Programación de entrega","Hola, "&amp;B200&amp;", con gusto le comparto que ya podemos programar la entrega de su *"&amp;D200&amp;"*. ¿Qué día y hora le acomodan mejor?","Entregado","Hola, "&amp;B200&amp;", ¡muchas felicidades por estrenar su *"&amp;D200&amp;"*! Fue un gusto acompañarle en este proceso. Quedo pendiente de cualquier duda y con gusto le agendo su próxima cita de servicio cuando lo necesite.","Hola, "&amp;B200&amp;", seguimos en contacto para avanzar con el proceso de su próximo Toyota.")&amp;CHAR(10)&amp;CHAR(10)&amp;Config!$B$1)</f>
        <v/>
      </c>
      <c r="V200" s="11">
        <f>IF(U200="","",HYPERLINK("https://wa.me/52"&amp;C200&amp;"?text="&amp;_xlfn.ENCODEURL(U200),"Enviar aviso de etapa"))</f>
        <v/>
      </c>
      <c r="W200" s="10">
        <f>IF(OR(B200="",O200=""),"","Hola, "&amp;B200&amp;", ¡feliz cumpleaños! Le deseo un excelente día rodeado de quienes más quiere. Ha sido un placer acompañarle desde que estrenó su Toyota. ¡Un abrazo!"&amp;CHAR(10)&amp;CHAR(10)&amp;Config!$B$1)</f>
        <v/>
      </c>
      <c r="X200" s="11">
        <f>IF(W200="","",HYPERLINK("https://wa.me/52"&amp;C200&amp;"?text="&amp;_xlfn.ENCODEURL(W200),"Enviar felicitación"))</f>
        <v/>
      </c>
      <c r="Y200" s="10">
        <f>IF(OR(B200="",P200=""),"","Hola, "&amp;B200&amp;", hoy se cumple un año más desde que estrenó su *"&amp;D200&amp;"*. Espero que haya sido un gran compañero de camino. Cualquier cosa que necesite, aquí estoy para apoyarle."&amp;CHAR(10)&amp;CHAR(10)&amp;Config!$B$1)</f>
        <v/>
      </c>
      <c r="Z200" s="11">
        <f>IF(Y200="","",HYPERLINK("https://wa.me/52"&amp;C200&amp;"?text="&amp;_xlfn.ENCODEURL(Y200),"Enviar aniversario"))</f>
        <v/>
      </c>
      <c r="AA200" s="11" t="n"/>
      <c r="AB200" s="11">
        <f>IF(OR(B200="",AA200=""),"",HYPERLINK("https://wa.me/52"&amp;C200&amp;"?text="&amp;_xlfn.ENCODEURL(_xlfn.SWITCH(AA200,"Bienvenida (primera visita)",Q200,"Seguimiento",S200,"Aviso de Etapa",U200,"Requisitos",AC200,"Datos de Facturación",AD200,"Cumpleaños",W200,"Aniversario",Y200,"")),"Enviar mensaje seleccionado"))</f>
        <v/>
      </c>
      <c r="AC200" s="10">
        <f>IF(B200="","",_xlfn.SWITCH(F200&amp;"|"&amp;G200,"Crédito|Persona física","Hola, "&amp;B200&amp;", para continuar con el proceso de tu *"&amp;D200&amp;"* por "&amp;F200&amp;",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"&amp;B200&amp;", para continuar con el proceso de tu *"&amp;D200&amp;"* por "&amp;F200&amp;",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"&amp;B200&amp;", para continuar con el proceso de tu *"&amp;D200&amp;"* por "&amp;F200&amp;",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"&amp;B200&amp;", para continuar con el proceso de tu *"&amp;D200&amp;"* por "&amp;F200&amp;", estos son los documentos que necesitamos:"&amp;CHAR(10)&amp;CHAR(10)&amp;"- INE"&amp;CHAR(10)&amp;"- Comprobante de domicilio"&amp;CHAR(10)&amp;"- Constancia de situación fiscal (no mayor a 3 meses)","Contado|Persona física con actividad empresarial","Hola, "&amp;B200&amp;", para continuar con el proceso de tu *"&amp;D200&amp;"* por "&amp;F200&amp;", estos son los documentos que necesitamos:"&amp;CHAR(10)&amp;CHAR(10)&amp;"- INE"&amp;CHAR(10)&amp;"- Comprobante de domicilio"&amp;CHAR(10)&amp;"- Constancia de situación fiscal (no mayor a 3 meses)","Contado|Persona moral","Hola, "&amp;B200&amp;", para continuar con el proceso de tu *"&amp;D200&amp;"* por "&amp;F200&amp;",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200" s="10">
        <f>IFERROR(INDEX(Facturación!$Q:$Q,MATCH(B200,Facturación!$A:$A,0)),"")</f>
        <v/>
      </c>
    </row>
    <row r="201" ht="15" customHeight="1" s="1">
      <c r="A201" s="11">
        <f>IF(B201="","",ROW()-1)</f>
        <v/>
      </c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0">
        <f>IF(OR(B201="",L201&lt;&gt;"Sí"),"","Hola, "&amp;B201&amp;", excelente día. Le saluda *Alejandro Estrada* de Toyota Corregidora."&amp;CHAR(10)&amp;"Muchas gracias por visitarnos y conocer la *"&amp;D201&amp;"*. Fue un placer atenderle. Me pongo a sus órdenes por este medio para resolver cualquier duda que haya surgido o para agendarle una prueba de manejo."&amp;CHAR(10)&amp;"Quedo muy pendiente de lo que necesite para ayudarle a estrenar su próximo Toyota. ¡Saludos!"&amp;CHAR(10)&amp;CHAR(10)&amp;Config!$B$1)</f>
        <v/>
      </c>
      <c r="R201" s="11">
        <f>IF(Q201="","",HYPERLINK("https://wa.me/52"&amp;C201&amp;"?text="&amp;_xlfn.ENCODEURL(Q201),"Enviar Bienvenida"))</f>
        <v/>
      </c>
      <c r="S201" s="10">
        <f>IF(B201="","","Hola, "&amp;B201&amp;", muy buen día."&amp;CHAR(10)&amp;"Espero que esté teniendo una excelente semana. Le escribo para saber si tiene alguna duda sobre la oferta del *"&amp;D201&amp;"* que revisamos, con gusto le apoyo con información técnica o con las opciones de financiamiento disponibles."&amp;CHAR(10)&amp;"Quedo atento a sus comentarios para seguir avanzando hacia la entrega de su próximo Toyota. Gracias por su tiempo y confianza."&amp;CHAR(10)&amp;CHAR(10)&amp;Config!$B$1)</f>
        <v/>
      </c>
      <c r="T201" s="11">
        <f>IF(S201="","",HYPERLINK("https://wa.me/52"&amp;C201&amp;"?text="&amp;_xlfn.ENCODEURL(S201),"Enviar Seguimiento"))</f>
        <v/>
      </c>
      <c r="U201" s="10">
        <f>IF(B201="","",_xlfn.SWITCH(M201,"Apartado","Hola, "&amp;B201&amp;", buen día. Le confirmo que su apartado por el *"&amp;D201&amp;"* quedó registrado correctamente. Seguimos con el proceso y le mantendré informado(a) de cada paso.","Toma de vehículo","Hola, "&amp;B201&amp;", le comparto que estamos en el proceso de toma de su vehículo actual. En cuanto tengamos el resultado le aviso para continuar con el siguiente paso.","Pago vehículo a cuenta","Hola, "&amp;B201&amp;", quedamos en proceso de pago del vehículo que se toma a cuenta. Cualquier documento o aclaración que se requiera se lo haré saber por este medio.","Firma de contrato","Hola, "&amp;B201&amp;", ya estamos listos para agendar la firma de su contrato. ¿Qué día y hora se le facilita para realizarla?","Facturación","Hola, "&amp;B201&amp;", su unidad ya está en proceso de facturación. En breve le comparto los datos para su confirmación.","Programación de entrega","Hola, "&amp;B201&amp;", con gusto le comparto que ya podemos programar la entrega de su *"&amp;D201&amp;"*. ¿Qué día y hora le acomodan mejor?","Entregado","Hola, "&amp;B201&amp;", ¡muchas felicidades por estrenar su *"&amp;D201&amp;"*! Fue un gusto acompañarle en este proceso. Quedo pendiente de cualquier duda y con gusto le agendo su próxima cita de servicio cuando lo necesite.","Hola, "&amp;B201&amp;", seguimos en contacto para avanzar con el proceso de su próximo Toyota.")&amp;CHAR(10)&amp;CHAR(10)&amp;Config!$B$1)</f>
        <v/>
      </c>
      <c r="V201" s="11">
        <f>IF(U201="","",HYPERLINK("https://wa.me/52"&amp;C201&amp;"?text="&amp;_xlfn.ENCODEURL(U201),"Enviar aviso de etapa"))</f>
        <v/>
      </c>
      <c r="W201" s="10">
        <f>IF(OR(B201="",O201=""),"","Hola, "&amp;B201&amp;", ¡feliz cumpleaños! Le deseo un excelente día rodeado de quienes más quiere. Ha sido un placer acompañarle desde que estrenó su Toyota. ¡Un abrazo!"&amp;CHAR(10)&amp;CHAR(10)&amp;Config!$B$1)</f>
        <v/>
      </c>
      <c r="X201" s="11">
        <f>IF(W201="","",HYPERLINK("https://wa.me/52"&amp;C201&amp;"?text="&amp;_xlfn.ENCODEURL(W201),"Enviar felicitación"))</f>
        <v/>
      </c>
      <c r="Y201" s="10">
        <f>IF(OR(B201="",P201=""),"","Hola, "&amp;B201&amp;", hoy se cumple un año más desde que estrenó su *"&amp;D201&amp;"*. Espero que haya sido un gran compañero de camino. Cualquier cosa que necesite, aquí estoy para apoyarle."&amp;CHAR(10)&amp;CHAR(10)&amp;Config!$B$1)</f>
        <v/>
      </c>
      <c r="Z201" s="11">
        <f>IF(Y201="","",HYPERLINK("https://wa.me/52"&amp;C201&amp;"?text="&amp;_xlfn.ENCODEURL(Y201),"Enviar aniversario"))</f>
        <v/>
      </c>
      <c r="AA201" s="11" t="n"/>
      <c r="AB201" s="11">
        <f>IF(OR(B201="",AA201=""),"",HYPERLINK("https://wa.me/52"&amp;C201&amp;"?text="&amp;_xlfn.ENCODEURL(_xlfn.SWITCH(AA201,"Bienvenida (primera visita)",Q201,"Seguimiento",S201,"Aviso de Etapa",U201,"Requisitos",AC201,"Datos de Facturación",AD201,"Cumpleaños",W201,"Aniversario",Y201,"")),"Enviar mensaje seleccionado"))</f>
        <v/>
      </c>
      <c r="AC201" s="10">
        <f>IF(B201="","",_xlfn.SWITCH(F201&amp;"|"&amp;G201,"Crédito|Persona física","Hola, "&amp;B201&amp;", para continuar con el proceso de tu *"&amp;D201&amp;"* por "&amp;F201&amp;",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"&amp;B201&amp;", para continuar con el proceso de tu *"&amp;D201&amp;"* por "&amp;F201&amp;",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"&amp;B201&amp;", para continuar con el proceso de tu *"&amp;D201&amp;"* por "&amp;F201&amp;",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"&amp;B201&amp;", para continuar con el proceso de tu *"&amp;D201&amp;"* por "&amp;F201&amp;", estos son los documentos que necesitamos:"&amp;CHAR(10)&amp;CHAR(10)&amp;"- INE"&amp;CHAR(10)&amp;"- Comprobante de domicilio"&amp;CHAR(10)&amp;"- Constancia de situación fiscal (no mayor a 3 meses)","Contado|Persona física con actividad empresarial","Hola, "&amp;B201&amp;", para continuar con el proceso de tu *"&amp;D201&amp;"* por "&amp;F201&amp;", estos son los documentos que necesitamos:"&amp;CHAR(10)&amp;CHAR(10)&amp;"- INE"&amp;CHAR(10)&amp;"- Comprobante de domicilio"&amp;CHAR(10)&amp;"- Constancia de situación fiscal (no mayor a 3 meses)","Contado|Persona moral","Hola, "&amp;B201&amp;", para continuar con el proceso de tu *"&amp;D201&amp;"* por "&amp;F201&amp;",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Persona.")&amp;CHAR(10)&amp;CHAR(10)&amp;Config!$B$1)</f>
        <v/>
      </c>
      <c r="AD201" s="10">
        <f>IFERROR(INDEX(Facturación!$Q:$Q,MATCH(B201,Facturación!$A:$A,0)),"")</f>
        <v/>
      </c>
    </row>
  </sheetData>
  <conditionalFormatting sqref="A2:P201">
    <cfRule type="expression" priority="2" dxfId="13">
      <formula>$M2="Prospecto / Visita"</formula>
    </cfRule>
    <cfRule type="expression" priority="3" dxfId="12">
      <formula>$M2="Apartado"</formula>
    </cfRule>
    <cfRule type="expression" priority="4" dxfId="11">
      <formula>$M2="Toma de vehículo"</formula>
    </cfRule>
    <cfRule type="expression" priority="5" dxfId="10">
      <formula>$M2="Pago vehículo a cuenta"</formula>
    </cfRule>
    <cfRule type="expression" priority="6" dxfId="9">
      <formula>$M2="Firma de contrato"</formula>
    </cfRule>
    <cfRule type="expression" priority="7" dxfId="8">
      <formula>$M2="Facturación"</formula>
    </cfRule>
    <cfRule type="expression" priority="8" dxfId="7">
      <formula>$M2="Programación de entrega"</formula>
    </cfRule>
    <cfRule type="expression" priority="9" dxfId="3">
      <formula>$M2="Entregado"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2563EB"/>
    <outlinePr summaryBelow="1" summaryRight="1"/>
    <pageSetUpPr/>
  </sheetPr>
  <dimension ref="A1:Q151"/>
  <sheetViews>
    <sheetView showGridLines="0" tabSelected="1" zoomScaleNormal="100" workbookViewId="0">
      <pane xSplit="2" ySplit="1" topLeftCell="C2" activePane="bottomRight" state="frozen"/>
      <selection pane="bottomLeft" activeCell="A2" sqref="A2"/>
      <selection pane="topRight" activeCell="C1" sqref="C1"/>
      <selection pane="bottomRight" activeCell="O8" sqref="O8"/>
    </sheetView>
  </sheetViews>
  <sheetFormatPr baseColWidth="8" defaultColWidth="8.7421875" defaultRowHeight="15"/>
  <cols>
    <col width="4.9765625" customWidth="1" style="1" min="1" max="1"/>
    <col width="22.05859375" customWidth="1" style="1" min="2" max="2"/>
    <col width="13.046875" customWidth="1" style="1" min="3" max="3"/>
    <col width="18.0234375" customWidth="1" style="1" min="4" max="4"/>
    <col width="16.0078125" customWidth="1" style="1" min="5" max="5"/>
    <col width="13.046875" customWidth="1" style="1" min="6" max="6"/>
    <col width="25.9609375" customWidth="1" style="1" min="7" max="7"/>
    <col width="23.9453125" customWidth="1" style="1" min="8" max="8"/>
    <col width="13.98828125" customWidth="1" style="1" min="9" max="9"/>
    <col width="7.93359375" customWidth="1" style="1" min="10" max="10"/>
    <col width="9.01171875" customWidth="1" style="1" min="11" max="11"/>
    <col width="13.046875" customWidth="1" style="1" min="12" max="12"/>
    <col width="9.953125" customWidth="1" style="1" min="13" max="13"/>
    <col width="25.9609375" customWidth="1" style="1" min="14" max="14"/>
    <col width="41.96875" customWidth="1" style="1" min="15" max="15"/>
    <col width="16.0078125" customWidth="1" style="1" min="16" max="16"/>
    <col hidden="1" width="9.953125" customWidth="1" style="1" min="17" max="17"/>
  </cols>
  <sheetData>
    <row r="1" ht="33.75" customHeight="1" s="1">
      <c r="A1" s="12" t="inlineStr">
        <is>
          <t>No.</t>
        </is>
      </c>
      <c r="B1" s="12" t="inlineStr">
        <is>
          <t>Cliente</t>
        </is>
      </c>
      <c r="C1" s="12" t="inlineStr">
        <is>
          <t>Teléfono</t>
        </is>
      </c>
      <c r="D1" s="12" t="inlineStr">
        <is>
          <t>Vehículo de Interés</t>
        </is>
      </c>
      <c r="E1" s="12" t="inlineStr">
        <is>
          <t>Etapa Actual</t>
        </is>
      </c>
      <c r="F1" s="12" t="inlineStr">
        <is>
          <t>Método de Compra</t>
        </is>
      </c>
      <c r="G1" s="12" t="inlineStr">
        <is>
          <t>Tipo de Persona</t>
        </is>
      </c>
      <c r="H1" s="12" t="inlineStr">
        <is>
          <t>Tipo de Acción</t>
        </is>
      </c>
      <c r="I1" s="12" t="inlineStr">
        <is>
          <t>Fecha Programada</t>
        </is>
      </c>
      <c r="J1" s="12" t="inlineStr">
        <is>
          <t>Hora</t>
        </is>
      </c>
      <c r="K1" s="12" t="inlineStr">
        <is>
          <t>Prioridad</t>
        </is>
      </c>
      <c r="L1" s="12" t="inlineStr">
        <is>
          <t>Estatus</t>
        </is>
      </c>
      <c r="M1" s="12" t="inlineStr">
        <is>
          <t>Días Restantes</t>
        </is>
      </c>
      <c r="N1" s="12" t="inlineStr">
        <is>
          <t>Notas</t>
        </is>
      </c>
      <c r="O1" s="12" t="inlineStr">
        <is>
          <t>Mensaje Generado</t>
        </is>
      </c>
      <c r="P1" s="12" t="inlineStr">
        <is>
          <t>Enviar por WhatsApp</t>
        </is>
      </c>
      <c r="Q1" s="12" t="inlineStr">
        <is>
          <t>Orden Mes</t>
        </is>
      </c>
    </row>
    <row r="2" ht="15" customHeight="1" s="1">
      <c r="A2" s="13">
        <f>IF(B2="","",ROW()-1)</f>
        <v/>
      </c>
      <c r="B2" s="14" t="inlineStr">
        <is>
          <t>Fernando Velasco</t>
        </is>
      </c>
      <c r="C2" s="13">
        <f>IFERROR(INDEX(Clientes!$C:$C,MATCH(B2,Clientes!$B:$B,0)),"")</f>
        <v/>
      </c>
      <c r="D2" s="14">
        <f>IFERROR(INDEX(Clientes!$D:$D,MATCH(B2,Clientes!$B:$B,0)),"")</f>
        <v/>
      </c>
      <c r="E2" s="14">
        <f>IFERROR(INDEX(Clientes!$M:$M,MATCH(B2,Clientes!$B:$B,0)),"")</f>
        <v/>
      </c>
      <c r="F2" s="14">
        <f>IFERROR(INDEX(Clientes!$F:$F,MATCH(B2,Clientes!$B:$B,0)),"")</f>
        <v/>
      </c>
      <c r="G2" s="14">
        <f>IFERROR(INDEX(Clientes!$G:$G,MATCH(B2,Clientes!$B:$B,0)),"")</f>
        <v/>
      </c>
      <c r="H2" s="14" t="inlineStr">
        <is>
          <t>Primera Visita</t>
        </is>
      </c>
      <c r="I2" s="15" t="n">
        <v>46329</v>
      </c>
      <c r="J2" s="16" t="n"/>
      <c r="K2" s="14" t="inlineStr">
        <is>
          <t>Media</t>
        </is>
      </c>
      <c r="L2" s="14" t="inlineStr">
        <is>
          <t>Pendiente</t>
        </is>
      </c>
      <c r="M2" s="13">
        <f>IF(I2="","",I2-TODAY())</f>
        <v/>
      </c>
      <c r="N2" s="14" t="inlineStr">
        <is>
          <t>Regresa de viaje en esas fechas</t>
        </is>
      </c>
      <c r="O2" s="14">
        <f>IFERROR(IF(B2="","",IF(H2="","",IF(H2="Otro (mensaje libre)","",IF(H2="Requisitos (Crédito/Contado)",IF(OR(F2="",G2=""),"Indica primero el Método de Compra y el Tipo de Persona del cliente en la pestaña Clientes.",_xlfn.SWITCH($F2&amp;"|"&amp;$G2,"Crédito|Persona física","Hola, "&amp;$B2&amp;", para continuar con el proceso de tu *"&amp;$D2&amp;"* por "&amp;$F2&amp;",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"&amp;$B2&amp;", para continuar con el proceso de tu *"&amp;$D2&amp;"* por "&amp;$F2&amp;",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"&amp;$B2&amp;", para continuar con el proceso de tu *"&amp;$D2&amp;"* por "&amp;$F2&amp;",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"&amp;$B2&amp;", para continuar con el proceso de tu *"&amp;$D2&amp;"* por "&amp;$F2&amp;", estos son los documentos que necesitamos:"&amp;CHAR(10)&amp;CHAR(10)&amp;"- INE"&amp;CHAR(10)&amp;"- Comprobante de domicilio"&amp;CHAR(10)&amp;"- Constancia de situación fiscal (no mayor a 3 meses)","Contado|Persona física con actividad empresarial","Hola, "&amp;$B2&amp;", para continuar con el proceso de tu *"&amp;$D2&amp;"* por "&amp;$F2&amp;", estos son los documentos que necesitamos:"&amp;CHAR(10)&amp;CHAR(10)&amp;"- INE"&amp;CHAR(10)&amp;"- Comprobante de domicilio"&amp;CHAR(10)&amp;"- Constancia de situación fiscal (no mayor a 3 meses)","Contado|Persona moral","Hola, "&amp;$B2&amp;", para continuar con el proceso de tu *"&amp;$D2&amp;"* por "&amp;$F2&amp;",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Clientes.")&amp;CHAR(10)&amp;CHAR(10)&amp;Config!$B$1),IF(D2="","",SUBSTITUTE(SUBSTITUTE(INDEX('Catálogo Mensajes'!$D:$J,MATCH($D2,'Catálogo Mensajes'!$B:$B,0),MATCH($H2,'Catálogo Mensajes'!$D$4:$J$4,0)),"{NOMBRE}",$B2),"{PROMO}",'Catálogo Mensajes'!$C$2)&amp;CHAR(10)&amp;CHAR(10)&amp;Config!$B$1))))),"")</f>
        <v/>
      </c>
      <c r="P2" s="13">
        <f>IF(OR(O2="",C2=""),"",HYPERLINK("https://wa.me/52"&amp;C2&amp;"?text="&amp;_xlfn.ENCODEURL(O2),"Enviar mensaje"))</f>
        <v/>
      </c>
      <c r="Q2" s="13">
        <f>IF(OR(I2="",L2="Realizado",L2="Cancelado"),"",SUMPRODUCT(($I$2:$I$151&lt;I2)*($I$2:$I$151&gt;=DATE(Calendario!$C$3,Calendario!$C$2,1))*($I$2:$I$151&lt;DATE(Calendario!$C$3,Calendario!$C$2+1,1))*($L$2:$L$151&lt;&gt;"Realizado")*($L$2:$L$151&lt;&gt;"Cancelado"))+SUMPRODUCT(($I$2:$I$151=I2)*(ROW($I$2:$I$151)&lt;=ROW())*($I$2:$I$151&gt;=DATE(Calendario!$C$3,Calendario!$C$2,1))*($I$2:$I$151&lt;DATE(Calendario!$C$3,Calendario!$C$2+1,1))*($L$2:$L$151&lt;&gt;"Realizado")*($L$2:$L$151&lt;&gt;"Cancelado")))</f>
        <v/>
      </c>
    </row>
    <row r="3" ht="15" customHeight="1" s="1">
      <c r="A3" s="13">
        <f>IF(B3="","",ROW()-1)</f>
        <v/>
      </c>
      <c r="B3" s="14" t="inlineStr">
        <is>
          <t>Adalberto Rusiles</t>
        </is>
      </c>
      <c r="C3" s="13">
        <f>IFERROR(INDEX(Clientes!$C:$C,MATCH(B3,Clientes!$B:$B,0)),"")</f>
        <v/>
      </c>
      <c r="D3" s="14">
        <f>IFERROR(INDEX(Clientes!$D:$D,MATCH(B3,Clientes!$B:$B,0)),"")</f>
        <v/>
      </c>
      <c r="E3" s="14">
        <f>IFERROR(INDEX(Clientes!$M:$M,MATCH(B3,Clientes!$B:$B,0)),"")</f>
        <v/>
      </c>
      <c r="F3" s="14">
        <f>IFERROR(INDEX(Clientes!$F:$F,MATCH(B3,Clientes!$B:$B,0)),"")</f>
        <v/>
      </c>
      <c r="G3" s="14">
        <f>IFERROR(INDEX(Clientes!$G:$G,MATCH(B3,Clientes!$B:$B,0)),"")</f>
        <v/>
      </c>
      <c r="H3" s="14" t="inlineStr">
        <is>
          <t>Seguimiento a Interés</t>
        </is>
      </c>
      <c r="I3" s="15" t="n">
        <v>46259</v>
      </c>
      <c r="J3" s="16" t="n"/>
      <c r="K3" s="14" t="inlineStr">
        <is>
          <t>Baja</t>
        </is>
      </c>
      <c r="L3" s="14" t="inlineStr">
        <is>
          <t>Pendiente</t>
        </is>
      </c>
      <c r="M3" s="13">
        <f>IF(I3="","",I3-TODAY())</f>
        <v/>
      </c>
      <c r="N3" s="14" t="inlineStr">
        <is>
          <t>Desea pickup mas pequeña</t>
        </is>
      </c>
      <c r="O3" s="14">
        <f>IFERROR(IF(B3="","",IF(H3="","",IF(H3="Otro (mensaje libre)","",IF(H3="Requisitos (Crédito/Contado)",IF(OR(F3="",G3=""),"Indica primero el Método de Compra y el Tipo de Persona del cliente en la pestaña Clientes.",_xlfn.SWITCH($F3&amp;"|"&amp;$G3,"Crédito|Persona física","Hola, "&amp;$B3&amp;", para continuar con el proceso de tu *"&amp;$D3&amp;"* por "&amp;$F3&amp;",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"&amp;$B3&amp;", para continuar con el proceso de tu *"&amp;$D3&amp;"* por "&amp;$F3&amp;",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"&amp;$B3&amp;", para continuar con el proceso de tu *"&amp;$D3&amp;"* por "&amp;$F3&amp;",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"&amp;$B3&amp;", para continuar con el proceso de tu *"&amp;$D3&amp;"* por "&amp;$F3&amp;", estos son los documentos que necesitamos:"&amp;CHAR(10)&amp;CHAR(10)&amp;"- INE"&amp;CHAR(10)&amp;"- Comprobante de domicilio"&amp;CHAR(10)&amp;"- Constancia de situación fiscal (no mayor a 3 meses)","Contado|Persona física con actividad empresarial","Hola, "&amp;$B3&amp;", para continuar con el proceso de tu *"&amp;$D3&amp;"* por "&amp;$F3&amp;", estos son los documentos que necesitamos:"&amp;CHAR(10)&amp;CHAR(10)&amp;"- INE"&amp;CHAR(10)&amp;"- Comprobante de domicilio"&amp;CHAR(10)&amp;"- Constancia de situación fiscal (no mayor a 3 meses)","Contado|Persona moral","Hola, "&amp;$B3&amp;", para continuar con el proceso de tu *"&amp;$D3&amp;"* por "&amp;$F3&amp;",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Clientes.")&amp;CHAR(10)&amp;CHAR(10)&amp;Config!$B$1),IF(D3="","",SUBSTITUTE(SUBSTITUTE(INDEX('Catálogo Mensajes'!$D:$J,MATCH($D3,'Catálogo Mensajes'!$B:$B,0),MATCH($H3,'Catálogo Mensajes'!$D$4:$J$4,0)),"{NOMBRE}",$B3),"{PROMO}",'Catálogo Mensajes'!$C$2)&amp;CHAR(10)&amp;CHAR(10)&amp;Config!$B$1))))),"")</f>
        <v/>
      </c>
      <c r="P3" s="13">
        <f>IF(OR(O3="",C3=""),"",HYPERLINK("https://wa.me/52"&amp;C3&amp;"?text="&amp;_xlfn.ENCODEURL(O3),"Enviar mensaje"))</f>
        <v/>
      </c>
      <c r="Q3" s="13">
        <f>IF(OR(I3="",L3="Realizado",L3="Cancelado"),"",SUMPRODUCT(($I$2:$I$151&lt;I3)*($I$2:$I$151&gt;=DATE(Calendario!$C$3,Calendario!$C$2,1))*($I$2:$I$151&lt;DATE(Calendario!$C$3,Calendario!$C$2+1,1))*($L$2:$L$151&lt;&gt;"Realizado")*($L$2:$L$151&lt;&gt;"Cancelado"))+SUMPRODUCT(($I$2:$I$151=I3)*(ROW($I$2:$I$151)&lt;=ROW())*($I$2:$I$151&gt;=DATE(Calendario!$C$3,Calendario!$C$2,1))*($I$2:$I$151&lt;DATE(Calendario!$C$3,Calendario!$C$2+1,1))*($L$2:$L$151&lt;&gt;"Realizado")*($L$2:$L$151&lt;&gt;"Cancelado")))</f>
        <v/>
      </c>
    </row>
    <row r="4" ht="15" customHeight="1" s="1">
      <c r="A4" s="13">
        <f>IF(B4="","",ROW()-1)</f>
        <v/>
      </c>
      <c r="B4" s="14" t="inlineStr">
        <is>
          <t>Miguel Corona</t>
        </is>
      </c>
      <c r="C4" s="13">
        <f>IFERROR(INDEX(Clientes!$C:$C,MATCH(B4,Clientes!$B:$B,0)),"")</f>
        <v/>
      </c>
      <c r="D4" s="14">
        <f>IFERROR(INDEX(Clientes!$D:$D,MATCH(B4,Clientes!$B:$B,0)),"")</f>
        <v/>
      </c>
      <c r="E4" s="14">
        <f>IFERROR(INDEX(Clientes!$M:$M,MATCH(B4,Clientes!$B:$B,0)),"")</f>
        <v/>
      </c>
      <c r="F4" s="14">
        <f>IFERROR(INDEX(Clientes!$F:$F,MATCH(B4,Clientes!$B:$B,0)),"")</f>
        <v/>
      </c>
      <c r="G4" s="14">
        <f>IFERROR(INDEX(Clientes!$G:$G,MATCH(B4,Clientes!$B:$B,0)),"")</f>
        <v/>
      </c>
      <c r="H4" s="14" t="inlineStr">
        <is>
          <t>Felicitación por Apartado</t>
        </is>
      </c>
      <c r="I4" s="15" t="n">
        <v>46253</v>
      </c>
      <c r="J4" s="16" t="n"/>
      <c r="K4" s="14" t="inlineStr">
        <is>
          <t>Alta</t>
        </is>
      </c>
      <c r="L4" s="14" t="inlineStr">
        <is>
          <t>Realizado</t>
        </is>
      </c>
      <c r="M4" s="13">
        <f>IF(I4="","",I4-TODAY())</f>
        <v/>
      </c>
      <c r="N4" s="14" t="inlineStr">
        <is>
          <t>Realizo apartado de XLE</t>
        </is>
      </c>
      <c r="O4" s="14">
        <f>IFERROR(IF(B4="","",IF(H4="","",IF(H4="Otro (mensaje libre)","",IF(H4="Requisitos (Crédito/Contado)",IF(OR(F4="",G4=""),"Indica primero el Método de Compra y el Tipo de Persona del cliente en la pestaña Clientes.",_xlfn.SWITCH($F4&amp;"|"&amp;$G4,"Crédito|Persona física","Hola, "&amp;$B4&amp;", para continuar con el proceso de tu *"&amp;$D4&amp;"* por "&amp;$F4&amp;",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"&amp;$B4&amp;", para continuar con el proceso de tu *"&amp;$D4&amp;"* por "&amp;$F4&amp;",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"&amp;$B4&amp;", para continuar con el proceso de tu *"&amp;$D4&amp;"* por "&amp;$F4&amp;",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"&amp;$B4&amp;", para continuar con el proceso de tu *"&amp;$D4&amp;"* por "&amp;$F4&amp;", estos son los documentos que necesitamos:"&amp;CHAR(10)&amp;CHAR(10)&amp;"- INE"&amp;CHAR(10)&amp;"- Comprobante de domicilio"&amp;CHAR(10)&amp;"- Constancia de situación fiscal (no mayor a 3 meses)","Contado|Persona física con actividad empresarial","Hola, "&amp;$B4&amp;", para continuar con el proceso de tu *"&amp;$D4&amp;"* por "&amp;$F4&amp;", estos son los documentos que necesitamos:"&amp;CHAR(10)&amp;CHAR(10)&amp;"- INE"&amp;CHAR(10)&amp;"- Comprobante de domicilio"&amp;CHAR(10)&amp;"- Constancia de situación fiscal (no mayor a 3 meses)","Contado|Persona moral","Hola, "&amp;$B4&amp;", para continuar con el proceso de tu *"&amp;$D4&amp;"* por "&amp;$F4&amp;",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Clientes.")&amp;CHAR(10)&amp;CHAR(10)&amp;Config!$B$1),IF(D4="","",SUBSTITUTE(SUBSTITUTE(INDEX('Catálogo Mensajes'!$D:$J,MATCH($D4,'Catálogo Mensajes'!$B:$B,0),MATCH($H4,'Catálogo Mensajes'!$D$4:$J$4,0)),"{NOMBRE}",$B4),"{PROMO}",'Catálogo Mensajes'!$C$2)&amp;CHAR(10)&amp;CHAR(10)&amp;Config!$B$1))))),"")</f>
        <v/>
      </c>
      <c r="P4" s="13">
        <f>IF(OR(O4="",C4=""),"",HYPERLINK("https://wa.me/52"&amp;C4&amp;"?text="&amp;_xlfn.ENCODEURL(O4),"Enviar mensaje"))</f>
        <v/>
      </c>
      <c r="Q4" s="13">
        <f>IF(OR(I4="",L4="Realizado",L4="Cancelado"),"",SUMPRODUCT(($I$2:$I$151&lt;I4)*($I$2:$I$151&gt;=DATE(Calendario!$C$3,Calendario!$C$2,1))*($I$2:$I$151&lt;DATE(Calendario!$C$3,Calendario!$C$2+1,1))*($L$2:$L$151&lt;&gt;"Realizado")*($L$2:$L$151&lt;&gt;"Cancelado"))+SUMPRODUCT(($I$2:$I$151=I4)*(ROW($I$2:$I$151)&lt;=ROW())*($I$2:$I$151&gt;=DATE(Calendario!$C$3,Calendario!$C$2,1))*($I$2:$I$151&lt;DATE(Calendario!$C$3,Calendario!$C$2+1,1))*($L$2:$L$151&lt;&gt;"Realizado")*($L$2:$L$151&lt;&gt;"Cancelado")))</f>
        <v/>
      </c>
    </row>
    <row r="5" ht="15" customHeight="1" s="1">
      <c r="A5" s="13">
        <f>IF(B5="","",ROW()-1)</f>
        <v/>
      </c>
      <c r="B5" s="14" t="inlineStr">
        <is>
          <t>Alejandra Arzate</t>
        </is>
      </c>
      <c r="C5" s="13">
        <f>IFERROR(INDEX(Clientes!$C:$C,MATCH(B5,Clientes!$B:$B,0)),"")</f>
        <v/>
      </c>
      <c r="D5" s="14">
        <f>IFERROR(INDEX(Clientes!$D:$D,MATCH(B5,Clientes!$B:$B,0)),"")</f>
        <v/>
      </c>
      <c r="E5" s="14">
        <f>IFERROR(INDEX(Clientes!$M:$M,MATCH(B5,Clientes!$B:$B,0)),"")</f>
        <v/>
      </c>
      <c r="F5" s="14">
        <f>IFERROR(INDEX(Clientes!$F:$F,MATCH(B5,Clientes!$B:$B,0)),"")</f>
        <v/>
      </c>
      <c r="G5" s="14">
        <f>IFERROR(INDEX(Clientes!$G:$G,MATCH(B5,Clientes!$B:$B,0)),"")</f>
        <v/>
      </c>
      <c r="H5" s="14" t="inlineStr">
        <is>
          <t>Primera Visita</t>
        </is>
      </c>
      <c r="I5" s="15" t="n">
        <v>46256</v>
      </c>
      <c r="J5" s="16" t="n"/>
      <c r="K5" s="14" t="inlineStr">
        <is>
          <t>Media</t>
        </is>
      </c>
      <c r="L5" s="14" t="inlineStr">
        <is>
          <t>Pendiente</t>
        </is>
      </c>
      <c r="M5" s="13">
        <f>IF(I5="","",I5-TODAY())</f>
        <v/>
      </c>
      <c r="N5" s="14" t="inlineStr">
        <is>
          <t>Vienen de Jalpan</t>
        </is>
      </c>
      <c r="O5" s="14">
        <f>IFERROR(IF(B5="","",IF(H5="","",IF(H5="Otro (mensaje libre)","",IF(H5="Requisitos (Crédito/Contado)",IF(OR(F5="",G5=""),"Indica primero el Método de Compra y el Tipo de Persona del cliente en la pestaña Clientes.",_xlfn.SWITCH($F5&amp;"|"&amp;$G5,"Crédito|Persona física","Hola, "&amp;$B5&amp;", para continuar con el proceso de tu *"&amp;$D5&amp;"* por "&amp;$F5&amp;",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"&amp;$B5&amp;", para continuar con el proceso de tu *"&amp;$D5&amp;"* por "&amp;$F5&amp;",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"&amp;$B5&amp;", para continuar con el proceso de tu *"&amp;$D5&amp;"* por "&amp;$F5&amp;",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"&amp;$B5&amp;", para continuar con el proceso de tu *"&amp;$D5&amp;"* por "&amp;$F5&amp;", estos son los documentos que necesitamos:"&amp;CHAR(10)&amp;CHAR(10)&amp;"- INE"&amp;CHAR(10)&amp;"- Comprobante de domicilio"&amp;CHAR(10)&amp;"- Constancia de situación fiscal (no mayor a 3 meses)","Contado|Persona física con actividad empresarial","Hola, "&amp;$B5&amp;", para continuar con el proceso de tu *"&amp;$D5&amp;"* por "&amp;$F5&amp;", estos son los documentos que necesitamos:"&amp;CHAR(10)&amp;CHAR(10)&amp;"- INE"&amp;CHAR(10)&amp;"- Comprobante de domicilio"&amp;CHAR(10)&amp;"- Constancia de situación fiscal (no mayor a 3 meses)","Contado|Persona moral","Hola, "&amp;$B5&amp;", para continuar con el proceso de tu *"&amp;$D5&amp;"* por "&amp;$F5&amp;",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Clientes.")&amp;CHAR(10)&amp;CHAR(10)&amp;Config!$B$1),IF(D5="","",SUBSTITUTE(SUBSTITUTE(INDEX('Catálogo Mensajes'!$D:$J,MATCH($D5,'Catálogo Mensajes'!$B:$B,0),MATCH($H5,'Catálogo Mensajes'!$D$4:$J$4,0)),"{NOMBRE}",$B5),"{PROMO}",'Catálogo Mensajes'!$C$2)&amp;CHAR(10)&amp;CHAR(10)&amp;Config!$B$1))))),"")</f>
        <v/>
      </c>
      <c r="P5" s="13">
        <f>IF(OR(O5="",C5=""),"",HYPERLINK("https://wa.me/52"&amp;C5&amp;"?text="&amp;_xlfn.ENCODEURL(O5),"Enviar mensaje"))</f>
        <v/>
      </c>
      <c r="Q5" s="13">
        <f>IF(OR(I5="",L5="Realizado",L5="Cancelado"),"",SUMPRODUCT(($I$2:$I$151&lt;I5)*($I$2:$I$151&gt;=DATE(Calendario!$C$3,Calendario!$C$2,1))*($I$2:$I$151&lt;DATE(Calendario!$C$3,Calendario!$C$2+1,1))*($L$2:$L$151&lt;&gt;"Realizado")*($L$2:$L$151&lt;&gt;"Cancelado"))+SUMPRODUCT(($I$2:$I$151=I5)*(ROW($I$2:$I$151)&lt;=ROW())*($I$2:$I$151&gt;=DATE(Calendario!$C$3,Calendario!$C$2,1))*($I$2:$I$151&lt;DATE(Calendario!$C$3,Calendario!$C$2+1,1))*($L$2:$L$151&lt;&gt;"Realizado")*($L$2:$L$151&lt;&gt;"Cancelado")))</f>
        <v/>
      </c>
    </row>
    <row r="6" ht="15" customHeight="1" s="1">
      <c r="A6" s="13">
        <f>IF(B6="","",ROW()-1)</f>
        <v/>
      </c>
      <c r="B6" s="14" t="inlineStr">
        <is>
          <t>Arelis Aguilar</t>
        </is>
      </c>
      <c r="C6" s="13">
        <f>IFERROR(INDEX(Clientes!$C:$C,MATCH(B6,Clientes!$B:$B,0)),"")</f>
        <v/>
      </c>
      <c r="D6" s="14">
        <f>IFERROR(INDEX(Clientes!$D:$D,MATCH(B6,Clientes!$B:$B,0)),"")</f>
        <v/>
      </c>
      <c r="E6" s="14">
        <f>IFERROR(INDEX(Clientes!$M:$M,MATCH(B6,Clientes!$B:$B,0)),"")</f>
        <v/>
      </c>
      <c r="F6" s="14">
        <f>IFERROR(INDEX(Clientes!$F:$F,MATCH(B6,Clientes!$B:$B,0)),"")</f>
        <v/>
      </c>
      <c r="G6" s="14">
        <f>IFERROR(INDEX(Clientes!$G:$G,MATCH(B6,Clientes!$B:$B,0)),"")</f>
        <v/>
      </c>
      <c r="H6" s="14" t="inlineStr">
        <is>
          <t>Primera Visita</t>
        </is>
      </c>
      <c r="I6" s="15" t="n">
        <v>46256</v>
      </c>
      <c r="J6" s="16" t="n"/>
      <c r="K6" s="14" t="inlineStr">
        <is>
          <t>Media</t>
        </is>
      </c>
      <c r="L6" s="14" t="inlineStr">
        <is>
          <t>Pendiente</t>
        </is>
      </c>
      <c r="M6" s="13">
        <f>IF(I6="","",I6-TODAY())</f>
        <v/>
      </c>
      <c r="N6" s="14" t="inlineStr">
        <is>
          <t>Validando entre sienna y corolla cross</t>
        </is>
      </c>
      <c r="O6" s="14">
        <f>IFERROR(IF(B6="","",IF(H6="","",IF(H6="Otro (mensaje libre)","",IF(H6="Requisitos (Crédito/Contado)",IF(OR(F6="",G6=""),"Indica primero el Método de Compra y el Tipo de Persona del cliente en la pestaña Clientes.",_xlfn.SWITCH($F6&amp;"|"&amp;$G6,"Crédito|Persona física","Hola, "&amp;$B6&amp;", para continuar con el proceso de tu *"&amp;$D6&amp;"* por "&amp;$F6&amp;",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"&amp;$B6&amp;", para continuar con el proceso de tu *"&amp;$D6&amp;"* por "&amp;$F6&amp;",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"&amp;$B6&amp;", para continuar con el proceso de tu *"&amp;$D6&amp;"* por "&amp;$F6&amp;",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"&amp;$B6&amp;", para continuar con el proceso de tu *"&amp;$D6&amp;"* por "&amp;$F6&amp;", estos son los documentos que necesitamos:"&amp;CHAR(10)&amp;CHAR(10)&amp;"- INE"&amp;CHAR(10)&amp;"- Comprobante de domicilio"&amp;CHAR(10)&amp;"- Constancia de situación fiscal (no mayor a 3 meses)","Contado|Persona física con actividad empresarial","Hola, "&amp;$B6&amp;", para continuar con el proceso de tu *"&amp;$D6&amp;"* por "&amp;$F6&amp;", estos son los documentos que necesitamos:"&amp;CHAR(10)&amp;CHAR(10)&amp;"- INE"&amp;CHAR(10)&amp;"- Comprobante de domicilio"&amp;CHAR(10)&amp;"- Constancia de situación fiscal (no mayor a 3 meses)","Contado|Persona moral","Hola, "&amp;$B6&amp;", para continuar con el proceso de tu *"&amp;$D6&amp;"* por "&amp;$F6&amp;",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Clientes.")&amp;CHAR(10)&amp;CHAR(10)&amp;Config!$B$1),IF(D6="","",SUBSTITUTE(SUBSTITUTE(INDEX('Catálogo Mensajes'!$D:$J,MATCH($D6,'Catálogo Mensajes'!$B:$B,0),MATCH($H6,'Catálogo Mensajes'!$D$4:$J$4,0)),"{NOMBRE}",$B6),"{PROMO}",'Catálogo Mensajes'!$C$2)&amp;CHAR(10)&amp;CHAR(10)&amp;Config!$B$1))))),"")</f>
        <v/>
      </c>
      <c r="P6" s="13">
        <f>IF(OR(O6="",C6=""),"",HYPERLINK("https://wa.me/52"&amp;C6&amp;"?text="&amp;_xlfn.ENCODEURL(O6),"Enviar mensaje"))</f>
        <v/>
      </c>
      <c r="Q6" s="13">
        <f>IF(OR(I6="",L6="Realizado",L6="Cancelado"),"",SUMPRODUCT(($I$2:$I$151&lt;I6)*($I$2:$I$151&gt;=DATE(Calendario!$C$3,Calendario!$C$2,1))*($I$2:$I$151&lt;DATE(Calendario!$C$3,Calendario!$C$2+1,1))*($L$2:$L$151&lt;&gt;"Realizado")*($L$2:$L$151&lt;&gt;"Cancelado"))+SUMPRODUCT(($I$2:$I$151=I6)*(ROW($I$2:$I$151)&lt;=ROW())*($I$2:$I$151&gt;=DATE(Calendario!$C$3,Calendario!$C$2,1))*($I$2:$I$151&lt;DATE(Calendario!$C$3,Calendario!$C$2+1,1))*($L$2:$L$151&lt;&gt;"Realizado")*($L$2:$L$151&lt;&gt;"Cancelado")))</f>
        <v/>
      </c>
    </row>
    <row r="7" ht="15" customHeight="1" s="1">
      <c r="A7" s="13">
        <f>IF(B7="","",ROW()-1)</f>
        <v/>
      </c>
      <c r="B7" s="14" t="inlineStr">
        <is>
          <t>Jesus Gonzalez</t>
        </is>
      </c>
      <c r="C7" s="13">
        <f>IFERROR(INDEX(Clientes!$C:$C,MATCH(B7,Clientes!$B:$B,0)),"")</f>
        <v/>
      </c>
      <c r="D7" s="14">
        <f>IFERROR(INDEX(Clientes!$D:$D,MATCH(B7,Clientes!$B:$B,0)),"")</f>
        <v/>
      </c>
      <c r="E7" s="14">
        <f>IFERROR(INDEX(Clientes!$M:$M,MATCH(B7,Clientes!$B:$B,0)),"")</f>
        <v/>
      </c>
      <c r="F7" s="14">
        <f>IFERROR(INDEX(Clientes!$F:$F,MATCH(B7,Clientes!$B:$B,0)),"")</f>
        <v/>
      </c>
      <c r="G7" s="14">
        <f>IFERROR(INDEX(Clientes!$G:$G,MATCH(B7,Clientes!$B:$B,0)),"")</f>
        <v/>
      </c>
      <c r="H7" s="14" t="inlineStr">
        <is>
          <t>Primera Visita</t>
        </is>
      </c>
      <c r="I7" s="15" t="n">
        <v>46256</v>
      </c>
      <c r="J7" s="16" t="n"/>
      <c r="K7" s="14" t="inlineStr">
        <is>
          <t>Baja</t>
        </is>
      </c>
      <c r="L7" s="14" t="inlineStr">
        <is>
          <t>Pendiente</t>
        </is>
      </c>
      <c r="M7" s="13">
        <f>IF(I7="","",I7-TODAY())</f>
        <v/>
      </c>
      <c r="N7" s="14" t="inlineStr">
        <is>
          <t>Seguimiento a su interes</t>
        </is>
      </c>
      <c r="O7" s="14">
        <f>IFERROR(IF(B7="","",IF(H7="","",IF(H7="Otro (mensaje libre)","",IF(H7="Requisitos (Crédito/Contado)",IF(OR(F7="",G7=""),"Indica primero el Método de Compra y el Tipo de Persona del cliente en la pestaña Clientes.",_xlfn.SWITCH($F7&amp;"|"&amp;$G7,"Crédito|Persona física","Hola, "&amp;$B7&amp;", para continuar con el proceso de tu *"&amp;$D7&amp;"* por "&amp;$F7&amp;",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"&amp;$B7&amp;", para continuar con el proceso de tu *"&amp;$D7&amp;"* por "&amp;$F7&amp;",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"&amp;$B7&amp;", para continuar con el proceso de tu *"&amp;$D7&amp;"* por "&amp;$F7&amp;",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"&amp;$B7&amp;", para continuar con el proceso de tu *"&amp;$D7&amp;"* por "&amp;$F7&amp;", estos son los documentos que necesitamos:"&amp;CHAR(10)&amp;CHAR(10)&amp;"- INE"&amp;CHAR(10)&amp;"- Comprobante de domicilio"&amp;CHAR(10)&amp;"- Constancia de situación fiscal (no mayor a 3 meses)","Contado|Persona física con actividad empresarial","Hola, "&amp;$B7&amp;", para continuar con el proceso de tu *"&amp;$D7&amp;"* por "&amp;$F7&amp;", estos son los documentos que necesitamos:"&amp;CHAR(10)&amp;CHAR(10)&amp;"- INE"&amp;CHAR(10)&amp;"- Comprobante de domicilio"&amp;CHAR(10)&amp;"- Constancia de situación fiscal (no mayor a 3 meses)","Contado|Persona moral","Hola, "&amp;$B7&amp;", para continuar con el proceso de tu *"&amp;$D7&amp;"* por "&amp;$F7&amp;",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Clientes.")&amp;CHAR(10)&amp;CHAR(10)&amp;Config!$B$1),IF(D7="","",SUBSTITUTE(SUBSTITUTE(INDEX('Catálogo Mensajes'!$D:$J,MATCH($D7,'Catálogo Mensajes'!$B:$B,0),MATCH($H7,'Catálogo Mensajes'!$D$4:$J$4,0)),"{NOMBRE}",$B7),"{PROMO}",'Catálogo Mensajes'!$C$2)&amp;CHAR(10)&amp;CHAR(10)&amp;Config!$B$1))))),"")</f>
        <v/>
      </c>
      <c r="P7" s="13">
        <f>IF(OR(O7="",C7=""),"",HYPERLINK("https://wa.me/52"&amp;C7&amp;"?text="&amp;_xlfn.ENCODEURL(O7),"Enviar mensaje"))</f>
        <v/>
      </c>
      <c r="Q7" s="13">
        <f>IF(OR(I7="",L7="Realizado",L7="Cancelado"),"",SUMPRODUCT(($I$2:$I$151&lt;I7)*($I$2:$I$151&gt;=DATE(Calendario!$C$3,Calendario!$C$2,1))*($I$2:$I$151&lt;DATE(Calendario!$C$3,Calendario!$C$2+1,1))*($L$2:$L$151&lt;&gt;"Realizado")*($L$2:$L$151&lt;&gt;"Cancelado"))+SUMPRODUCT(($I$2:$I$151=I7)*(ROW($I$2:$I$151)&lt;=ROW())*($I$2:$I$151&gt;=DATE(Calendario!$C$3,Calendario!$C$2,1))*($I$2:$I$151&lt;DATE(Calendario!$C$3,Calendario!$C$2+1,1))*($L$2:$L$151&lt;&gt;"Realizado")*($L$2:$L$151&lt;&gt;"Cancelado")))</f>
        <v/>
      </c>
    </row>
    <row r="8" ht="15" customHeight="1" s="1">
      <c r="A8" s="13">
        <f>IF(B8="","",ROW()-1)</f>
        <v/>
      </c>
      <c r="B8" s="14" t="inlineStr">
        <is>
          <t>Elias Hernandez</t>
        </is>
      </c>
      <c r="C8" s="13">
        <f>IFERROR(INDEX(Clientes!$C:$C,MATCH(B8,Clientes!$B:$B,0)),"")</f>
        <v/>
      </c>
      <c r="D8" s="14">
        <f>IFERROR(INDEX(Clientes!$D:$D,MATCH(B8,Clientes!$B:$B,0)),"")</f>
        <v/>
      </c>
      <c r="E8" s="14">
        <f>IFERROR(INDEX(Clientes!$M:$M,MATCH(B8,Clientes!$B:$B,0)),"")</f>
        <v/>
      </c>
      <c r="F8" s="14">
        <f>IFERROR(INDEX(Clientes!$F:$F,MATCH(B8,Clientes!$B:$B,0)),"")</f>
        <v/>
      </c>
      <c r="G8" s="14">
        <f>IFERROR(INDEX(Clientes!$G:$G,MATCH(B8,Clientes!$B:$B,0)),"")</f>
        <v/>
      </c>
      <c r="H8" s="14" t="inlineStr">
        <is>
          <t>Requisitos (Crédito/Contado)</t>
        </is>
      </c>
      <c r="I8" s="15" t="n">
        <v>46254</v>
      </c>
      <c r="J8" s="16" t="n"/>
      <c r="K8" s="14" t="inlineStr">
        <is>
          <t>Alta</t>
        </is>
      </c>
      <c r="L8" s="14" t="inlineStr">
        <is>
          <t>Pendiente</t>
        </is>
      </c>
      <c r="M8" s="13">
        <f>IF(I8="","",I8-TODAY())</f>
        <v/>
      </c>
      <c r="N8" s="14" t="inlineStr">
        <is>
          <t>En espera de docmuentos</t>
        </is>
      </c>
      <c r="O8" s="14">
        <f>IFERROR(IF(B8="","",IF(H8="","",IF(H8="Otro (mensaje libre)","",IF(H8="Requisitos (Crédito/Contado)",IF(OR(F8="",G8=""),"Indica primero el Método de Compra y el Tipo de Persona del cliente en la pestaña Clientes.",_xlfn.SWITCH($F8&amp;"|"&amp;$G8,"Crédito|Persona física","Hola, "&amp;$B8&amp;", para continuar con el proceso de tu *"&amp;$D8&amp;"* por "&amp;$F8&amp;",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"&amp;$B8&amp;", para continuar con el proceso de tu *"&amp;$D8&amp;"* por "&amp;$F8&amp;",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"&amp;$B8&amp;", para continuar con el proceso de tu *"&amp;$D8&amp;"* por "&amp;$F8&amp;",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"&amp;$B8&amp;", para continuar con el proceso de tu *"&amp;$D8&amp;"* por "&amp;$F8&amp;", estos son los documentos que necesitamos:"&amp;CHAR(10)&amp;CHAR(10)&amp;"- INE"&amp;CHAR(10)&amp;"- Comprobante de domicilio"&amp;CHAR(10)&amp;"- Constancia de situación fiscal (no mayor a 3 meses)","Contado|Persona física con actividad empresarial","Hola, "&amp;$B8&amp;", para continuar con el proceso de tu *"&amp;$D8&amp;"* por "&amp;$F8&amp;", estos son los documentos que necesitamos:"&amp;CHAR(10)&amp;CHAR(10)&amp;"- INE"&amp;CHAR(10)&amp;"- Comprobante de domicilio"&amp;CHAR(10)&amp;"- Constancia de situación fiscal (no mayor a 3 meses)","Contado|Persona moral","Hola, "&amp;$B8&amp;", para continuar con el proceso de tu *"&amp;$D8&amp;"* por "&amp;$F8&amp;",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Clientes.")&amp;CHAR(10)&amp;CHAR(10)&amp;Config!$B$1),IF(D8="","",SUBSTITUTE(SUBSTITUTE(INDEX('Catálogo Mensajes'!$D:$J,MATCH($D8,'Catálogo Mensajes'!$B:$B,0),MATCH($H8,'Catálogo Mensajes'!$D$4:$J$4,0)),"{NOMBRE}",$B8),"{PROMO}",'Catálogo Mensajes'!$C$2)&amp;CHAR(10)&amp;CHAR(10)&amp;Config!$B$1))))),"")</f>
        <v/>
      </c>
      <c r="P8" s="13">
        <f>IF(OR(O8="",C8=""),"",HYPERLINK("https://wa.me/52"&amp;C8&amp;"?text="&amp;_xlfn.ENCODEURL(O8),"Enviar mensaje"))</f>
        <v/>
      </c>
      <c r="Q8" s="13">
        <f>IF(OR(I8="",L8="Realizado",L8="Cancelado"),"",SUMPRODUCT(($I$2:$I$151&lt;I8)*($I$2:$I$151&gt;=DATE(Calendario!$C$3,Calendario!$C$2,1))*($I$2:$I$151&lt;DATE(Calendario!$C$3,Calendario!$C$2+1,1))*($L$2:$L$151&lt;&gt;"Realizado")*($L$2:$L$151&lt;&gt;"Cancelado"))+SUMPRODUCT(($I$2:$I$151=I8)*(ROW($I$2:$I$151)&lt;=ROW())*($I$2:$I$151&gt;=DATE(Calendario!$C$3,Calendario!$C$2,1))*($I$2:$I$151&lt;DATE(Calendario!$C$3,Calendario!$C$2+1,1))*($L$2:$L$151&lt;&gt;"Realizado")*($L$2:$L$151&lt;&gt;"Cancelado")))</f>
        <v/>
      </c>
    </row>
    <row r="9" ht="15" customHeight="1" s="1">
      <c r="A9" s="13">
        <f>IF(B9="","",ROW()-1)</f>
        <v/>
      </c>
      <c r="B9" s="14" t="n"/>
      <c r="C9" s="13">
        <f>IFERROR(INDEX(Clientes!$C:$C,MATCH(B9,Clientes!$B:$B,0)),"")</f>
        <v/>
      </c>
      <c r="D9" s="14">
        <f>IFERROR(INDEX(Clientes!$D:$D,MATCH(B9,Clientes!$B:$B,0)),"")</f>
        <v/>
      </c>
      <c r="E9" s="14">
        <f>IFERROR(INDEX(Clientes!$M:$M,MATCH(B9,Clientes!$B:$B,0)),"")</f>
        <v/>
      </c>
      <c r="F9" s="14">
        <f>IFERROR(INDEX(Clientes!$F:$F,MATCH(B9,Clientes!$B:$B,0)),"")</f>
        <v/>
      </c>
      <c r="G9" s="14">
        <f>IFERROR(INDEX(Clientes!$G:$G,MATCH(B9,Clientes!$B:$B,0)),"")</f>
        <v/>
      </c>
      <c r="H9" s="14" t="n"/>
      <c r="I9" s="15" t="n"/>
      <c r="J9" s="16" t="n"/>
      <c r="K9" s="14" t="n"/>
      <c r="L9" s="14" t="n"/>
      <c r="M9" s="13">
        <f>IF(I9="","",I9-TODAY())</f>
        <v/>
      </c>
      <c r="N9" s="14" t="n"/>
      <c r="O9" s="14">
        <f>IFERROR(IF(B9="","",IF(H9="","",IF(H9="Otro (mensaje libre)","",IF(H9="Requisitos (Crédito/Contado)",IF(OR(F9="",G9=""),"Indica primero el Método de Compra y el Tipo de Persona del cliente en la pestaña Clientes.",_xlfn.SWITCH($F9&amp;"|"&amp;$G9,"Crédito|Persona física","Hola, "&amp;$B9&amp;", para continuar con el proceso de tu *"&amp;$D9&amp;"* por "&amp;$F9&amp;",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"&amp;$B9&amp;", para continuar con el proceso de tu *"&amp;$D9&amp;"* por "&amp;$F9&amp;",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"&amp;$B9&amp;", para continuar con el proceso de tu *"&amp;$D9&amp;"* por "&amp;$F9&amp;",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"&amp;$B9&amp;", para continuar con el proceso de tu *"&amp;$D9&amp;"* por "&amp;$F9&amp;", estos son los documentos que necesitamos:"&amp;CHAR(10)&amp;CHAR(10)&amp;"- INE"&amp;CHAR(10)&amp;"- Comprobante de domicilio"&amp;CHAR(10)&amp;"- Constancia de situación fiscal (no mayor a 3 meses)","Contado|Persona física con actividad empresarial","Hola, "&amp;$B9&amp;", para continuar con el proceso de tu *"&amp;$D9&amp;"* por "&amp;$F9&amp;", estos son los documentos que necesitamos:"&amp;CHAR(10)&amp;CHAR(10)&amp;"- INE"&amp;CHAR(10)&amp;"- Comprobante de domicilio"&amp;CHAR(10)&amp;"- Constancia de situación fiscal (no mayor a 3 meses)","Contado|Persona moral","Hola, "&amp;$B9&amp;", para continuar con el proceso de tu *"&amp;$D9&amp;"* por "&amp;$F9&amp;",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Clientes.")&amp;CHAR(10)&amp;CHAR(10)&amp;Config!$B$1),IF(D9="","",SUBSTITUTE(SUBSTITUTE(INDEX('Catálogo Mensajes'!$D:$J,MATCH($D9,'Catálogo Mensajes'!$B:$B,0),MATCH($H9,'Catálogo Mensajes'!$D$4:$J$4,0)),"{NOMBRE}",$B9),"{PROMO}",'Catálogo Mensajes'!$C$2)&amp;CHAR(10)&amp;CHAR(10)&amp;Config!$B$1))))),"")</f>
        <v/>
      </c>
      <c r="P9" s="13">
        <f>IF(OR(O9="",C9=""),"",HYPERLINK("https://wa.me/52"&amp;C9&amp;"?text="&amp;_xlfn.ENCODEURL(O9),"Enviar mensaje"))</f>
        <v/>
      </c>
      <c r="Q9" s="13">
        <f>IF(OR(I9="",L9="Realizado",L9="Cancelado"),"",SUMPRODUCT(($I$2:$I$151&lt;I9)*($I$2:$I$151&gt;=DATE(Calendario!$C$3,Calendario!$C$2,1))*($I$2:$I$151&lt;DATE(Calendario!$C$3,Calendario!$C$2+1,1))*($L$2:$L$151&lt;&gt;"Realizado")*($L$2:$L$151&lt;&gt;"Cancelado"))+SUMPRODUCT(($I$2:$I$151=I9)*(ROW($I$2:$I$151)&lt;=ROW())*($I$2:$I$151&gt;=DATE(Calendario!$C$3,Calendario!$C$2,1))*($I$2:$I$151&lt;DATE(Calendario!$C$3,Calendario!$C$2+1,1))*($L$2:$L$151&lt;&gt;"Realizado")*($L$2:$L$151&lt;&gt;"Cancelado")))</f>
        <v/>
      </c>
    </row>
    <row r="10" ht="15" customHeight="1" s="1">
      <c r="A10" s="13">
        <f>IF(B10="","",ROW()-1)</f>
        <v/>
      </c>
      <c r="B10" s="14" t="n"/>
      <c r="C10" s="13">
        <f>IFERROR(INDEX(Clientes!$C:$C,MATCH(B10,Clientes!$B:$B,0)),"")</f>
        <v/>
      </c>
      <c r="D10" s="14">
        <f>IFERROR(INDEX(Clientes!$D:$D,MATCH(B10,Clientes!$B:$B,0)),"")</f>
        <v/>
      </c>
      <c r="E10" s="14">
        <f>IFERROR(INDEX(Clientes!$M:$M,MATCH(B10,Clientes!$B:$B,0)),"")</f>
        <v/>
      </c>
      <c r="F10" s="14">
        <f>IFERROR(INDEX(Clientes!$F:$F,MATCH(B10,Clientes!$B:$B,0)),"")</f>
        <v/>
      </c>
      <c r="G10" s="14">
        <f>IFERROR(INDEX(Clientes!$G:$G,MATCH(B10,Clientes!$B:$B,0)),"")</f>
        <v/>
      </c>
      <c r="H10" s="14" t="n"/>
      <c r="I10" s="15" t="n"/>
      <c r="J10" s="16" t="n"/>
      <c r="K10" s="14" t="n"/>
      <c r="L10" s="14" t="n"/>
      <c r="M10" s="13">
        <f>IF(I10="","",I10-TODAY())</f>
        <v/>
      </c>
      <c r="N10" s="14" t="n"/>
      <c r="O10" s="14">
        <f>IFERROR(IF(B10="","",IF(H10="","",IF(H10="Otro (mensaje libre)","",IF(H10="Requisitos (Crédito/Contado)",IF(OR(F10="",G10=""),"Indica primero el Método de Compra y el Tipo de Persona del cliente en la pestaña Clientes.",_xlfn.SWITCH($F10&amp;"|"&amp;$G10,"Crédito|Persona física","Hola, "&amp;$B10&amp;", para continuar con el proceso de tu *"&amp;$D10&amp;"* por "&amp;$F10&amp;",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"&amp;$B10&amp;", para continuar con el proceso de tu *"&amp;$D10&amp;"* por "&amp;$F10&amp;",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"&amp;$B10&amp;", para continuar con el proceso de tu *"&amp;$D10&amp;"* por "&amp;$F10&amp;",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"&amp;$B10&amp;", para continuar con el proceso de tu *"&amp;$D10&amp;"* por "&amp;$F10&amp;", estos son los documentos que necesitamos:"&amp;CHAR(10)&amp;CHAR(10)&amp;"- INE"&amp;CHAR(10)&amp;"- Comprobante de domicilio"&amp;CHAR(10)&amp;"- Constancia de situación fiscal (no mayor a 3 meses)","Contado|Persona física con actividad empresarial","Hola, "&amp;$B10&amp;", para continuar con el proceso de tu *"&amp;$D10&amp;"* por "&amp;$F10&amp;", estos son los documentos que necesitamos:"&amp;CHAR(10)&amp;CHAR(10)&amp;"- INE"&amp;CHAR(10)&amp;"- Comprobante de domicilio"&amp;CHAR(10)&amp;"- Constancia de situación fiscal (no mayor a 3 meses)","Contado|Persona moral","Hola, "&amp;$B10&amp;", para continuar con el proceso de tu *"&amp;$D10&amp;"* por "&amp;$F10&amp;",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Clientes.")&amp;CHAR(10)&amp;CHAR(10)&amp;Config!$B$1),IF(D10="","",SUBSTITUTE(SUBSTITUTE(INDEX('Catálogo Mensajes'!$D:$J,MATCH($D10,'Catálogo Mensajes'!$B:$B,0),MATCH($H10,'Catálogo Mensajes'!$D$4:$J$4,0)),"{NOMBRE}",$B10),"{PROMO}",'Catálogo Mensajes'!$C$2)&amp;CHAR(10)&amp;CHAR(10)&amp;Config!$B$1))))),"")</f>
        <v/>
      </c>
      <c r="P10" s="13">
        <f>IF(OR(O10="",C10=""),"",HYPERLINK("https://wa.me/52"&amp;C10&amp;"?text="&amp;_xlfn.ENCODEURL(O10),"Enviar mensaje"))</f>
        <v/>
      </c>
      <c r="Q10" s="13">
        <f>IF(OR(I10="",L10="Realizado",L10="Cancelado"),"",SUMPRODUCT(($I$2:$I$151&lt;I10)*($I$2:$I$151&gt;=DATE(Calendario!$C$3,Calendario!$C$2,1))*($I$2:$I$151&lt;DATE(Calendario!$C$3,Calendario!$C$2+1,1))*($L$2:$L$151&lt;&gt;"Realizado")*($L$2:$L$151&lt;&gt;"Cancelado"))+SUMPRODUCT(($I$2:$I$151=I10)*(ROW($I$2:$I$151)&lt;=ROW())*($I$2:$I$151&gt;=DATE(Calendario!$C$3,Calendario!$C$2,1))*($I$2:$I$151&lt;DATE(Calendario!$C$3,Calendario!$C$2+1,1))*($L$2:$L$151&lt;&gt;"Realizado")*($L$2:$L$151&lt;&gt;"Cancelado")))</f>
        <v/>
      </c>
    </row>
    <row r="11" ht="15" customHeight="1" s="1">
      <c r="A11" s="13">
        <f>IF(B11="","",ROW()-1)</f>
        <v/>
      </c>
      <c r="B11" s="14" t="n"/>
      <c r="C11" s="13">
        <f>IFERROR(INDEX(Clientes!$C:$C,MATCH(B11,Clientes!$B:$B,0)),"")</f>
        <v/>
      </c>
      <c r="D11" s="14">
        <f>IFERROR(INDEX(Clientes!$D:$D,MATCH(B11,Clientes!$B:$B,0)),"")</f>
        <v/>
      </c>
      <c r="E11" s="14">
        <f>IFERROR(INDEX(Clientes!$M:$M,MATCH(B11,Clientes!$B:$B,0)),"")</f>
        <v/>
      </c>
      <c r="F11" s="14">
        <f>IFERROR(INDEX(Clientes!$F:$F,MATCH(B11,Clientes!$B:$B,0)),"")</f>
        <v/>
      </c>
      <c r="G11" s="14">
        <f>IFERROR(INDEX(Clientes!$G:$G,MATCH(B11,Clientes!$B:$B,0)),"")</f>
        <v/>
      </c>
      <c r="H11" s="14" t="n"/>
      <c r="I11" s="15" t="n"/>
      <c r="J11" s="16" t="n"/>
      <c r="K11" s="14" t="n"/>
      <c r="L11" s="14" t="n"/>
      <c r="M11" s="13">
        <f>IF(I11="","",I11-TODAY())</f>
        <v/>
      </c>
      <c r="N11" s="14" t="n"/>
      <c r="O11" s="14">
        <f>IFERROR(IF(B11="","",IF(H11="","",IF(H11="Otro (mensaje libre)","",IF(H11="Requisitos (Crédito/Contado)",IF(OR(F11="",G11=""),"Indica primero el Método de Compra y el Tipo de Persona del cliente en la pestaña Clientes.",_xlfn.SWITCH($F11&amp;"|"&amp;$G11,"Crédito|Persona física","Hola, "&amp;$B11&amp;", para continuar con el proceso de tu *"&amp;$D11&amp;"* por "&amp;$F11&amp;",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"&amp;$B11&amp;", para continuar con el proceso de tu *"&amp;$D11&amp;"* por "&amp;$F11&amp;",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"&amp;$B11&amp;", para continuar con el proceso de tu *"&amp;$D11&amp;"* por "&amp;$F11&amp;",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"&amp;$B11&amp;", para continuar con el proceso de tu *"&amp;$D11&amp;"* por "&amp;$F11&amp;", estos son los documentos que necesitamos:"&amp;CHAR(10)&amp;CHAR(10)&amp;"- INE"&amp;CHAR(10)&amp;"- Comprobante de domicilio"&amp;CHAR(10)&amp;"- Constancia de situación fiscal (no mayor a 3 meses)","Contado|Persona física con actividad empresarial","Hola, "&amp;$B11&amp;", para continuar con el proceso de tu *"&amp;$D11&amp;"* por "&amp;$F11&amp;", estos son los documentos que necesitamos:"&amp;CHAR(10)&amp;CHAR(10)&amp;"- INE"&amp;CHAR(10)&amp;"- Comprobante de domicilio"&amp;CHAR(10)&amp;"- Constancia de situación fiscal (no mayor a 3 meses)","Contado|Persona moral","Hola, "&amp;$B11&amp;", para continuar con el proceso de tu *"&amp;$D11&amp;"* por "&amp;$F11&amp;",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Clientes.")&amp;CHAR(10)&amp;CHAR(10)&amp;Config!$B$1),IF(D11="","",SUBSTITUTE(SUBSTITUTE(INDEX('Catálogo Mensajes'!$D:$J,MATCH($D11,'Catálogo Mensajes'!$B:$B,0),MATCH($H11,'Catálogo Mensajes'!$D$4:$J$4,0)),"{NOMBRE}",$B11),"{PROMO}",'Catálogo Mensajes'!$C$2)&amp;CHAR(10)&amp;CHAR(10)&amp;Config!$B$1))))),"")</f>
        <v/>
      </c>
      <c r="P11" s="13">
        <f>IF(OR(O11="",C11=""),"",HYPERLINK("https://wa.me/52"&amp;C11&amp;"?text="&amp;_xlfn.ENCODEURL(O11),"Enviar mensaje"))</f>
        <v/>
      </c>
      <c r="Q11" s="13">
        <f>IF(OR(I11="",L11="Realizado",L11="Cancelado"),"",SUMPRODUCT(($I$2:$I$151&lt;I11)*($I$2:$I$151&gt;=DATE(Calendario!$C$3,Calendario!$C$2,1))*($I$2:$I$151&lt;DATE(Calendario!$C$3,Calendario!$C$2+1,1))*($L$2:$L$151&lt;&gt;"Realizado")*($L$2:$L$151&lt;&gt;"Cancelado"))+SUMPRODUCT(($I$2:$I$151=I11)*(ROW($I$2:$I$151)&lt;=ROW())*($I$2:$I$151&gt;=DATE(Calendario!$C$3,Calendario!$C$2,1))*($I$2:$I$151&lt;DATE(Calendario!$C$3,Calendario!$C$2+1,1))*($L$2:$L$151&lt;&gt;"Realizado")*($L$2:$L$151&lt;&gt;"Cancelado")))</f>
        <v/>
      </c>
    </row>
    <row r="12" ht="15" customHeight="1" s="1">
      <c r="A12" s="13">
        <f>IF(B12="","",ROW()-1)</f>
        <v/>
      </c>
      <c r="B12" s="14" t="n"/>
      <c r="C12" s="13">
        <f>IFERROR(INDEX(Clientes!$C:$C,MATCH(B12,Clientes!$B:$B,0)),"")</f>
        <v/>
      </c>
      <c r="D12" s="14">
        <f>IFERROR(INDEX(Clientes!$D:$D,MATCH(B12,Clientes!$B:$B,0)),"")</f>
        <v/>
      </c>
      <c r="E12" s="14">
        <f>IFERROR(INDEX(Clientes!$M:$M,MATCH(B12,Clientes!$B:$B,0)),"")</f>
        <v/>
      </c>
      <c r="F12" s="14">
        <f>IFERROR(INDEX(Clientes!$F:$F,MATCH(B12,Clientes!$B:$B,0)),"")</f>
        <v/>
      </c>
      <c r="G12" s="14">
        <f>IFERROR(INDEX(Clientes!$G:$G,MATCH(B12,Clientes!$B:$B,0)),"")</f>
        <v/>
      </c>
      <c r="H12" s="14" t="n"/>
      <c r="I12" s="15" t="n"/>
      <c r="J12" s="16" t="n"/>
      <c r="K12" s="14" t="n"/>
      <c r="L12" s="14" t="n"/>
      <c r="M12" s="13">
        <f>IF(I12="","",I12-TODAY())</f>
        <v/>
      </c>
      <c r="N12" s="14" t="n"/>
      <c r="O12" s="14">
        <f>IFERROR(IF(B12="","",IF(H12="","",IF(H12="Otro (mensaje libre)","",IF(H12="Requisitos (Crédito/Contado)",IF(OR(F12="",G12=""),"Indica primero el Método de Compra y el Tipo de Persona del cliente en la pestaña Clientes.",_xlfn.SWITCH($F12&amp;"|"&amp;$G12,"Crédito|Persona física","Hola, "&amp;$B12&amp;", para continuar con el proceso de tu *"&amp;$D12&amp;"* por "&amp;$F12&amp;",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"&amp;$B12&amp;", para continuar con el proceso de tu *"&amp;$D12&amp;"* por "&amp;$F12&amp;",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"&amp;$B12&amp;", para continuar con el proceso de tu *"&amp;$D12&amp;"* por "&amp;$F12&amp;",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"&amp;$B12&amp;", para continuar con el proceso de tu *"&amp;$D12&amp;"* por "&amp;$F12&amp;", estos son los documentos que necesitamos:"&amp;CHAR(10)&amp;CHAR(10)&amp;"- INE"&amp;CHAR(10)&amp;"- Comprobante de domicilio"&amp;CHAR(10)&amp;"- Constancia de situación fiscal (no mayor a 3 meses)","Contado|Persona física con actividad empresarial","Hola, "&amp;$B12&amp;", para continuar con el proceso de tu *"&amp;$D12&amp;"* por "&amp;$F12&amp;", estos son los documentos que necesitamos:"&amp;CHAR(10)&amp;CHAR(10)&amp;"- INE"&amp;CHAR(10)&amp;"- Comprobante de domicilio"&amp;CHAR(10)&amp;"- Constancia de situación fiscal (no mayor a 3 meses)","Contado|Persona moral","Hola, "&amp;$B12&amp;", para continuar con el proceso de tu *"&amp;$D12&amp;"* por "&amp;$F12&amp;",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Clientes.")&amp;CHAR(10)&amp;CHAR(10)&amp;Config!$B$1),IF(D12="","",SUBSTITUTE(SUBSTITUTE(INDEX('Catálogo Mensajes'!$D:$J,MATCH($D12,'Catálogo Mensajes'!$B:$B,0),MATCH($H12,'Catálogo Mensajes'!$D$4:$J$4,0)),"{NOMBRE}",$B12),"{PROMO}",'Catálogo Mensajes'!$C$2)&amp;CHAR(10)&amp;CHAR(10)&amp;Config!$B$1))))),"")</f>
        <v/>
      </c>
      <c r="P12" s="13">
        <f>IF(OR(O12="",C12=""),"",HYPERLINK("https://wa.me/52"&amp;C12&amp;"?text="&amp;_xlfn.ENCODEURL(O12),"Enviar mensaje"))</f>
        <v/>
      </c>
      <c r="Q12" s="13">
        <f>IF(OR(I12="",L12="Realizado",L12="Cancelado"),"",SUMPRODUCT(($I$2:$I$151&lt;I12)*($I$2:$I$151&gt;=DATE(Calendario!$C$3,Calendario!$C$2,1))*($I$2:$I$151&lt;DATE(Calendario!$C$3,Calendario!$C$2+1,1))*($L$2:$L$151&lt;&gt;"Realizado")*($L$2:$L$151&lt;&gt;"Cancelado"))+SUMPRODUCT(($I$2:$I$151=I12)*(ROW($I$2:$I$151)&lt;=ROW())*($I$2:$I$151&gt;=DATE(Calendario!$C$3,Calendario!$C$2,1))*($I$2:$I$151&lt;DATE(Calendario!$C$3,Calendario!$C$2+1,1))*($L$2:$L$151&lt;&gt;"Realizado")*($L$2:$L$151&lt;&gt;"Cancelado")))</f>
        <v/>
      </c>
    </row>
    <row r="13" ht="15" customHeight="1" s="1">
      <c r="A13" s="13">
        <f>IF(B13="","",ROW()-1)</f>
        <v/>
      </c>
      <c r="B13" s="14" t="n"/>
      <c r="C13" s="13">
        <f>IFERROR(INDEX(Clientes!$C:$C,MATCH(B13,Clientes!$B:$B,0)),"")</f>
        <v/>
      </c>
      <c r="D13" s="14">
        <f>IFERROR(INDEX(Clientes!$D:$D,MATCH(B13,Clientes!$B:$B,0)),"")</f>
        <v/>
      </c>
      <c r="E13" s="14">
        <f>IFERROR(INDEX(Clientes!$M:$M,MATCH(B13,Clientes!$B:$B,0)),"")</f>
        <v/>
      </c>
      <c r="F13" s="14">
        <f>IFERROR(INDEX(Clientes!$F:$F,MATCH(B13,Clientes!$B:$B,0)),"")</f>
        <v/>
      </c>
      <c r="G13" s="14">
        <f>IFERROR(INDEX(Clientes!$G:$G,MATCH(B13,Clientes!$B:$B,0)),"")</f>
        <v/>
      </c>
      <c r="H13" s="14" t="n"/>
      <c r="I13" s="15" t="n"/>
      <c r="J13" s="16" t="n"/>
      <c r="K13" s="14" t="n"/>
      <c r="L13" s="14" t="n"/>
      <c r="M13" s="13">
        <f>IF(I13="","",I13-TODAY())</f>
        <v/>
      </c>
      <c r="N13" s="14" t="n"/>
      <c r="O13" s="14">
        <f>IFERROR(IF(B13="","",IF(H13="","",IF(H13="Otro (mensaje libre)","",IF(H13="Requisitos (Crédito/Contado)",IF(OR(F13="",G13=""),"Indica primero el Método de Compra y el Tipo de Persona del cliente en la pestaña Clientes.",_xlfn.SWITCH($F13&amp;"|"&amp;$G13,"Crédito|Persona física","Hola, "&amp;$B13&amp;", para continuar con el proceso de tu *"&amp;$D13&amp;"* por "&amp;$F13&amp;",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"&amp;$B13&amp;", para continuar con el proceso de tu *"&amp;$D13&amp;"* por "&amp;$F13&amp;",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"&amp;$B13&amp;", para continuar con el proceso de tu *"&amp;$D13&amp;"* por "&amp;$F13&amp;",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"&amp;$B13&amp;", para continuar con el proceso de tu *"&amp;$D13&amp;"* por "&amp;$F13&amp;", estos son los documentos que necesitamos:"&amp;CHAR(10)&amp;CHAR(10)&amp;"- INE"&amp;CHAR(10)&amp;"- Comprobante de domicilio"&amp;CHAR(10)&amp;"- Constancia de situación fiscal (no mayor a 3 meses)","Contado|Persona física con actividad empresarial","Hola, "&amp;$B13&amp;", para continuar con el proceso de tu *"&amp;$D13&amp;"* por "&amp;$F13&amp;", estos son los documentos que necesitamos:"&amp;CHAR(10)&amp;CHAR(10)&amp;"- INE"&amp;CHAR(10)&amp;"- Comprobante de domicilio"&amp;CHAR(10)&amp;"- Constancia de situación fiscal (no mayor a 3 meses)","Contado|Persona moral","Hola, "&amp;$B13&amp;", para continuar con el proceso de tu *"&amp;$D13&amp;"* por "&amp;$F13&amp;",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Clientes.")&amp;CHAR(10)&amp;CHAR(10)&amp;Config!$B$1),IF(D13="","",SUBSTITUTE(SUBSTITUTE(INDEX('Catálogo Mensajes'!$D:$J,MATCH($D13,'Catálogo Mensajes'!$B:$B,0),MATCH($H13,'Catálogo Mensajes'!$D$4:$J$4,0)),"{NOMBRE}",$B13),"{PROMO}",'Catálogo Mensajes'!$C$2)&amp;CHAR(10)&amp;CHAR(10)&amp;Config!$B$1))))),"")</f>
        <v/>
      </c>
      <c r="P13" s="13">
        <f>IF(OR(O13="",C13=""),"",HYPERLINK("https://wa.me/52"&amp;C13&amp;"?text="&amp;_xlfn.ENCODEURL(O13),"Enviar mensaje"))</f>
        <v/>
      </c>
      <c r="Q13" s="13">
        <f>IF(OR(I13="",L13="Realizado",L13="Cancelado"),"",SUMPRODUCT(($I$2:$I$151&lt;I13)*($I$2:$I$151&gt;=DATE(Calendario!$C$3,Calendario!$C$2,1))*($I$2:$I$151&lt;DATE(Calendario!$C$3,Calendario!$C$2+1,1))*($L$2:$L$151&lt;&gt;"Realizado")*($L$2:$L$151&lt;&gt;"Cancelado"))+SUMPRODUCT(($I$2:$I$151=I13)*(ROW($I$2:$I$151)&lt;=ROW())*($I$2:$I$151&gt;=DATE(Calendario!$C$3,Calendario!$C$2,1))*($I$2:$I$151&lt;DATE(Calendario!$C$3,Calendario!$C$2+1,1))*($L$2:$L$151&lt;&gt;"Realizado")*($L$2:$L$151&lt;&gt;"Cancelado")))</f>
        <v/>
      </c>
    </row>
    <row r="14" ht="15" customHeight="1" s="1">
      <c r="A14" s="13">
        <f>IF(B14="","",ROW()-1)</f>
        <v/>
      </c>
      <c r="B14" s="14" t="n"/>
      <c r="C14" s="13">
        <f>IFERROR(INDEX(Clientes!$C:$C,MATCH(B14,Clientes!$B:$B,0)),"")</f>
        <v/>
      </c>
      <c r="D14" s="14">
        <f>IFERROR(INDEX(Clientes!$D:$D,MATCH(B14,Clientes!$B:$B,0)),"")</f>
        <v/>
      </c>
      <c r="E14" s="14">
        <f>IFERROR(INDEX(Clientes!$M:$M,MATCH(B14,Clientes!$B:$B,0)),"")</f>
        <v/>
      </c>
      <c r="F14" s="14">
        <f>IFERROR(INDEX(Clientes!$F:$F,MATCH(B14,Clientes!$B:$B,0)),"")</f>
        <v/>
      </c>
      <c r="G14" s="14">
        <f>IFERROR(INDEX(Clientes!$G:$G,MATCH(B14,Clientes!$B:$B,0)),"")</f>
        <v/>
      </c>
      <c r="H14" s="14" t="n"/>
      <c r="I14" s="15" t="n"/>
      <c r="J14" s="16" t="n"/>
      <c r="K14" s="14" t="n"/>
      <c r="L14" s="14" t="n"/>
      <c r="M14" s="13">
        <f>IF(I14="","",I14-TODAY())</f>
        <v/>
      </c>
      <c r="N14" s="14" t="n"/>
      <c r="O14" s="14">
        <f>IFERROR(IF(B14="","",IF(H14="","",IF(H14="Otro (mensaje libre)","",IF(H14="Requisitos (Crédito/Contado)",IF(OR(F14="",G14=""),"Indica primero el Método de Compra y el Tipo de Persona del cliente en la pestaña Clientes.",_xlfn.SWITCH($F14&amp;"|"&amp;$G14,"Crédito|Persona física","Hola, "&amp;$B14&amp;", para continuar con el proceso de tu *"&amp;$D14&amp;"* por "&amp;$F14&amp;",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"&amp;$B14&amp;", para continuar con el proceso de tu *"&amp;$D14&amp;"* por "&amp;$F14&amp;",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"&amp;$B14&amp;", para continuar con el proceso de tu *"&amp;$D14&amp;"* por "&amp;$F14&amp;",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"&amp;$B14&amp;", para continuar con el proceso de tu *"&amp;$D14&amp;"* por "&amp;$F14&amp;", estos son los documentos que necesitamos:"&amp;CHAR(10)&amp;CHAR(10)&amp;"- INE"&amp;CHAR(10)&amp;"- Comprobante de domicilio"&amp;CHAR(10)&amp;"- Constancia de situación fiscal (no mayor a 3 meses)","Contado|Persona física con actividad empresarial","Hola, "&amp;$B14&amp;", para continuar con el proceso de tu *"&amp;$D14&amp;"* por "&amp;$F14&amp;", estos son los documentos que necesitamos:"&amp;CHAR(10)&amp;CHAR(10)&amp;"- INE"&amp;CHAR(10)&amp;"- Comprobante de domicilio"&amp;CHAR(10)&amp;"- Constancia de situación fiscal (no mayor a 3 meses)","Contado|Persona moral","Hola, "&amp;$B14&amp;", para continuar con el proceso de tu *"&amp;$D14&amp;"* por "&amp;$F14&amp;",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Clientes.")&amp;CHAR(10)&amp;CHAR(10)&amp;Config!$B$1),IF(D14="","",SUBSTITUTE(SUBSTITUTE(INDEX('Catálogo Mensajes'!$D:$J,MATCH($D14,'Catálogo Mensajes'!$B:$B,0),MATCH($H14,'Catálogo Mensajes'!$D$4:$J$4,0)),"{NOMBRE}",$B14),"{PROMO}",'Catálogo Mensajes'!$C$2)&amp;CHAR(10)&amp;CHAR(10)&amp;Config!$B$1))))),"")</f>
        <v/>
      </c>
      <c r="P14" s="13">
        <f>IF(OR(O14="",C14=""),"",HYPERLINK("https://wa.me/52"&amp;C14&amp;"?text="&amp;_xlfn.ENCODEURL(O14),"Enviar mensaje"))</f>
        <v/>
      </c>
      <c r="Q14" s="13">
        <f>IF(OR(I14="",L14="Realizado",L14="Cancelado"),"",SUMPRODUCT(($I$2:$I$151&lt;I14)*($I$2:$I$151&gt;=DATE(Calendario!$C$3,Calendario!$C$2,1))*($I$2:$I$151&lt;DATE(Calendario!$C$3,Calendario!$C$2+1,1))*($L$2:$L$151&lt;&gt;"Realizado")*($L$2:$L$151&lt;&gt;"Cancelado"))+SUMPRODUCT(($I$2:$I$151=I14)*(ROW($I$2:$I$151)&lt;=ROW())*($I$2:$I$151&gt;=DATE(Calendario!$C$3,Calendario!$C$2,1))*($I$2:$I$151&lt;DATE(Calendario!$C$3,Calendario!$C$2+1,1))*($L$2:$L$151&lt;&gt;"Realizado")*($L$2:$L$151&lt;&gt;"Cancelado")))</f>
        <v/>
      </c>
    </row>
    <row r="15" ht="15" customHeight="1" s="1">
      <c r="A15" s="13">
        <f>IF(B15="","",ROW()-1)</f>
        <v/>
      </c>
      <c r="B15" s="14" t="n"/>
      <c r="C15" s="13">
        <f>IFERROR(INDEX(Clientes!$C:$C,MATCH(B15,Clientes!$B:$B,0)),"")</f>
        <v/>
      </c>
      <c r="D15" s="14">
        <f>IFERROR(INDEX(Clientes!$D:$D,MATCH(B15,Clientes!$B:$B,0)),"")</f>
        <v/>
      </c>
      <c r="E15" s="14">
        <f>IFERROR(INDEX(Clientes!$M:$M,MATCH(B15,Clientes!$B:$B,0)),"")</f>
        <v/>
      </c>
      <c r="F15" s="14">
        <f>IFERROR(INDEX(Clientes!$F:$F,MATCH(B15,Clientes!$B:$B,0)),"")</f>
        <v/>
      </c>
      <c r="G15" s="14">
        <f>IFERROR(INDEX(Clientes!$G:$G,MATCH(B15,Clientes!$B:$B,0)),"")</f>
        <v/>
      </c>
      <c r="H15" s="14" t="n"/>
      <c r="I15" s="15" t="n"/>
      <c r="J15" s="16" t="n"/>
      <c r="K15" s="14" t="n"/>
      <c r="L15" s="14" t="n"/>
      <c r="M15" s="13">
        <f>IF(I15="","",I15-TODAY())</f>
        <v/>
      </c>
      <c r="N15" s="14" t="n"/>
      <c r="O15" s="14">
        <f>IFERROR(IF(B15="","",IF(H15="","",IF(H15="Otro (mensaje libre)","",IF(H15="Requisitos (Crédito/Contado)",IF(OR(F15="",G15=""),"Indica primero el Método de Compra y el Tipo de Persona del cliente en la pestaña Clientes.",_xlfn.SWITCH($F15&amp;"|"&amp;$G15,"Crédito|Persona física","Hola, "&amp;$B15&amp;", para continuar con el proceso de tu *"&amp;$D15&amp;"* por "&amp;$F15&amp;",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"&amp;$B15&amp;", para continuar con el proceso de tu *"&amp;$D15&amp;"* por "&amp;$F15&amp;",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"&amp;$B15&amp;", para continuar con el proceso de tu *"&amp;$D15&amp;"* por "&amp;$F15&amp;",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"&amp;$B15&amp;", para continuar con el proceso de tu *"&amp;$D15&amp;"* por "&amp;$F15&amp;", estos son los documentos que necesitamos:"&amp;CHAR(10)&amp;CHAR(10)&amp;"- INE"&amp;CHAR(10)&amp;"- Comprobante de domicilio"&amp;CHAR(10)&amp;"- Constancia de situación fiscal (no mayor a 3 meses)","Contado|Persona física con actividad empresarial","Hola, "&amp;$B15&amp;", para continuar con el proceso de tu *"&amp;$D15&amp;"* por "&amp;$F15&amp;", estos son los documentos que necesitamos:"&amp;CHAR(10)&amp;CHAR(10)&amp;"- INE"&amp;CHAR(10)&amp;"- Comprobante de domicilio"&amp;CHAR(10)&amp;"- Constancia de situación fiscal (no mayor a 3 meses)","Contado|Persona moral","Hola, "&amp;$B15&amp;", para continuar con el proceso de tu *"&amp;$D15&amp;"* por "&amp;$F15&amp;",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Clientes.")&amp;CHAR(10)&amp;CHAR(10)&amp;Config!$B$1),IF(D15="","",SUBSTITUTE(SUBSTITUTE(INDEX('Catálogo Mensajes'!$D:$J,MATCH($D15,'Catálogo Mensajes'!$B:$B,0),MATCH($H15,'Catálogo Mensajes'!$D$4:$J$4,0)),"{NOMBRE}",$B15),"{PROMO}",'Catálogo Mensajes'!$C$2)&amp;CHAR(10)&amp;CHAR(10)&amp;Config!$B$1))))),"")</f>
        <v/>
      </c>
      <c r="P15" s="13">
        <f>IF(OR(O15="",C15=""),"",HYPERLINK("https://wa.me/52"&amp;C15&amp;"?text="&amp;_xlfn.ENCODEURL(O15),"Enviar mensaje"))</f>
        <v/>
      </c>
      <c r="Q15" s="13">
        <f>IF(OR(I15="",L15="Realizado",L15="Cancelado"),"",SUMPRODUCT(($I$2:$I$151&lt;I15)*($I$2:$I$151&gt;=DATE(Calendario!$C$3,Calendario!$C$2,1))*($I$2:$I$151&lt;DATE(Calendario!$C$3,Calendario!$C$2+1,1))*($L$2:$L$151&lt;&gt;"Realizado")*($L$2:$L$151&lt;&gt;"Cancelado"))+SUMPRODUCT(($I$2:$I$151=I15)*(ROW($I$2:$I$151)&lt;=ROW())*($I$2:$I$151&gt;=DATE(Calendario!$C$3,Calendario!$C$2,1))*($I$2:$I$151&lt;DATE(Calendario!$C$3,Calendario!$C$2+1,1))*($L$2:$L$151&lt;&gt;"Realizado")*($L$2:$L$151&lt;&gt;"Cancelado")))</f>
        <v/>
      </c>
    </row>
    <row r="16" ht="15" customHeight="1" s="1">
      <c r="A16" s="13">
        <f>IF(B16="","",ROW()-1)</f>
        <v/>
      </c>
      <c r="B16" s="14" t="n"/>
      <c r="C16" s="13">
        <f>IFERROR(INDEX(Clientes!$C:$C,MATCH(B16,Clientes!$B:$B,0)),"")</f>
        <v/>
      </c>
      <c r="D16" s="14">
        <f>IFERROR(INDEX(Clientes!$D:$D,MATCH(B16,Clientes!$B:$B,0)),"")</f>
        <v/>
      </c>
      <c r="E16" s="14">
        <f>IFERROR(INDEX(Clientes!$M:$M,MATCH(B16,Clientes!$B:$B,0)),"")</f>
        <v/>
      </c>
      <c r="F16" s="14">
        <f>IFERROR(INDEX(Clientes!$F:$F,MATCH(B16,Clientes!$B:$B,0)),"")</f>
        <v/>
      </c>
      <c r="G16" s="14">
        <f>IFERROR(INDEX(Clientes!$G:$G,MATCH(B16,Clientes!$B:$B,0)),"")</f>
        <v/>
      </c>
      <c r="H16" s="14" t="n"/>
      <c r="I16" s="15" t="n"/>
      <c r="J16" s="16" t="n"/>
      <c r="K16" s="14" t="n"/>
      <c r="L16" s="14" t="n"/>
      <c r="M16" s="13">
        <f>IF(I16="","",I16-TODAY())</f>
        <v/>
      </c>
      <c r="N16" s="14" t="n"/>
      <c r="O16" s="14">
        <f>IFERROR(IF(B16="","",IF(H16="","",IF(H16="Otro (mensaje libre)","",IF(H16="Requisitos (Crédito/Contado)",IF(OR(F16="",G16=""),"Indica primero el Método de Compra y el Tipo de Persona del cliente en la pestaña Clientes.",_xlfn.SWITCH($F16&amp;"|"&amp;$G16,"Crédito|Persona física","Hola, "&amp;$B16&amp;", para continuar con el proceso de tu *"&amp;$D16&amp;"* por "&amp;$F16&amp;",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"&amp;$B16&amp;", para continuar con el proceso de tu *"&amp;$D16&amp;"* por "&amp;$F16&amp;",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"&amp;$B16&amp;", para continuar con el proceso de tu *"&amp;$D16&amp;"* por "&amp;$F16&amp;",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"&amp;$B16&amp;", para continuar con el proceso de tu *"&amp;$D16&amp;"* por "&amp;$F16&amp;", estos son los documentos que necesitamos:"&amp;CHAR(10)&amp;CHAR(10)&amp;"- INE"&amp;CHAR(10)&amp;"- Comprobante de domicilio"&amp;CHAR(10)&amp;"- Constancia de situación fiscal (no mayor a 3 meses)","Contado|Persona física con actividad empresarial","Hola, "&amp;$B16&amp;", para continuar con el proceso de tu *"&amp;$D16&amp;"* por "&amp;$F16&amp;", estos son los documentos que necesitamos:"&amp;CHAR(10)&amp;CHAR(10)&amp;"- INE"&amp;CHAR(10)&amp;"- Comprobante de domicilio"&amp;CHAR(10)&amp;"- Constancia de situación fiscal (no mayor a 3 meses)","Contado|Persona moral","Hola, "&amp;$B16&amp;", para continuar con el proceso de tu *"&amp;$D16&amp;"* por "&amp;$F16&amp;",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Clientes.")&amp;CHAR(10)&amp;CHAR(10)&amp;Config!$B$1),IF(D16="","",SUBSTITUTE(SUBSTITUTE(INDEX('Catálogo Mensajes'!$D:$J,MATCH($D16,'Catálogo Mensajes'!$B:$B,0),MATCH($H16,'Catálogo Mensajes'!$D$4:$J$4,0)),"{NOMBRE}",$B16),"{PROMO}",'Catálogo Mensajes'!$C$2)&amp;CHAR(10)&amp;CHAR(10)&amp;Config!$B$1))))),"")</f>
        <v/>
      </c>
      <c r="P16" s="13">
        <f>IF(OR(O16="",C16=""),"",HYPERLINK("https://wa.me/52"&amp;C16&amp;"?text="&amp;_xlfn.ENCODEURL(O16),"Enviar mensaje"))</f>
        <v/>
      </c>
      <c r="Q16" s="13">
        <f>IF(OR(I16="",L16="Realizado",L16="Cancelado"),"",SUMPRODUCT(($I$2:$I$151&lt;I16)*($I$2:$I$151&gt;=DATE(Calendario!$C$3,Calendario!$C$2,1))*($I$2:$I$151&lt;DATE(Calendario!$C$3,Calendario!$C$2+1,1))*($L$2:$L$151&lt;&gt;"Realizado")*($L$2:$L$151&lt;&gt;"Cancelado"))+SUMPRODUCT(($I$2:$I$151=I16)*(ROW($I$2:$I$151)&lt;=ROW())*($I$2:$I$151&gt;=DATE(Calendario!$C$3,Calendario!$C$2,1))*($I$2:$I$151&lt;DATE(Calendario!$C$3,Calendario!$C$2+1,1))*($L$2:$L$151&lt;&gt;"Realizado")*($L$2:$L$151&lt;&gt;"Cancelado")))</f>
        <v/>
      </c>
    </row>
    <row r="17" ht="15" customHeight="1" s="1">
      <c r="A17" s="13">
        <f>IF(B17="","",ROW()-1)</f>
        <v/>
      </c>
      <c r="B17" s="14" t="n"/>
      <c r="C17" s="13">
        <f>IFERROR(INDEX(Clientes!$C:$C,MATCH(B17,Clientes!$B:$B,0)),"")</f>
        <v/>
      </c>
      <c r="D17" s="14">
        <f>IFERROR(INDEX(Clientes!$D:$D,MATCH(B17,Clientes!$B:$B,0)),"")</f>
        <v/>
      </c>
      <c r="E17" s="14">
        <f>IFERROR(INDEX(Clientes!$M:$M,MATCH(B17,Clientes!$B:$B,0)),"")</f>
        <v/>
      </c>
      <c r="F17" s="14">
        <f>IFERROR(INDEX(Clientes!$F:$F,MATCH(B17,Clientes!$B:$B,0)),"")</f>
        <v/>
      </c>
      <c r="G17" s="14">
        <f>IFERROR(INDEX(Clientes!$G:$G,MATCH(B17,Clientes!$B:$B,0)),"")</f>
        <v/>
      </c>
      <c r="H17" s="14" t="n"/>
      <c r="I17" s="15" t="n"/>
      <c r="J17" s="16" t="n"/>
      <c r="K17" s="14" t="n"/>
      <c r="L17" s="14" t="n"/>
      <c r="M17" s="13">
        <f>IF(I17="","",I17-TODAY())</f>
        <v/>
      </c>
      <c r="N17" s="14" t="n"/>
      <c r="O17" s="14">
        <f>IFERROR(IF(B17="","",IF(H17="","",IF(H17="Otro (mensaje libre)","",IF(H17="Requisitos (Crédito/Contado)",IF(OR(F17="",G17=""),"Indica primero el Método de Compra y el Tipo de Persona del cliente en la pestaña Clientes.",_xlfn.SWITCH($F17&amp;"|"&amp;$G17,"Crédito|Persona física","Hola, "&amp;$B17&amp;", para continuar con el proceso de tu *"&amp;$D17&amp;"* por "&amp;$F17&amp;",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"&amp;$B17&amp;", para continuar con el proceso de tu *"&amp;$D17&amp;"* por "&amp;$F17&amp;",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"&amp;$B17&amp;", para continuar con el proceso de tu *"&amp;$D17&amp;"* por "&amp;$F17&amp;",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"&amp;$B17&amp;", para continuar con el proceso de tu *"&amp;$D17&amp;"* por "&amp;$F17&amp;", estos son los documentos que necesitamos:"&amp;CHAR(10)&amp;CHAR(10)&amp;"- INE"&amp;CHAR(10)&amp;"- Comprobante de domicilio"&amp;CHAR(10)&amp;"- Constancia de situación fiscal (no mayor a 3 meses)","Contado|Persona física con actividad empresarial","Hola, "&amp;$B17&amp;", para continuar con el proceso de tu *"&amp;$D17&amp;"* por "&amp;$F17&amp;", estos son los documentos que necesitamos:"&amp;CHAR(10)&amp;CHAR(10)&amp;"- INE"&amp;CHAR(10)&amp;"- Comprobante de domicilio"&amp;CHAR(10)&amp;"- Constancia de situación fiscal (no mayor a 3 meses)","Contado|Persona moral","Hola, "&amp;$B17&amp;", para continuar con el proceso de tu *"&amp;$D17&amp;"* por "&amp;$F17&amp;",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Clientes.")&amp;CHAR(10)&amp;CHAR(10)&amp;Config!$B$1),IF(D17="","",SUBSTITUTE(SUBSTITUTE(INDEX('Catálogo Mensajes'!$D:$J,MATCH($D17,'Catálogo Mensajes'!$B:$B,0),MATCH($H17,'Catálogo Mensajes'!$D$4:$J$4,0)),"{NOMBRE}",$B17),"{PROMO}",'Catálogo Mensajes'!$C$2)&amp;CHAR(10)&amp;CHAR(10)&amp;Config!$B$1))))),"")</f>
        <v/>
      </c>
      <c r="P17" s="13">
        <f>IF(OR(O17="",C17=""),"",HYPERLINK("https://wa.me/52"&amp;C17&amp;"?text="&amp;_xlfn.ENCODEURL(O17),"Enviar mensaje"))</f>
        <v/>
      </c>
      <c r="Q17" s="13">
        <f>IF(OR(I17="",L17="Realizado",L17="Cancelado"),"",SUMPRODUCT(($I$2:$I$151&lt;I17)*($I$2:$I$151&gt;=DATE(Calendario!$C$3,Calendario!$C$2,1))*($I$2:$I$151&lt;DATE(Calendario!$C$3,Calendario!$C$2+1,1))*($L$2:$L$151&lt;&gt;"Realizado")*($L$2:$L$151&lt;&gt;"Cancelado"))+SUMPRODUCT(($I$2:$I$151=I17)*(ROW($I$2:$I$151)&lt;=ROW())*($I$2:$I$151&gt;=DATE(Calendario!$C$3,Calendario!$C$2,1))*($I$2:$I$151&lt;DATE(Calendario!$C$3,Calendario!$C$2+1,1))*($L$2:$L$151&lt;&gt;"Realizado")*($L$2:$L$151&lt;&gt;"Cancelado")))</f>
        <v/>
      </c>
    </row>
    <row r="18" ht="15" customHeight="1" s="1">
      <c r="A18" s="13">
        <f>IF(B18="","",ROW()-1)</f>
        <v/>
      </c>
      <c r="B18" s="14" t="n"/>
      <c r="C18" s="13">
        <f>IFERROR(INDEX(Clientes!$C:$C,MATCH(B18,Clientes!$B:$B,0)),"")</f>
        <v/>
      </c>
      <c r="D18" s="14">
        <f>IFERROR(INDEX(Clientes!$D:$D,MATCH(B18,Clientes!$B:$B,0)),"")</f>
        <v/>
      </c>
      <c r="E18" s="14">
        <f>IFERROR(INDEX(Clientes!$M:$M,MATCH(B18,Clientes!$B:$B,0)),"")</f>
        <v/>
      </c>
      <c r="F18" s="14">
        <f>IFERROR(INDEX(Clientes!$F:$F,MATCH(B18,Clientes!$B:$B,0)),"")</f>
        <v/>
      </c>
      <c r="G18" s="14">
        <f>IFERROR(INDEX(Clientes!$G:$G,MATCH(B18,Clientes!$B:$B,0)),"")</f>
        <v/>
      </c>
      <c r="H18" s="14" t="n"/>
      <c r="I18" s="15" t="n"/>
      <c r="J18" s="16" t="n"/>
      <c r="K18" s="14" t="n"/>
      <c r="L18" s="14" t="n"/>
      <c r="M18" s="13">
        <f>IF(I18="","",I18-TODAY())</f>
        <v/>
      </c>
      <c r="N18" s="14" t="n"/>
      <c r="O18" s="14">
        <f>IFERROR(IF(B18="","",IF(H18="","",IF(H18="Otro (mensaje libre)","",IF(H18="Requisitos (Crédito/Contado)",IF(OR(F18="",G18=""),"Indica primero el Método de Compra y el Tipo de Persona del cliente en la pestaña Clientes.",_xlfn.SWITCH($F18&amp;"|"&amp;$G18,"Crédito|Persona física","Hola, "&amp;$B18&amp;", para continuar con el proceso de tu *"&amp;$D18&amp;"* por "&amp;$F18&amp;",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"&amp;$B18&amp;", para continuar con el proceso de tu *"&amp;$D18&amp;"* por "&amp;$F18&amp;",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"&amp;$B18&amp;", para continuar con el proceso de tu *"&amp;$D18&amp;"* por "&amp;$F18&amp;",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"&amp;$B18&amp;", para continuar con el proceso de tu *"&amp;$D18&amp;"* por "&amp;$F18&amp;", estos son los documentos que necesitamos:"&amp;CHAR(10)&amp;CHAR(10)&amp;"- INE"&amp;CHAR(10)&amp;"- Comprobante de domicilio"&amp;CHAR(10)&amp;"- Constancia de situación fiscal (no mayor a 3 meses)","Contado|Persona física con actividad empresarial","Hola, "&amp;$B18&amp;", para continuar con el proceso de tu *"&amp;$D18&amp;"* por "&amp;$F18&amp;", estos son los documentos que necesitamos:"&amp;CHAR(10)&amp;CHAR(10)&amp;"- INE"&amp;CHAR(10)&amp;"- Comprobante de domicilio"&amp;CHAR(10)&amp;"- Constancia de situación fiscal (no mayor a 3 meses)","Contado|Persona moral","Hola, "&amp;$B18&amp;", para continuar con el proceso de tu *"&amp;$D18&amp;"* por "&amp;$F18&amp;",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Clientes.")&amp;CHAR(10)&amp;CHAR(10)&amp;Config!$B$1),IF(D18="","",SUBSTITUTE(SUBSTITUTE(INDEX('Catálogo Mensajes'!$D:$J,MATCH($D18,'Catálogo Mensajes'!$B:$B,0),MATCH($H18,'Catálogo Mensajes'!$D$4:$J$4,0)),"{NOMBRE}",$B18),"{PROMO}",'Catálogo Mensajes'!$C$2)&amp;CHAR(10)&amp;CHAR(10)&amp;Config!$B$1))))),"")</f>
        <v/>
      </c>
      <c r="P18" s="13">
        <f>IF(OR(O18="",C18=""),"",HYPERLINK("https://wa.me/52"&amp;C18&amp;"?text="&amp;_xlfn.ENCODEURL(O18),"Enviar mensaje"))</f>
        <v/>
      </c>
      <c r="Q18" s="13">
        <f>IF(OR(I18="",L18="Realizado",L18="Cancelado"),"",SUMPRODUCT(($I$2:$I$151&lt;I18)*($I$2:$I$151&gt;=DATE(Calendario!$C$3,Calendario!$C$2,1))*($I$2:$I$151&lt;DATE(Calendario!$C$3,Calendario!$C$2+1,1))*($L$2:$L$151&lt;&gt;"Realizado")*($L$2:$L$151&lt;&gt;"Cancelado"))+SUMPRODUCT(($I$2:$I$151=I18)*(ROW($I$2:$I$151)&lt;=ROW())*($I$2:$I$151&gt;=DATE(Calendario!$C$3,Calendario!$C$2,1))*($I$2:$I$151&lt;DATE(Calendario!$C$3,Calendario!$C$2+1,1))*($L$2:$L$151&lt;&gt;"Realizado")*($L$2:$L$151&lt;&gt;"Cancelado")))</f>
        <v/>
      </c>
    </row>
    <row r="19" ht="15" customHeight="1" s="1">
      <c r="A19" s="13">
        <f>IF(B19="","",ROW()-1)</f>
        <v/>
      </c>
      <c r="B19" s="14" t="n"/>
      <c r="C19" s="13">
        <f>IFERROR(INDEX(Clientes!$C:$C,MATCH(B19,Clientes!$B:$B,0)),"")</f>
        <v/>
      </c>
      <c r="D19" s="14">
        <f>IFERROR(INDEX(Clientes!$D:$D,MATCH(B19,Clientes!$B:$B,0)),"")</f>
        <v/>
      </c>
      <c r="E19" s="14">
        <f>IFERROR(INDEX(Clientes!$M:$M,MATCH(B19,Clientes!$B:$B,0)),"")</f>
        <v/>
      </c>
      <c r="F19" s="14">
        <f>IFERROR(INDEX(Clientes!$F:$F,MATCH(B19,Clientes!$B:$B,0)),"")</f>
        <v/>
      </c>
      <c r="G19" s="14">
        <f>IFERROR(INDEX(Clientes!$G:$G,MATCH(B19,Clientes!$B:$B,0)),"")</f>
        <v/>
      </c>
      <c r="H19" s="14" t="n"/>
      <c r="I19" s="15" t="n"/>
      <c r="J19" s="16" t="n"/>
      <c r="K19" s="14" t="n"/>
      <c r="L19" s="14" t="n"/>
      <c r="M19" s="13">
        <f>IF(I19="","",I19-TODAY())</f>
        <v/>
      </c>
      <c r="N19" s="14" t="n"/>
      <c r="O19" s="14">
        <f>IFERROR(IF(B19="","",IF(H19="","",IF(H19="Otro (mensaje libre)","",IF(H19="Requisitos (Crédito/Contado)",IF(OR(F19="",G19=""),"Indica primero el Método de Compra y el Tipo de Persona del cliente en la pestaña Clientes.",_xlfn.SWITCH($F19&amp;"|"&amp;$G19,"Crédito|Persona física","Hola, "&amp;$B19&amp;", para continuar con el proceso de tu *"&amp;$D19&amp;"* por "&amp;$F19&amp;",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"&amp;$B19&amp;", para continuar con el proceso de tu *"&amp;$D19&amp;"* por "&amp;$F19&amp;",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"&amp;$B19&amp;", para continuar con el proceso de tu *"&amp;$D19&amp;"* por "&amp;$F19&amp;",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"&amp;$B19&amp;", para continuar con el proceso de tu *"&amp;$D19&amp;"* por "&amp;$F19&amp;", estos son los documentos que necesitamos:"&amp;CHAR(10)&amp;CHAR(10)&amp;"- INE"&amp;CHAR(10)&amp;"- Comprobante de domicilio"&amp;CHAR(10)&amp;"- Constancia de situación fiscal (no mayor a 3 meses)","Contado|Persona física con actividad empresarial","Hola, "&amp;$B19&amp;", para continuar con el proceso de tu *"&amp;$D19&amp;"* por "&amp;$F19&amp;", estos son los documentos que necesitamos:"&amp;CHAR(10)&amp;CHAR(10)&amp;"- INE"&amp;CHAR(10)&amp;"- Comprobante de domicilio"&amp;CHAR(10)&amp;"- Constancia de situación fiscal (no mayor a 3 meses)","Contado|Persona moral","Hola, "&amp;$B19&amp;", para continuar con el proceso de tu *"&amp;$D19&amp;"* por "&amp;$F19&amp;",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Clientes.")&amp;CHAR(10)&amp;CHAR(10)&amp;Config!$B$1),IF(D19="","",SUBSTITUTE(SUBSTITUTE(INDEX('Catálogo Mensajes'!$D:$J,MATCH($D19,'Catálogo Mensajes'!$B:$B,0),MATCH($H19,'Catálogo Mensajes'!$D$4:$J$4,0)),"{NOMBRE}",$B19),"{PROMO}",'Catálogo Mensajes'!$C$2)&amp;CHAR(10)&amp;CHAR(10)&amp;Config!$B$1))))),"")</f>
        <v/>
      </c>
      <c r="P19" s="13">
        <f>IF(OR(O19="",C19=""),"",HYPERLINK("https://wa.me/52"&amp;C19&amp;"?text="&amp;_xlfn.ENCODEURL(O19),"Enviar mensaje"))</f>
        <v/>
      </c>
      <c r="Q19" s="13">
        <f>IF(OR(I19="",L19="Realizado",L19="Cancelado"),"",SUMPRODUCT(($I$2:$I$151&lt;I19)*($I$2:$I$151&gt;=DATE(Calendario!$C$3,Calendario!$C$2,1))*($I$2:$I$151&lt;DATE(Calendario!$C$3,Calendario!$C$2+1,1))*($L$2:$L$151&lt;&gt;"Realizado")*($L$2:$L$151&lt;&gt;"Cancelado"))+SUMPRODUCT(($I$2:$I$151=I19)*(ROW($I$2:$I$151)&lt;=ROW())*($I$2:$I$151&gt;=DATE(Calendario!$C$3,Calendario!$C$2,1))*($I$2:$I$151&lt;DATE(Calendario!$C$3,Calendario!$C$2+1,1))*($L$2:$L$151&lt;&gt;"Realizado")*($L$2:$L$151&lt;&gt;"Cancelado")))</f>
        <v/>
      </c>
    </row>
    <row r="20" ht="15" customHeight="1" s="1">
      <c r="A20" s="13">
        <f>IF(B20="","",ROW()-1)</f>
        <v/>
      </c>
      <c r="B20" s="14" t="n"/>
      <c r="C20" s="13">
        <f>IFERROR(INDEX(Clientes!$C:$C,MATCH(B20,Clientes!$B:$B,0)),"")</f>
        <v/>
      </c>
      <c r="D20" s="14">
        <f>IFERROR(INDEX(Clientes!$D:$D,MATCH(B20,Clientes!$B:$B,0)),"")</f>
        <v/>
      </c>
      <c r="E20" s="14">
        <f>IFERROR(INDEX(Clientes!$M:$M,MATCH(B20,Clientes!$B:$B,0)),"")</f>
        <v/>
      </c>
      <c r="F20" s="14">
        <f>IFERROR(INDEX(Clientes!$F:$F,MATCH(B20,Clientes!$B:$B,0)),"")</f>
        <v/>
      </c>
      <c r="G20" s="14">
        <f>IFERROR(INDEX(Clientes!$G:$G,MATCH(B20,Clientes!$B:$B,0)),"")</f>
        <v/>
      </c>
      <c r="H20" s="14" t="n"/>
      <c r="I20" s="15" t="n"/>
      <c r="J20" s="16" t="n"/>
      <c r="K20" s="14" t="n"/>
      <c r="L20" s="14" t="n"/>
      <c r="M20" s="13">
        <f>IF(I20="","",I20-TODAY())</f>
        <v/>
      </c>
      <c r="N20" s="14" t="n"/>
      <c r="O20" s="14">
        <f>IFERROR(IF(B20="","",IF(H20="","",IF(H20="Otro (mensaje libre)","",IF(H20="Requisitos (Crédito/Contado)",IF(OR(F20="",G20=""),"Indica primero el Método de Compra y el Tipo de Persona del cliente en la pestaña Clientes.",_xlfn.SWITCH($F20&amp;"|"&amp;$G20,"Crédito|Persona física","Hola, "&amp;$B20&amp;", para continuar con el proceso de tu *"&amp;$D20&amp;"* por "&amp;$F20&amp;",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"&amp;$B20&amp;", para continuar con el proceso de tu *"&amp;$D20&amp;"* por "&amp;$F20&amp;",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"&amp;$B20&amp;", para continuar con el proceso de tu *"&amp;$D20&amp;"* por "&amp;$F20&amp;",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"&amp;$B20&amp;", para continuar con el proceso de tu *"&amp;$D20&amp;"* por "&amp;$F20&amp;", estos son los documentos que necesitamos:"&amp;CHAR(10)&amp;CHAR(10)&amp;"- INE"&amp;CHAR(10)&amp;"- Comprobante de domicilio"&amp;CHAR(10)&amp;"- Constancia de situación fiscal (no mayor a 3 meses)","Contado|Persona física con actividad empresarial","Hola, "&amp;$B20&amp;", para continuar con el proceso de tu *"&amp;$D20&amp;"* por "&amp;$F20&amp;", estos son los documentos que necesitamos:"&amp;CHAR(10)&amp;CHAR(10)&amp;"- INE"&amp;CHAR(10)&amp;"- Comprobante de domicilio"&amp;CHAR(10)&amp;"- Constancia de situación fiscal (no mayor a 3 meses)","Contado|Persona moral","Hola, "&amp;$B20&amp;", para continuar con el proceso de tu *"&amp;$D20&amp;"* por "&amp;$F20&amp;",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Clientes.")&amp;CHAR(10)&amp;CHAR(10)&amp;Config!$B$1),IF(D20="","",SUBSTITUTE(SUBSTITUTE(INDEX('Catálogo Mensajes'!$D:$J,MATCH($D20,'Catálogo Mensajes'!$B:$B,0),MATCH($H20,'Catálogo Mensajes'!$D$4:$J$4,0)),"{NOMBRE}",$B20),"{PROMO}",'Catálogo Mensajes'!$C$2)&amp;CHAR(10)&amp;CHAR(10)&amp;Config!$B$1))))),"")</f>
        <v/>
      </c>
      <c r="P20" s="13">
        <f>IF(OR(O20="",C20=""),"",HYPERLINK("https://wa.me/52"&amp;C20&amp;"?text="&amp;_xlfn.ENCODEURL(O20),"Enviar mensaje"))</f>
        <v/>
      </c>
      <c r="Q20" s="13">
        <f>IF(OR(I20="",L20="Realizado",L20="Cancelado"),"",SUMPRODUCT(($I$2:$I$151&lt;I20)*($I$2:$I$151&gt;=DATE(Calendario!$C$3,Calendario!$C$2,1))*($I$2:$I$151&lt;DATE(Calendario!$C$3,Calendario!$C$2+1,1))*($L$2:$L$151&lt;&gt;"Realizado")*($L$2:$L$151&lt;&gt;"Cancelado"))+SUMPRODUCT(($I$2:$I$151=I20)*(ROW($I$2:$I$151)&lt;=ROW())*($I$2:$I$151&gt;=DATE(Calendario!$C$3,Calendario!$C$2,1))*($I$2:$I$151&lt;DATE(Calendario!$C$3,Calendario!$C$2+1,1))*($L$2:$L$151&lt;&gt;"Realizado")*($L$2:$L$151&lt;&gt;"Cancelado")))</f>
        <v/>
      </c>
    </row>
    <row r="21" ht="15" customHeight="1" s="1">
      <c r="A21" s="13">
        <f>IF(B21="","",ROW()-1)</f>
        <v/>
      </c>
      <c r="B21" s="14" t="n"/>
      <c r="C21" s="13">
        <f>IFERROR(INDEX(Clientes!$C:$C,MATCH(B21,Clientes!$B:$B,0)),"")</f>
        <v/>
      </c>
      <c r="D21" s="14">
        <f>IFERROR(INDEX(Clientes!$D:$D,MATCH(B21,Clientes!$B:$B,0)),"")</f>
        <v/>
      </c>
      <c r="E21" s="14">
        <f>IFERROR(INDEX(Clientes!$M:$M,MATCH(B21,Clientes!$B:$B,0)),"")</f>
        <v/>
      </c>
      <c r="F21" s="14">
        <f>IFERROR(INDEX(Clientes!$F:$F,MATCH(B21,Clientes!$B:$B,0)),"")</f>
        <v/>
      </c>
      <c r="G21" s="14">
        <f>IFERROR(INDEX(Clientes!$G:$G,MATCH(B21,Clientes!$B:$B,0)),"")</f>
        <v/>
      </c>
      <c r="H21" s="14" t="n"/>
      <c r="I21" s="15" t="n"/>
      <c r="J21" s="16" t="n"/>
      <c r="K21" s="14" t="n"/>
      <c r="L21" s="14" t="n"/>
      <c r="M21" s="13">
        <f>IF(I21="","",I21-TODAY())</f>
        <v/>
      </c>
      <c r="N21" s="14" t="n"/>
      <c r="O21" s="14">
        <f>IFERROR(IF(B21="","",IF(H21="","",IF(H21="Otro (mensaje libre)","",IF(H21="Requisitos (Crédito/Contado)",IF(OR(F21="",G21=""),"Indica primero el Método de Compra y el Tipo de Persona del cliente en la pestaña Clientes.",_xlfn.SWITCH($F21&amp;"|"&amp;$G21,"Crédito|Persona física","Hola, "&amp;$B21&amp;", para continuar con el proceso de tu *"&amp;$D21&amp;"* por "&amp;$F21&amp;",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"&amp;$B21&amp;", para continuar con el proceso de tu *"&amp;$D21&amp;"* por "&amp;$F21&amp;",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"&amp;$B21&amp;", para continuar con el proceso de tu *"&amp;$D21&amp;"* por "&amp;$F21&amp;",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"&amp;$B21&amp;", para continuar con el proceso de tu *"&amp;$D21&amp;"* por "&amp;$F21&amp;", estos son los documentos que necesitamos:"&amp;CHAR(10)&amp;CHAR(10)&amp;"- INE"&amp;CHAR(10)&amp;"- Comprobante de domicilio"&amp;CHAR(10)&amp;"- Constancia de situación fiscal (no mayor a 3 meses)","Contado|Persona física con actividad empresarial","Hola, "&amp;$B21&amp;", para continuar con el proceso de tu *"&amp;$D21&amp;"* por "&amp;$F21&amp;", estos son los documentos que necesitamos:"&amp;CHAR(10)&amp;CHAR(10)&amp;"- INE"&amp;CHAR(10)&amp;"- Comprobante de domicilio"&amp;CHAR(10)&amp;"- Constancia de situación fiscal (no mayor a 3 meses)","Contado|Persona moral","Hola, "&amp;$B21&amp;", para continuar con el proceso de tu *"&amp;$D21&amp;"* por "&amp;$F21&amp;",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Clientes.")&amp;CHAR(10)&amp;CHAR(10)&amp;Config!$B$1),IF(D21="","",SUBSTITUTE(SUBSTITUTE(INDEX('Catálogo Mensajes'!$D:$J,MATCH($D21,'Catálogo Mensajes'!$B:$B,0),MATCH($H21,'Catálogo Mensajes'!$D$4:$J$4,0)),"{NOMBRE}",$B21),"{PROMO}",'Catálogo Mensajes'!$C$2)&amp;CHAR(10)&amp;CHAR(10)&amp;Config!$B$1))))),"")</f>
        <v/>
      </c>
      <c r="P21" s="13">
        <f>IF(OR(O21="",C21=""),"",HYPERLINK("https://wa.me/52"&amp;C21&amp;"?text="&amp;_xlfn.ENCODEURL(O21),"Enviar mensaje"))</f>
        <v/>
      </c>
      <c r="Q21" s="13">
        <f>IF(OR(I21="",L21="Realizado",L21="Cancelado"),"",SUMPRODUCT(($I$2:$I$151&lt;I21)*($I$2:$I$151&gt;=DATE(Calendario!$C$3,Calendario!$C$2,1))*($I$2:$I$151&lt;DATE(Calendario!$C$3,Calendario!$C$2+1,1))*($L$2:$L$151&lt;&gt;"Realizado")*($L$2:$L$151&lt;&gt;"Cancelado"))+SUMPRODUCT(($I$2:$I$151=I21)*(ROW($I$2:$I$151)&lt;=ROW())*($I$2:$I$151&gt;=DATE(Calendario!$C$3,Calendario!$C$2,1))*($I$2:$I$151&lt;DATE(Calendario!$C$3,Calendario!$C$2+1,1))*($L$2:$L$151&lt;&gt;"Realizado")*($L$2:$L$151&lt;&gt;"Cancelado")))</f>
        <v/>
      </c>
    </row>
    <row r="22" ht="15" customHeight="1" s="1">
      <c r="A22" s="13">
        <f>IF(B22="","",ROW()-1)</f>
        <v/>
      </c>
      <c r="B22" s="14" t="n"/>
      <c r="C22" s="13">
        <f>IFERROR(INDEX(Clientes!$C:$C,MATCH(B22,Clientes!$B:$B,0)),"")</f>
        <v/>
      </c>
      <c r="D22" s="14">
        <f>IFERROR(INDEX(Clientes!$D:$D,MATCH(B22,Clientes!$B:$B,0)),"")</f>
        <v/>
      </c>
      <c r="E22" s="14">
        <f>IFERROR(INDEX(Clientes!$M:$M,MATCH(B22,Clientes!$B:$B,0)),"")</f>
        <v/>
      </c>
      <c r="F22" s="14">
        <f>IFERROR(INDEX(Clientes!$F:$F,MATCH(B22,Clientes!$B:$B,0)),"")</f>
        <v/>
      </c>
      <c r="G22" s="14">
        <f>IFERROR(INDEX(Clientes!$G:$G,MATCH(B22,Clientes!$B:$B,0)),"")</f>
        <v/>
      </c>
      <c r="H22" s="14" t="n"/>
      <c r="I22" s="15" t="n"/>
      <c r="J22" s="16" t="n"/>
      <c r="K22" s="14" t="n"/>
      <c r="L22" s="14" t="n"/>
      <c r="M22" s="13">
        <f>IF(I22="","",I22-TODAY())</f>
        <v/>
      </c>
      <c r="N22" s="14" t="n"/>
      <c r="O22" s="14">
        <f>IFERROR(IF(B22="","",IF(H22="","",IF(H22="Otro (mensaje libre)","",IF(H22="Requisitos (Crédito/Contado)",IF(OR(F22="",G22=""),"Indica primero el Método de Compra y el Tipo de Persona del cliente en la pestaña Clientes.",_xlfn.SWITCH($F22&amp;"|"&amp;$G22,"Crédito|Persona física","Hola, "&amp;$B22&amp;", para continuar con el proceso de tu *"&amp;$D22&amp;"* por "&amp;$F22&amp;",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"&amp;$B22&amp;", para continuar con el proceso de tu *"&amp;$D22&amp;"* por "&amp;$F22&amp;",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"&amp;$B22&amp;", para continuar con el proceso de tu *"&amp;$D22&amp;"* por "&amp;$F22&amp;",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"&amp;$B22&amp;", para continuar con el proceso de tu *"&amp;$D22&amp;"* por "&amp;$F22&amp;", estos son los documentos que necesitamos:"&amp;CHAR(10)&amp;CHAR(10)&amp;"- INE"&amp;CHAR(10)&amp;"- Comprobante de domicilio"&amp;CHAR(10)&amp;"- Constancia de situación fiscal (no mayor a 3 meses)","Contado|Persona física con actividad empresarial","Hola, "&amp;$B22&amp;", para continuar con el proceso de tu *"&amp;$D22&amp;"* por "&amp;$F22&amp;", estos son los documentos que necesitamos:"&amp;CHAR(10)&amp;CHAR(10)&amp;"- INE"&amp;CHAR(10)&amp;"- Comprobante de domicilio"&amp;CHAR(10)&amp;"- Constancia de situación fiscal (no mayor a 3 meses)","Contado|Persona moral","Hola, "&amp;$B22&amp;", para continuar con el proceso de tu *"&amp;$D22&amp;"* por "&amp;$F22&amp;",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Clientes.")&amp;CHAR(10)&amp;CHAR(10)&amp;Config!$B$1),IF(D22="","",SUBSTITUTE(SUBSTITUTE(INDEX('Catálogo Mensajes'!$D:$J,MATCH($D22,'Catálogo Mensajes'!$B:$B,0),MATCH($H22,'Catálogo Mensajes'!$D$4:$J$4,0)),"{NOMBRE}",$B22),"{PROMO}",'Catálogo Mensajes'!$C$2)&amp;CHAR(10)&amp;CHAR(10)&amp;Config!$B$1))))),"")</f>
        <v/>
      </c>
      <c r="P22" s="13">
        <f>IF(OR(O22="",C22=""),"",HYPERLINK("https://wa.me/52"&amp;C22&amp;"?text="&amp;_xlfn.ENCODEURL(O22),"Enviar mensaje"))</f>
        <v/>
      </c>
      <c r="Q22" s="13">
        <f>IF(OR(I22="",L22="Realizado",L22="Cancelado"),"",SUMPRODUCT(($I$2:$I$151&lt;I22)*($I$2:$I$151&gt;=DATE(Calendario!$C$3,Calendario!$C$2,1))*($I$2:$I$151&lt;DATE(Calendario!$C$3,Calendario!$C$2+1,1))*($L$2:$L$151&lt;&gt;"Realizado")*($L$2:$L$151&lt;&gt;"Cancelado"))+SUMPRODUCT(($I$2:$I$151=I22)*(ROW($I$2:$I$151)&lt;=ROW())*($I$2:$I$151&gt;=DATE(Calendario!$C$3,Calendario!$C$2,1))*($I$2:$I$151&lt;DATE(Calendario!$C$3,Calendario!$C$2+1,1))*($L$2:$L$151&lt;&gt;"Realizado")*($L$2:$L$151&lt;&gt;"Cancelado")))</f>
        <v/>
      </c>
    </row>
    <row r="23" ht="15" customHeight="1" s="1">
      <c r="A23" s="13">
        <f>IF(B23="","",ROW()-1)</f>
        <v/>
      </c>
      <c r="B23" s="14" t="n"/>
      <c r="C23" s="13">
        <f>IFERROR(INDEX(Clientes!$C:$C,MATCH(B23,Clientes!$B:$B,0)),"")</f>
        <v/>
      </c>
      <c r="D23" s="14">
        <f>IFERROR(INDEX(Clientes!$D:$D,MATCH(B23,Clientes!$B:$B,0)),"")</f>
        <v/>
      </c>
      <c r="E23" s="14">
        <f>IFERROR(INDEX(Clientes!$M:$M,MATCH(B23,Clientes!$B:$B,0)),"")</f>
        <v/>
      </c>
      <c r="F23" s="14">
        <f>IFERROR(INDEX(Clientes!$F:$F,MATCH(B23,Clientes!$B:$B,0)),"")</f>
        <v/>
      </c>
      <c r="G23" s="14">
        <f>IFERROR(INDEX(Clientes!$G:$G,MATCH(B23,Clientes!$B:$B,0)),"")</f>
        <v/>
      </c>
      <c r="H23" s="14" t="n"/>
      <c r="I23" s="15" t="n"/>
      <c r="J23" s="16" t="n"/>
      <c r="K23" s="14" t="n"/>
      <c r="L23" s="14" t="n"/>
      <c r="M23" s="13">
        <f>IF(I23="","",I23-TODAY())</f>
        <v/>
      </c>
      <c r="N23" s="14" t="n"/>
      <c r="O23" s="14">
        <f>IFERROR(IF(B23="","",IF(H23="","",IF(H23="Otro (mensaje libre)","",IF(H23="Requisitos (Crédito/Contado)",IF(OR(F23="",G23=""),"Indica primero el Método de Compra y el Tipo de Persona del cliente en la pestaña Clientes.",_xlfn.SWITCH($F23&amp;"|"&amp;$G23,"Crédito|Persona física","Hola, "&amp;$B23&amp;", para continuar con el proceso de tu *"&amp;$D23&amp;"* por "&amp;$F23&amp;",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"&amp;$B23&amp;", para continuar con el proceso de tu *"&amp;$D23&amp;"* por "&amp;$F23&amp;",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"&amp;$B23&amp;", para continuar con el proceso de tu *"&amp;$D23&amp;"* por "&amp;$F23&amp;",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"&amp;$B23&amp;", para continuar con el proceso de tu *"&amp;$D23&amp;"* por "&amp;$F23&amp;", estos son los documentos que necesitamos:"&amp;CHAR(10)&amp;CHAR(10)&amp;"- INE"&amp;CHAR(10)&amp;"- Comprobante de domicilio"&amp;CHAR(10)&amp;"- Constancia de situación fiscal (no mayor a 3 meses)","Contado|Persona física con actividad empresarial","Hola, "&amp;$B23&amp;", para continuar con el proceso de tu *"&amp;$D23&amp;"* por "&amp;$F23&amp;", estos son los documentos que necesitamos:"&amp;CHAR(10)&amp;CHAR(10)&amp;"- INE"&amp;CHAR(10)&amp;"- Comprobante de domicilio"&amp;CHAR(10)&amp;"- Constancia de situación fiscal (no mayor a 3 meses)","Contado|Persona moral","Hola, "&amp;$B23&amp;", para continuar con el proceso de tu *"&amp;$D23&amp;"* por "&amp;$F23&amp;",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Clientes.")&amp;CHAR(10)&amp;CHAR(10)&amp;Config!$B$1),IF(D23="","",SUBSTITUTE(SUBSTITUTE(INDEX('Catálogo Mensajes'!$D:$J,MATCH($D23,'Catálogo Mensajes'!$B:$B,0),MATCH($H23,'Catálogo Mensajes'!$D$4:$J$4,0)),"{NOMBRE}",$B23),"{PROMO}",'Catálogo Mensajes'!$C$2)&amp;CHAR(10)&amp;CHAR(10)&amp;Config!$B$1))))),"")</f>
        <v/>
      </c>
      <c r="P23" s="13">
        <f>IF(OR(O23="",C23=""),"",HYPERLINK("https://wa.me/52"&amp;C23&amp;"?text="&amp;_xlfn.ENCODEURL(O23),"Enviar mensaje"))</f>
        <v/>
      </c>
      <c r="Q23" s="13">
        <f>IF(OR(I23="",L23="Realizado",L23="Cancelado"),"",SUMPRODUCT(($I$2:$I$151&lt;I23)*($I$2:$I$151&gt;=DATE(Calendario!$C$3,Calendario!$C$2,1))*($I$2:$I$151&lt;DATE(Calendario!$C$3,Calendario!$C$2+1,1))*($L$2:$L$151&lt;&gt;"Realizado")*($L$2:$L$151&lt;&gt;"Cancelado"))+SUMPRODUCT(($I$2:$I$151=I23)*(ROW($I$2:$I$151)&lt;=ROW())*($I$2:$I$151&gt;=DATE(Calendario!$C$3,Calendario!$C$2,1))*($I$2:$I$151&lt;DATE(Calendario!$C$3,Calendario!$C$2+1,1))*($L$2:$L$151&lt;&gt;"Realizado")*($L$2:$L$151&lt;&gt;"Cancelado")))</f>
        <v/>
      </c>
    </row>
    <row r="24" ht="15" customHeight="1" s="1">
      <c r="A24" s="13">
        <f>IF(B24="","",ROW()-1)</f>
        <v/>
      </c>
      <c r="B24" s="14" t="n"/>
      <c r="C24" s="13">
        <f>IFERROR(INDEX(Clientes!$C:$C,MATCH(B24,Clientes!$B:$B,0)),"")</f>
        <v/>
      </c>
      <c r="D24" s="14">
        <f>IFERROR(INDEX(Clientes!$D:$D,MATCH(B24,Clientes!$B:$B,0)),"")</f>
        <v/>
      </c>
      <c r="E24" s="14">
        <f>IFERROR(INDEX(Clientes!$M:$M,MATCH(B24,Clientes!$B:$B,0)),"")</f>
        <v/>
      </c>
      <c r="F24" s="14">
        <f>IFERROR(INDEX(Clientes!$F:$F,MATCH(B24,Clientes!$B:$B,0)),"")</f>
        <v/>
      </c>
      <c r="G24" s="14">
        <f>IFERROR(INDEX(Clientes!$G:$G,MATCH(B24,Clientes!$B:$B,0)),"")</f>
        <v/>
      </c>
      <c r="H24" s="14" t="n"/>
      <c r="I24" s="15" t="n"/>
      <c r="J24" s="16" t="n"/>
      <c r="K24" s="14" t="n"/>
      <c r="L24" s="14" t="n"/>
      <c r="M24" s="13">
        <f>IF(I24="","",I24-TODAY())</f>
        <v/>
      </c>
      <c r="N24" s="14" t="n"/>
      <c r="O24" s="14">
        <f>IFERROR(IF(B24="","",IF(H24="","",IF(H24="Otro (mensaje libre)","",IF(H24="Requisitos (Crédito/Contado)",IF(OR(F24="",G24=""),"Indica primero el Método de Compra y el Tipo de Persona del cliente en la pestaña Clientes.",_xlfn.SWITCH($F24&amp;"|"&amp;$G24,"Crédito|Persona física","Hola, "&amp;$B24&amp;", para continuar con el proceso de tu *"&amp;$D24&amp;"* por "&amp;$F24&amp;",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"&amp;$B24&amp;", para continuar con el proceso de tu *"&amp;$D24&amp;"* por "&amp;$F24&amp;",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"&amp;$B24&amp;", para continuar con el proceso de tu *"&amp;$D24&amp;"* por "&amp;$F24&amp;",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"&amp;$B24&amp;", para continuar con el proceso de tu *"&amp;$D24&amp;"* por "&amp;$F24&amp;", estos son los documentos que necesitamos:"&amp;CHAR(10)&amp;CHAR(10)&amp;"- INE"&amp;CHAR(10)&amp;"- Comprobante de domicilio"&amp;CHAR(10)&amp;"- Constancia de situación fiscal (no mayor a 3 meses)","Contado|Persona física con actividad empresarial","Hola, "&amp;$B24&amp;", para continuar con el proceso de tu *"&amp;$D24&amp;"* por "&amp;$F24&amp;", estos son los documentos que necesitamos:"&amp;CHAR(10)&amp;CHAR(10)&amp;"- INE"&amp;CHAR(10)&amp;"- Comprobante de domicilio"&amp;CHAR(10)&amp;"- Constancia de situación fiscal (no mayor a 3 meses)","Contado|Persona moral","Hola, "&amp;$B24&amp;", para continuar con el proceso de tu *"&amp;$D24&amp;"* por "&amp;$F24&amp;",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Clientes.")&amp;CHAR(10)&amp;CHAR(10)&amp;Config!$B$1),IF(D24="","",SUBSTITUTE(SUBSTITUTE(INDEX('Catálogo Mensajes'!$D:$J,MATCH($D24,'Catálogo Mensajes'!$B:$B,0),MATCH($H24,'Catálogo Mensajes'!$D$4:$J$4,0)),"{NOMBRE}",$B24),"{PROMO}",'Catálogo Mensajes'!$C$2)&amp;CHAR(10)&amp;CHAR(10)&amp;Config!$B$1))))),"")</f>
        <v/>
      </c>
      <c r="P24" s="13">
        <f>IF(OR(O24="",C24=""),"",HYPERLINK("https://wa.me/52"&amp;C24&amp;"?text="&amp;_xlfn.ENCODEURL(O24),"Enviar mensaje"))</f>
        <v/>
      </c>
      <c r="Q24" s="13">
        <f>IF(OR(I24="",L24="Realizado",L24="Cancelado"),"",SUMPRODUCT(($I$2:$I$151&lt;I24)*($I$2:$I$151&gt;=DATE(Calendario!$C$3,Calendario!$C$2,1))*($I$2:$I$151&lt;DATE(Calendario!$C$3,Calendario!$C$2+1,1))*($L$2:$L$151&lt;&gt;"Realizado")*($L$2:$L$151&lt;&gt;"Cancelado"))+SUMPRODUCT(($I$2:$I$151=I24)*(ROW($I$2:$I$151)&lt;=ROW())*($I$2:$I$151&gt;=DATE(Calendario!$C$3,Calendario!$C$2,1))*($I$2:$I$151&lt;DATE(Calendario!$C$3,Calendario!$C$2+1,1))*($L$2:$L$151&lt;&gt;"Realizado")*($L$2:$L$151&lt;&gt;"Cancelado")))</f>
        <v/>
      </c>
    </row>
    <row r="25" ht="15" customHeight="1" s="1">
      <c r="A25" s="13">
        <f>IF(B25="","",ROW()-1)</f>
        <v/>
      </c>
      <c r="B25" s="14" t="n"/>
      <c r="C25" s="13">
        <f>IFERROR(INDEX(Clientes!$C:$C,MATCH(B25,Clientes!$B:$B,0)),"")</f>
        <v/>
      </c>
      <c r="D25" s="14">
        <f>IFERROR(INDEX(Clientes!$D:$D,MATCH(B25,Clientes!$B:$B,0)),"")</f>
        <v/>
      </c>
      <c r="E25" s="14">
        <f>IFERROR(INDEX(Clientes!$M:$M,MATCH(B25,Clientes!$B:$B,0)),"")</f>
        <v/>
      </c>
      <c r="F25" s="14">
        <f>IFERROR(INDEX(Clientes!$F:$F,MATCH(B25,Clientes!$B:$B,0)),"")</f>
        <v/>
      </c>
      <c r="G25" s="14">
        <f>IFERROR(INDEX(Clientes!$G:$G,MATCH(B25,Clientes!$B:$B,0)),"")</f>
        <v/>
      </c>
      <c r="H25" s="14" t="n"/>
      <c r="I25" s="15" t="n"/>
      <c r="J25" s="16" t="n"/>
      <c r="K25" s="14" t="n"/>
      <c r="L25" s="14" t="n"/>
      <c r="M25" s="13">
        <f>IF(I25="","",I25-TODAY())</f>
        <v/>
      </c>
      <c r="N25" s="14" t="n"/>
      <c r="O25" s="14">
        <f>IFERROR(IF(B25="","",IF(H25="","",IF(H25="Otro (mensaje libre)","",IF(H25="Requisitos (Crédito/Contado)",IF(OR(F25="",G25=""),"Indica primero el Método de Compra y el Tipo de Persona del cliente en la pestaña Clientes.",_xlfn.SWITCH($F25&amp;"|"&amp;$G25,"Crédito|Persona física","Hola, "&amp;$B25&amp;", para continuar con el proceso de tu *"&amp;$D25&amp;"* por "&amp;$F25&amp;",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"&amp;$B25&amp;", para continuar con el proceso de tu *"&amp;$D25&amp;"* por "&amp;$F25&amp;",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"&amp;$B25&amp;", para continuar con el proceso de tu *"&amp;$D25&amp;"* por "&amp;$F25&amp;",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"&amp;$B25&amp;", para continuar con el proceso de tu *"&amp;$D25&amp;"* por "&amp;$F25&amp;", estos son los documentos que necesitamos:"&amp;CHAR(10)&amp;CHAR(10)&amp;"- INE"&amp;CHAR(10)&amp;"- Comprobante de domicilio"&amp;CHAR(10)&amp;"- Constancia de situación fiscal (no mayor a 3 meses)","Contado|Persona física con actividad empresarial","Hola, "&amp;$B25&amp;", para continuar con el proceso de tu *"&amp;$D25&amp;"* por "&amp;$F25&amp;", estos son los documentos que necesitamos:"&amp;CHAR(10)&amp;CHAR(10)&amp;"- INE"&amp;CHAR(10)&amp;"- Comprobante de domicilio"&amp;CHAR(10)&amp;"- Constancia de situación fiscal (no mayor a 3 meses)","Contado|Persona moral","Hola, "&amp;$B25&amp;", para continuar con el proceso de tu *"&amp;$D25&amp;"* por "&amp;$F25&amp;",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Clientes.")&amp;CHAR(10)&amp;CHAR(10)&amp;Config!$B$1),IF(D25="","",SUBSTITUTE(SUBSTITUTE(INDEX('Catálogo Mensajes'!$D:$J,MATCH($D25,'Catálogo Mensajes'!$B:$B,0),MATCH($H25,'Catálogo Mensajes'!$D$4:$J$4,0)),"{NOMBRE}",$B25),"{PROMO}",'Catálogo Mensajes'!$C$2)&amp;CHAR(10)&amp;CHAR(10)&amp;Config!$B$1))))),"")</f>
        <v/>
      </c>
      <c r="P25" s="13">
        <f>IF(OR(O25="",C25=""),"",HYPERLINK("https://wa.me/52"&amp;C25&amp;"?text="&amp;_xlfn.ENCODEURL(O25),"Enviar mensaje"))</f>
        <v/>
      </c>
      <c r="Q25" s="13">
        <f>IF(OR(I25="",L25="Realizado",L25="Cancelado"),"",SUMPRODUCT(($I$2:$I$151&lt;I25)*($I$2:$I$151&gt;=DATE(Calendario!$C$3,Calendario!$C$2,1))*($I$2:$I$151&lt;DATE(Calendario!$C$3,Calendario!$C$2+1,1))*($L$2:$L$151&lt;&gt;"Realizado")*($L$2:$L$151&lt;&gt;"Cancelado"))+SUMPRODUCT(($I$2:$I$151=I25)*(ROW($I$2:$I$151)&lt;=ROW())*($I$2:$I$151&gt;=DATE(Calendario!$C$3,Calendario!$C$2,1))*($I$2:$I$151&lt;DATE(Calendario!$C$3,Calendario!$C$2+1,1))*($L$2:$L$151&lt;&gt;"Realizado")*($L$2:$L$151&lt;&gt;"Cancelado")))</f>
        <v/>
      </c>
    </row>
    <row r="26" ht="15" customHeight="1" s="1">
      <c r="A26" s="13">
        <f>IF(B26="","",ROW()-1)</f>
        <v/>
      </c>
      <c r="B26" s="14" t="n"/>
      <c r="C26" s="13">
        <f>IFERROR(INDEX(Clientes!$C:$C,MATCH(B26,Clientes!$B:$B,0)),"")</f>
        <v/>
      </c>
      <c r="D26" s="14">
        <f>IFERROR(INDEX(Clientes!$D:$D,MATCH(B26,Clientes!$B:$B,0)),"")</f>
        <v/>
      </c>
      <c r="E26" s="14">
        <f>IFERROR(INDEX(Clientes!$M:$M,MATCH(B26,Clientes!$B:$B,0)),"")</f>
        <v/>
      </c>
      <c r="F26" s="14">
        <f>IFERROR(INDEX(Clientes!$F:$F,MATCH(B26,Clientes!$B:$B,0)),"")</f>
        <v/>
      </c>
      <c r="G26" s="14">
        <f>IFERROR(INDEX(Clientes!$G:$G,MATCH(B26,Clientes!$B:$B,0)),"")</f>
        <v/>
      </c>
      <c r="H26" s="14" t="n"/>
      <c r="I26" s="15" t="n"/>
      <c r="J26" s="16" t="n"/>
      <c r="K26" s="14" t="n"/>
      <c r="L26" s="14" t="n"/>
      <c r="M26" s="13">
        <f>IF(I26="","",I26-TODAY())</f>
        <v/>
      </c>
      <c r="N26" s="14" t="n"/>
      <c r="O26" s="14">
        <f>IFERROR(IF(B26="","",IF(H26="","",IF(H26="Otro (mensaje libre)","",IF(H26="Requisitos (Crédito/Contado)",IF(OR(F26="",G26=""),"Indica primero el Método de Compra y el Tipo de Persona del cliente en la pestaña Clientes.",_xlfn.SWITCH($F26&amp;"|"&amp;$G26,"Crédito|Persona física","Hola, "&amp;$B26&amp;", para continuar con el proceso de tu *"&amp;$D26&amp;"* por "&amp;$F26&amp;",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"&amp;$B26&amp;", para continuar con el proceso de tu *"&amp;$D26&amp;"* por "&amp;$F26&amp;",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"&amp;$B26&amp;", para continuar con el proceso de tu *"&amp;$D26&amp;"* por "&amp;$F26&amp;",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"&amp;$B26&amp;", para continuar con el proceso de tu *"&amp;$D26&amp;"* por "&amp;$F26&amp;", estos son los documentos que necesitamos:"&amp;CHAR(10)&amp;CHAR(10)&amp;"- INE"&amp;CHAR(10)&amp;"- Comprobante de domicilio"&amp;CHAR(10)&amp;"- Constancia de situación fiscal (no mayor a 3 meses)","Contado|Persona física con actividad empresarial","Hola, "&amp;$B26&amp;", para continuar con el proceso de tu *"&amp;$D26&amp;"* por "&amp;$F26&amp;", estos son los documentos que necesitamos:"&amp;CHAR(10)&amp;CHAR(10)&amp;"- INE"&amp;CHAR(10)&amp;"- Comprobante de domicilio"&amp;CHAR(10)&amp;"- Constancia de situación fiscal (no mayor a 3 meses)","Contado|Persona moral","Hola, "&amp;$B26&amp;", para continuar con el proceso de tu *"&amp;$D26&amp;"* por "&amp;$F26&amp;",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Clientes.")&amp;CHAR(10)&amp;CHAR(10)&amp;Config!$B$1),IF(D26="","",SUBSTITUTE(SUBSTITUTE(INDEX('Catálogo Mensajes'!$D:$J,MATCH($D26,'Catálogo Mensajes'!$B:$B,0),MATCH($H26,'Catálogo Mensajes'!$D$4:$J$4,0)),"{NOMBRE}",$B26),"{PROMO}",'Catálogo Mensajes'!$C$2)&amp;CHAR(10)&amp;CHAR(10)&amp;Config!$B$1))))),"")</f>
        <v/>
      </c>
      <c r="P26" s="13">
        <f>IF(OR(O26="",C26=""),"",HYPERLINK("https://wa.me/52"&amp;C26&amp;"?text="&amp;_xlfn.ENCODEURL(O26),"Enviar mensaje"))</f>
        <v/>
      </c>
      <c r="Q26" s="13">
        <f>IF(OR(I26="",L26="Realizado",L26="Cancelado"),"",SUMPRODUCT(($I$2:$I$151&lt;I26)*($I$2:$I$151&gt;=DATE(Calendario!$C$3,Calendario!$C$2,1))*($I$2:$I$151&lt;DATE(Calendario!$C$3,Calendario!$C$2+1,1))*($L$2:$L$151&lt;&gt;"Realizado")*($L$2:$L$151&lt;&gt;"Cancelado"))+SUMPRODUCT(($I$2:$I$151=I26)*(ROW($I$2:$I$151)&lt;=ROW())*($I$2:$I$151&gt;=DATE(Calendario!$C$3,Calendario!$C$2,1))*($I$2:$I$151&lt;DATE(Calendario!$C$3,Calendario!$C$2+1,1))*($L$2:$L$151&lt;&gt;"Realizado")*($L$2:$L$151&lt;&gt;"Cancelado")))</f>
        <v/>
      </c>
    </row>
    <row r="27" ht="15" customHeight="1" s="1">
      <c r="A27" s="13">
        <f>IF(B27="","",ROW()-1)</f>
        <v/>
      </c>
      <c r="B27" s="14" t="n"/>
      <c r="C27" s="13">
        <f>IFERROR(INDEX(Clientes!$C:$C,MATCH(B27,Clientes!$B:$B,0)),"")</f>
        <v/>
      </c>
      <c r="D27" s="14">
        <f>IFERROR(INDEX(Clientes!$D:$D,MATCH(B27,Clientes!$B:$B,0)),"")</f>
        <v/>
      </c>
      <c r="E27" s="14">
        <f>IFERROR(INDEX(Clientes!$M:$M,MATCH(B27,Clientes!$B:$B,0)),"")</f>
        <v/>
      </c>
      <c r="F27" s="14">
        <f>IFERROR(INDEX(Clientes!$F:$F,MATCH(B27,Clientes!$B:$B,0)),"")</f>
        <v/>
      </c>
      <c r="G27" s="14">
        <f>IFERROR(INDEX(Clientes!$G:$G,MATCH(B27,Clientes!$B:$B,0)),"")</f>
        <v/>
      </c>
      <c r="H27" s="14" t="n"/>
      <c r="I27" s="15" t="n"/>
      <c r="J27" s="16" t="n"/>
      <c r="K27" s="14" t="n"/>
      <c r="L27" s="14" t="n"/>
      <c r="M27" s="13">
        <f>IF(I27="","",I27-TODAY())</f>
        <v/>
      </c>
      <c r="N27" s="14" t="n"/>
      <c r="O27" s="14">
        <f>IFERROR(IF(B27="","",IF(H27="","",IF(H27="Otro (mensaje libre)","",IF(H27="Requisitos (Crédito/Contado)",IF(OR(F27="",G27=""),"Indica primero el Método de Compra y el Tipo de Persona del cliente en la pestaña Clientes.",_xlfn.SWITCH($F27&amp;"|"&amp;$G27,"Crédito|Persona física","Hola, "&amp;$B27&amp;", para continuar con el proceso de tu *"&amp;$D27&amp;"* por "&amp;$F27&amp;",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"&amp;$B27&amp;", para continuar con el proceso de tu *"&amp;$D27&amp;"* por "&amp;$F27&amp;",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"&amp;$B27&amp;", para continuar con el proceso de tu *"&amp;$D27&amp;"* por "&amp;$F27&amp;",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"&amp;$B27&amp;", para continuar con el proceso de tu *"&amp;$D27&amp;"* por "&amp;$F27&amp;", estos son los documentos que necesitamos:"&amp;CHAR(10)&amp;CHAR(10)&amp;"- INE"&amp;CHAR(10)&amp;"- Comprobante de domicilio"&amp;CHAR(10)&amp;"- Constancia de situación fiscal (no mayor a 3 meses)","Contado|Persona física con actividad empresarial","Hola, "&amp;$B27&amp;", para continuar con el proceso de tu *"&amp;$D27&amp;"* por "&amp;$F27&amp;", estos son los documentos que necesitamos:"&amp;CHAR(10)&amp;CHAR(10)&amp;"- INE"&amp;CHAR(10)&amp;"- Comprobante de domicilio"&amp;CHAR(10)&amp;"- Constancia de situación fiscal (no mayor a 3 meses)","Contado|Persona moral","Hola, "&amp;$B27&amp;", para continuar con el proceso de tu *"&amp;$D27&amp;"* por "&amp;$F27&amp;",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Clientes.")&amp;CHAR(10)&amp;CHAR(10)&amp;Config!$B$1),IF(D27="","",SUBSTITUTE(SUBSTITUTE(INDEX('Catálogo Mensajes'!$D:$J,MATCH($D27,'Catálogo Mensajes'!$B:$B,0),MATCH($H27,'Catálogo Mensajes'!$D$4:$J$4,0)),"{NOMBRE}",$B27),"{PROMO}",'Catálogo Mensajes'!$C$2)&amp;CHAR(10)&amp;CHAR(10)&amp;Config!$B$1))))),"")</f>
        <v/>
      </c>
      <c r="P27" s="13">
        <f>IF(OR(O27="",C27=""),"",HYPERLINK("https://wa.me/52"&amp;C27&amp;"?text="&amp;_xlfn.ENCODEURL(O27),"Enviar mensaje"))</f>
        <v/>
      </c>
      <c r="Q27" s="13">
        <f>IF(OR(I27="",L27="Realizado",L27="Cancelado"),"",SUMPRODUCT(($I$2:$I$151&lt;I27)*($I$2:$I$151&gt;=DATE(Calendario!$C$3,Calendario!$C$2,1))*($I$2:$I$151&lt;DATE(Calendario!$C$3,Calendario!$C$2+1,1))*($L$2:$L$151&lt;&gt;"Realizado")*($L$2:$L$151&lt;&gt;"Cancelado"))+SUMPRODUCT(($I$2:$I$151=I27)*(ROW($I$2:$I$151)&lt;=ROW())*($I$2:$I$151&gt;=DATE(Calendario!$C$3,Calendario!$C$2,1))*($I$2:$I$151&lt;DATE(Calendario!$C$3,Calendario!$C$2+1,1))*($L$2:$L$151&lt;&gt;"Realizado")*($L$2:$L$151&lt;&gt;"Cancelado")))</f>
        <v/>
      </c>
    </row>
    <row r="28" ht="15" customHeight="1" s="1">
      <c r="A28" s="13">
        <f>IF(B28="","",ROW()-1)</f>
        <v/>
      </c>
      <c r="B28" s="14" t="n"/>
      <c r="C28" s="13">
        <f>IFERROR(INDEX(Clientes!$C:$C,MATCH(B28,Clientes!$B:$B,0)),"")</f>
        <v/>
      </c>
      <c r="D28" s="14">
        <f>IFERROR(INDEX(Clientes!$D:$D,MATCH(B28,Clientes!$B:$B,0)),"")</f>
        <v/>
      </c>
      <c r="E28" s="14">
        <f>IFERROR(INDEX(Clientes!$M:$M,MATCH(B28,Clientes!$B:$B,0)),"")</f>
        <v/>
      </c>
      <c r="F28" s="14">
        <f>IFERROR(INDEX(Clientes!$F:$F,MATCH(B28,Clientes!$B:$B,0)),"")</f>
        <v/>
      </c>
      <c r="G28" s="14">
        <f>IFERROR(INDEX(Clientes!$G:$G,MATCH(B28,Clientes!$B:$B,0)),"")</f>
        <v/>
      </c>
      <c r="H28" s="14" t="n"/>
      <c r="I28" s="15" t="n"/>
      <c r="J28" s="16" t="n"/>
      <c r="K28" s="14" t="n"/>
      <c r="L28" s="14" t="n"/>
      <c r="M28" s="13">
        <f>IF(I28="","",I28-TODAY())</f>
        <v/>
      </c>
      <c r="N28" s="14" t="n"/>
      <c r="O28" s="14">
        <f>IFERROR(IF(B28="","",IF(H28="","",IF(H28="Otro (mensaje libre)","",IF(H28="Requisitos (Crédito/Contado)",IF(OR(F28="",G28=""),"Indica primero el Método de Compra y el Tipo de Persona del cliente en la pestaña Clientes.",_xlfn.SWITCH($F28&amp;"|"&amp;$G28,"Crédito|Persona física","Hola, "&amp;$B28&amp;", para continuar con el proceso de tu *"&amp;$D28&amp;"* por "&amp;$F28&amp;",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"&amp;$B28&amp;", para continuar con el proceso de tu *"&amp;$D28&amp;"* por "&amp;$F28&amp;",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"&amp;$B28&amp;", para continuar con el proceso de tu *"&amp;$D28&amp;"* por "&amp;$F28&amp;",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"&amp;$B28&amp;", para continuar con el proceso de tu *"&amp;$D28&amp;"* por "&amp;$F28&amp;", estos son los documentos que necesitamos:"&amp;CHAR(10)&amp;CHAR(10)&amp;"- INE"&amp;CHAR(10)&amp;"- Comprobante de domicilio"&amp;CHAR(10)&amp;"- Constancia de situación fiscal (no mayor a 3 meses)","Contado|Persona física con actividad empresarial","Hola, "&amp;$B28&amp;", para continuar con el proceso de tu *"&amp;$D28&amp;"* por "&amp;$F28&amp;", estos son los documentos que necesitamos:"&amp;CHAR(10)&amp;CHAR(10)&amp;"- INE"&amp;CHAR(10)&amp;"- Comprobante de domicilio"&amp;CHAR(10)&amp;"- Constancia de situación fiscal (no mayor a 3 meses)","Contado|Persona moral","Hola, "&amp;$B28&amp;", para continuar con el proceso de tu *"&amp;$D28&amp;"* por "&amp;$F28&amp;",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Clientes.")&amp;CHAR(10)&amp;CHAR(10)&amp;Config!$B$1),IF(D28="","",SUBSTITUTE(SUBSTITUTE(INDEX('Catálogo Mensajes'!$D:$J,MATCH($D28,'Catálogo Mensajes'!$B:$B,0),MATCH($H28,'Catálogo Mensajes'!$D$4:$J$4,0)),"{NOMBRE}",$B28),"{PROMO}",'Catálogo Mensajes'!$C$2)&amp;CHAR(10)&amp;CHAR(10)&amp;Config!$B$1))))),"")</f>
        <v/>
      </c>
      <c r="P28" s="13">
        <f>IF(OR(O28="",C28=""),"",HYPERLINK("https://wa.me/52"&amp;C28&amp;"?text="&amp;_xlfn.ENCODEURL(O28),"Enviar mensaje"))</f>
        <v/>
      </c>
      <c r="Q28" s="13">
        <f>IF(OR(I28="",L28="Realizado",L28="Cancelado"),"",SUMPRODUCT(($I$2:$I$151&lt;I28)*($I$2:$I$151&gt;=DATE(Calendario!$C$3,Calendario!$C$2,1))*($I$2:$I$151&lt;DATE(Calendario!$C$3,Calendario!$C$2+1,1))*($L$2:$L$151&lt;&gt;"Realizado")*($L$2:$L$151&lt;&gt;"Cancelado"))+SUMPRODUCT(($I$2:$I$151=I28)*(ROW($I$2:$I$151)&lt;=ROW())*($I$2:$I$151&gt;=DATE(Calendario!$C$3,Calendario!$C$2,1))*($I$2:$I$151&lt;DATE(Calendario!$C$3,Calendario!$C$2+1,1))*($L$2:$L$151&lt;&gt;"Realizado")*($L$2:$L$151&lt;&gt;"Cancelado")))</f>
        <v/>
      </c>
    </row>
    <row r="29" ht="15" customHeight="1" s="1">
      <c r="A29" s="13">
        <f>IF(B29="","",ROW()-1)</f>
        <v/>
      </c>
      <c r="B29" s="14" t="n"/>
      <c r="C29" s="13">
        <f>IFERROR(INDEX(Clientes!$C:$C,MATCH(B29,Clientes!$B:$B,0)),"")</f>
        <v/>
      </c>
      <c r="D29" s="14">
        <f>IFERROR(INDEX(Clientes!$D:$D,MATCH(B29,Clientes!$B:$B,0)),"")</f>
        <v/>
      </c>
      <c r="E29" s="14">
        <f>IFERROR(INDEX(Clientes!$M:$M,MATCH(B29,Clientes!$B:$B,0)),"")</f>
        <v/>
      </c>
      <c r="F29" s="14">
        <f>IFERROR(INDEX(Clientes!$F:$F,MATCH(B29,Clientes!$B:$B,0)),"")</f>
        <v/>
      </c>
      <c r="G29" s="14">
        <f>IFERROR(INDEX(Clientes!$G:$G,MATCH(B29,Clientes!$B:$B,0)),"")</f>
        <v/>
      </c>
      <c r="H29" s="14" t="n"/>
      <c r="I29" s="15" t="n"/>
      <c r="J29" s="16" t="n"/>
      <c r="K29" s="14" t="n"/>
      <c r="L29" s="14" t="n"/>
      <c r="M29" s="13">
        <f>IF(I29="","",I29-TODAY())</f>
        <v/>
      </c>
      <c r="N29" s="14" t="n"/>
      <c r="O29" s="14">
        <f>IFERROR(IF(B29="","",IF(H29="","",IF(H29="Otro (mensaje libre)","",IF(H29="Requisitos (Crédito/Contado)",IF(OR(F29="",G29=""),"Indica primero el Método de Compra y el Tipo de Persona del cliente en la pestaña Clientes.",_xlfn.SWITCH($F29&amp;"|"&amp;$G29,"Crédito|Persona física","Hola, "&amp;$B29&amp;", para continuar con el proceso de tu *"&amp;$D29&amp;"* por "&amp;$F29&amp;",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"&amp;$B29&amp;", para continuar con el proceso de tu *"&amp;$D29&amp;"* por "&amp;$F29&amp;",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"&amp;$B29&amp;", para continuar con el proceso de tu *"&amp;$D29&amp;"* por "&amp;$F29&amp;",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"&amp;$B29&amp;", para continuar con el proceso de tu *"&amp;$D29&amp;"* por "&amp;$F29&amp;", estos son los documentos que necesitamos:"&amp;CHAR(10)&amp;CHAR(10)&amp;"- INE"&amp;CHAR(10)&amp;"- Comprobante de domicilio"&amp;CHAR(10)&amp;"- Constancia de situación fiscal (no mayor a 3 meses)","Contado|Persona física con actividad empresarial","Hola, "&amp;$B29&amp;", para continuar con el proceso de tu *"&amp;$D29&amp;"* por "&amp;$F29&amp;", estos son los documentos que necesitamos:"&amp;CHAR(10)&amp;CHAR(10)&amp;"- INE"&amp;CHAR(10)&amp;"- Comprobante de domicilio"&amp;CHAR(10)&amp;"- Constancia de situación fiscal (no mayor a 3 meses)","Contado|Persona moral","Hola, "&amp;$B29&amp;", para continuar con el proceso de tu *"&amp;$D29&amp;"* por "&amp;$F29&amp;",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Clientes.")&amp;CHAR(10)&amp;CHAR(10)&amp;Config!$B$1),IF(D29="","",SUBSTITUTE(SUBSTITUTE(INDEX('Catálogo Mensajes'!$D:$J,MATCH($D29,'Catálogo Mensajes'!$B:$B,0),MATCH($H29,'Catálogo Mensajes'!$D$4:$J$4,0)),"{NOMBRE}",$B29),"{PROMO}",'Catálogo Mensajes'!$C$2)&amp;CHAR(10)&amp;CHAR(10)&amp;Config!$B$1))))),"")</f>
        <v/>
      </c>
      <c r="P29" s="13">
        <f>IF(OR(O29="",C29=""),"",HYPERLINK("https://wa.me/52"&amp;C29&amp;"?text="&amp;_xlfn.ENCODEURL(O29),"Enviar mensaje"))</f>
        <v/>
      </c>
      <c r="Q29" s="13">
        <f>IF(OR(I29="",L29="Realizado",L29="Cancelado"),"",SUMPRODUCT(($I$2:$I$151&lt;I29)*($I$2:$I$151&gt;=DATE(Calendario!$C$3,Calendario!$C$2,1))*($I$2:$I$151&lt;DATE(Calendario!$C$3,Calendario!$C$2+1,1))*($L$2:$L$151&lt;&gt;"Realizado")*($L$2:$L$151&lt;&gt;"Cancelado"))+SUMPRODUCT(($I$2:$I$151=I29)*(ROW($I$2:$I$151)&lt;=ROW())*($I$2:$I$151&gt;=DATE(Calendario!$C$3,Calendario!$C$2,1))*($I$2:$I$151&lt;DATE(Calendario!$C$3,Calendario!$C$2+1,1))*($L$2:$L$151&lt;&gt;"Realizado")*($L$2:$L$151&lt;&gt;"Cancelado")))</f>
        <v/>
      </c>
    </row>
    <row r="30" ht="15" customHeight="1" s="1">
      <c r="A30" s="13">
        <f>IF(B30="","",ROW()-1)</f>
        <v/>
      </c>
      <c r="B30" s="14" t="n"/>
      <c r="C30" s="13">
        <f>IFERROR(INDEX(Clientes!$C:$C,MATCH(B30,Clientes!$B:$B,0)),"")</f>
        <v/>
      </c>
      <c r="D30" s="14">
        <f>IFERROR(INDEX(Clientes!$D:$D,MATCH(B30,Clientes!$B:$B,0)),"")</f>
        <v/>
      </c>
      <c r="E30" s="14">
        <f>IFERROR(INDEX(Clientes!$M:$M,MATCH(B30,Clientes!$B:$B,0)),"")</f>
        <v/>
      </c>
      <c r="F30" s="14">
        <f>IFERROR(INDEX(Clientes!$F:$F,MATCH(B30,Clientes!$B:$B,0)),"")</f>
        <v/>
      </c>
      <c r="G30" s="14">
        <f>IFERROR(INDEX(Clientes!$G:$G,MATCH(B30,Clientes!$B:$B,0)),"")</f>
        <v/>
      </c>
      <c r="H30" s="14" t="n"/>
      <c r="I30" s="15" t="n"/>
      <c r="J30" s="16" t="n"/>
      <c r="K30" s="14" t="n"/>
      <c r="L30" s="14" t="n"/>
      <c r="M30" s="13">
        <f>IF(I30="","",I30-TODAY())</f>
        <v/>
      </c>
      <c r="N30" s="14" t="n"/>
      <c r="O30" s="14">
        <f>IFERROR(IF(B30="","",IF(H30="","",IF(H30="Otro (mensaje libre)","",IF(H30="Requisitos (Crédito/Contado)",IF(OR(F30="",G30=""),"Indica primero el Método de Compra y el Tipo de Persona del cliente en la pestaña Clientes.",_xlfn.SWITCH($F30&amp;"|"&amp;$G30,"Crédito|Persona física","Hola, "&amp;$B30&amp;", para continuar con el proceso de tu *"&amp;$D30&amp;"* por "&amp;$F30&amp;",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"&amp;$B30&amp;", para continuar con el proceso de tu *"&amp;$D30&amp;"* por "&amp;$F30&amp;",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"&amp;$B30&amp;", para continuar con el proceso de tu *"&amp;$D30&amp;"* por "&amp;$F30&amp;",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"&amp;$B30&amp;", para continuar con el proceso de tu *"&amp;$D30&amp;"* por "&amp;$F30&amp;", estos son los documentos que necesitamos:"&amp;CHAR(10)&amp;CHAR(10)&amp;"- INE"&amp;CHAR(10)&amp;"- Comprobante de domicilio"&amp;CHAR(10)&amp;"- Constancia de situación fiscal (no mayor a 3 meses)","Contado|Persona física con actividad empresarial","Hola, "&amp;$B30&amp;", para continuar con el proceso de tu *"&amp;$D30&amp;"* por "&amp;$F30&amp;", estos son los documentos que necesitamos:"&amp;CHAR(10)&amp;CHAR(10)&amp;"- INE"&amp;CHAR(10)&amp;"- Comprobante de domicilio"&amp;CHAR(10)&amp;"- Constancia de situación fiscal (no mayor a 3 meses)","Contado|Persona moral","Hola, "&amp;$B30&amp;", para continuar con el proceso de tu *"&amp;$D30&amp;"* por "&amp;$F30&amp;",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Clientes.")&amp;CHAR(10)&amp;CHAR(10)&amp;Config!$B$1),IF(D30="","",SUBSTITUTE(SUBSTITUTE(INDEX('Catálogo Mensajes'!$D:$J,MATCH($D30,'Catálogo Mensajes'!$B:$B,0),MATCH($H30,'Catálogo Mensajes'!$D$4:$J$4,0)),"{NOMBRE}",$B30),"{PROMO}",'Catálogo Mensajes'!$C$2)&amp;CHAR(10)&amp;CHAR(10)&amp;Config!$B$1))))),"")</f>
        <v/>
      </c>
      <c r="P30" s="13">
        <f>IF(OR(O30="",C30=""),"",HYPERLINK("https://wa.me/52"&amp;C30&amp;"?text="&amp;_xlfn.ENCODEURL(O30),"Enviar mensaje"))</f>
        <v/>
      </c>
      <c r="Q30" s="13">
        <f>IF(OR(I30="",L30="Realizado",L30="Cancelado"),"",SUMPRODUCT(($I$2:$I$151&lt;I30)*($I$2:$I$151&gt;=DATE(Calendario!$C$3,Calendario!$C$2,1))*($I$2:$I$151&lt;DATE(Calendario!$C$3,Calendario!$C$2+1,1))*($L$2:$L$151&lt;&gt;"Realizado")*($L$2:$L$151&lt;&gt;"Cancelado"))+SUMPRODUCT(($I$2:$I$151=I30)*(ROW($I$2:$I$151)&lt;=ROW())*($I$2:$I$151&gt;=DATE(Calendario!$C$3,Calendario!$C$2,1))*($I$2:$I$151&lt;DATE(Calendario!$C$3,Calendario!$C$2+1,1))*($L$2:$L$151&lt;&gt;"Realizado")*($L$2:$L$151&lt;&gt;"Cancelado")))</f>
        <v/>
      </c>
    </row>
    <row r="31" ht="15" customHeight="1" s="1">
      <c r="A31" s="13">
        <f>IF(B31="","",ROW()-1)</f>
        <v/>
      </c>
      <c r="B31" s="14" t="n"/>
      <c r="C31" s="13">
        <f>IFERROR(INDEX(Clientes!$C:$C,MATCH(B31,Clientes!$B:$B,0)),"")</f>
        <v/>
      </c>
      <c r="D31" s="14">
        <f>IFERROR(INDEX(Clientes!$D:$D,MATCH(B31,Clientes!$B:$B,0)),"")</f>
        <v/>
      </c>
      <c r="E31" s="14">
        <f>IFERROR(INDEX(Clientes!$M:$M,MATCH(B31,Clientes!$B:$B,0)),"")</f>
        <v/>
      </c>
      <c r="F31" s="14">
        <f>IFERROR(INDEX(Clientes!$F:$F,MATCH(B31,Clientes!$B:$B,0)),"")</f>
        <v/>
      </c>
      <c r="G31" s="14">
        <f>IFERROR(INDEX(Clientes!$G:$G,MATCH(B31,Clientes!$B:$B,0)),"")</f>
        <v/>
      </c>
      <c r="H31" s="14" t="n"/>
      <c r="I31" s="15" t="n"/>
      <c r="J31" s="16" t="n"/>
      <c r="K31" s="14" t="n"/>
      <c r="L31" s="14" t="n"/>
      <c r="M31" s="13">
        <f>IF(I31="","",I31-TODAY())</f>
        <v/>
      </c>
      <c r="N31" s="14" t="n"/>
      <c r="O31" s="14">
        <f>IFERROR(IF(B31="","",IF(H31="","",IF(H31="Otro (mensaje libre)","",IF(H31="Requisitos (Crédito/Contado)",IF(OR(F31="",G31=""),"Indica primero el Método de Compra y el Tipo de Persona del cliente en la pestaña Clientes.",_xlfn.SWITCH($F31&amp;"|"&amp;$G31,"Crédito|Persona física","Hola, "&amp;$B31&amp;", para continuar con el proceso de tu *"&amp;$D31&amp;"* por "&amp;$F31&amp;",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"&amp;$B31&amp;", para continuar con el proceso de tu *"&amp;$D31&amp;"* por "&amp;$F31&amp;",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"&amp;$B31&amp;", para continuar con el proceso de tu *"&amp;$D31&amp;"* por "&amp;$F31&amp;",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"&amp;$B31&amp;", para continuar con el proceso de tu *"&amp;$D31&amp;"* por "&amp;$F31&amp;", estos son los documentos que necesitamos:"&amp;CHAR(10)&amp;CHAR(10)&amp;"- INE"&amp;CHAR(10)&amp;"- Comprobante de domicilio"&amp;CHAR(10)&amp;"- Constancia de situación fiscal (no mayor a 3 meses)","Contado|Persona física con actividad empresarial","Hola, "&amp;$B31&amp;", para continuar con el proceso de tu *"&amp;$D31&amp;"* por "&amp;$F31&amp;", estos son los documentos que necesitamos:"&amp;CHAR(10)&amp;CHAR(10)&amp;"- INE"&amp;CHAR(10)&amp;"- Comprobante de domicilio"&amp;CHAR(10)&amp;"- Constancia de situación fiscal (no mayor a 3 meses)","Contado|Persona moral","Hola, "&amp;$B31&amp;", para continuar con el proceso de tu *"&amp;$D31&amp;"* por "&amp;$F31&amp;",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Clientes.")&amp;CHAR(10)&amp;CHAR(10)&amp;Config!$B$1),IF(D31="","",SUBSTITUTE(SUBSTITUTE(INDEX('Catálogo Mensajes'!$D:$J,MATCH($D31,'Catálogo Mensajes'!$B:$B,0),MATCH($H31,'Catálogo Mensajes'!$D$4:$J$4,0)),"{NOMBRE}",$B31),"{PROMO}",'Catálogo Mensajes'!$C$2)&amp;CHAR(10)&amp;CHAR(10)&amp;Config!$B$1))))),"")</f>
        <v/>
      </c>
      <c r="P31" s="13">
        <f>IF(OR(O31="",C31=""),"",HYPERLINK("https://wa.me/52"&amp;C31&amp;"?text="&amp;_xlfn.ENCODEURL(O31),"Enviar mensaje"))</f>
        <v/>
      </c>
      <c r="Q31" s="13">
        <f>IF(OR(I31="",L31="Realizado",L31="Cancelado"),"",SUMPRODUCT(($I$2:$I$151&lt;I31)*($I$2:$I$151&gt;=DATE(Calendario!$C$3,Calendario!$C$2,1))*($I$2:$I$151&lt;DATE(Calendario!$C$3,Calendario!$C$2+1,1))*($L$2:$L$151&lt;&gt;"Realizado")*($L$2:$L$151&lt;&gt;"Cancelado"))+SUMPRODUCT(($I$2:$I$151=I31)*(ROW($I$2:$I$151)&lt;=ROW())*($I$2:$I$151&gt;=DATE(Calendario!$C$3,Calendario!$C$2,1))*($I$2:$I$151&lt;DATE(Calendario!$C$3,Calendario!$C$2+1,1))*($L$2:$L$151&lt;&gt;"Realizado")*($L$2:$L$151&lt;&gt;"Cancelado")))</f>
        <v/>
      </c>
    </row>
    <row r="32" ht="15" customHeight="1" s="1">
      <c r="A32" s="13">
        <f>IF(B32="","",ROW()-1)</f>
        <v/>
      </c>
      <c r="B32" s="14" t="n"/>
      <c r="C32" s="13">
        <f>IFERROR(INDEX(Clientes!$C:$C,MATCH(B32,Clientes!$B:$B,0)),"")</f>
        <v/>
      </c>
      <c r="D32" s="14">
        <f>IFERROR(INDEX(Clientes!$D:$D,MATCH(B32,Clientes!$B:$B,0)),"")</f>
        <v/>
      </c>
      <c r="E32" s="14">
        <f>IFERROR(INDEX(Clientes!$M:$M,MATCH(B32,Clientes!$B:$B,0)),"")</f>
        <v/>
      </c>
      <c r="F32" s="14">
        <f>IFERROR(INDEX(Clientes!$F:$F,MATCH(B32,Clientes!$B:$B,0)),"")</f>
        <v/>
      </c>
      <c r="G32" s="14">
        <f>IFERROR(INDEX(Clientes!$G:$G,MATCH(B32,Clientes!$B:$B,0)),"")</f>
        <v/>
      </c>
      <c r="H32" s="14" t="n"/>
      <c r="I32" s="15" t="n"/>
      <c r="J32" s="16" t="n"/>
      <c r="K32" s="14" t="n"/>
      <c r="L32" s="14" t="n"/>
      <c r="M32" s="13">
        <f>IF(I32="","",I32-TODAY())</f>
        <v/>
      </c>
      <c r="N32" s="14" t="n"/>
      <c r="O32" s="14">
        <f>IFERROR(IF(B32="","",IF(H32="","",IF(H32="Otro (mensaje libre)","",IF(H32="Requisitos (Crédito/Contado)",IF(OR(F32="",G32=""),"Indica primero el Método de Compra y el Tipo de Persona del cliente en la pestaña Clientes.",_xlfn.SWITCH($F32&amp;"|"&amp;$G32,"Crédito|Persona física","Hola, "&amp;$B32&amp;", para continuar con el proceso de tu *"&amp;$D32&amp;"* por "&amp;$F32&amp;",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"&amp;$B32&amp;", para continuar con el proceso de tu *"&amp;$D32&amp;"* por "&amp;$F32&amp;",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"&amp;$B32&amp;", para continuar con el proceso de tu *"&amp;$D32&amp;"* por "&amp;$F32&amp;",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"&amp;$B32&amp;", para continuar con el proceso de tu *"&amp;$D32&amp;"* por "&amp;$F32&amp;", estos son los documentos que necesitamos:"&amp;CHAR(10)&amp;CHAR(10)&amp;"- INE"&amp;CHAR(10)&amp;"- Comprobante de domicilio"&amp;CHAR(10)&amp;"- Constancia de situación fiscal (no mayor a 3 meses)","Contado|Persona física con actividad empresarial","Hola, "&amp;$B32&amp;", para continuar con el proceso de tu *"&amp;$D32&amp;"* por "&amp;$F32&amp;", estos son los documentos que necesitamos:"&amp;CHAR(10)&amp;CHAR(10)&amp;"- INE"&amp;CHAR(10)&amp;"- Comprobante de domicilio"&amp;CHAR(10)&amp;"- Constancia de situación fiscal (no mayor a 3 meses)","Contado|Persona moral","Hola, "&amp;$B32&amp;", para continuar con el proceso de tu *"&amp;$D32&amp;"* por "&amp;$F32&amp;",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Clientes.")&amp;CHAR(10)&amp;CHAR(10)&amp;Config!$B$1),IF(D32="","",SUBSTITUTE(SUBSTITUTE(INDEX('Catálogo Mensajes'!$D:$J,MATCH($D32,'Catálogo Mensajes'!$B:$B,0),MATCH($H32,'Catálogo Mensajes'!$D$4:$J$4,0)),"{NOMBRE}",$B32),"{PROMO}",'Catálogo Mensajes'!$C$2)&amp;CHAR(10)&amp;CHAR(10)&amp;Config!$B$1))))),"")</f>
        <v/>
      </c>
      <c r="P32" s="13">
        <f>IF(OR(O32="",C32=""),"",HYPERLINK("https://wa.me/52"&amp;C32&amp;"?text="&amp;_xlfn.ENCODEURL(O32),"Enviar mensaje"))</f>
        <v/>
      </c>
      <c r="Q32" s="13">
        <f>IF(OR(I32="",L32="Realizado",L32="Cancelado"),"",SUMPRODUCT(($I$2:$I$151&lt;I32)*($I$2:$I$151&gt;=DATE(Calendario!$C$3,Calendario!$C$2,1))*($I$2:$I$151&lt;DATE(Calendario!$C$3,Calendario!$C$2+1,1))*($L$2:$L$151&lt;&gt;"Realizado")*($L$2:$L$151&lt;&gt;"Cancelado"))+SUMPRODUCT(($I$2:$I$151=I32)*(ROW($I$2:$I$151)&lt;=ROW())*($I$2:$I$151&gt;=DATE(Calendario!$C$3,Calendario!$C$2,1))*($I$2:$I$151&lt;DATE(Calendario!$C$3,Calendario!$C$2+1,1))*($L$2:$L$151&lt;&gt;"Realizado")*($L$2:$L$151&lt;&gt;"Cancelado")))</f>
        <v/>
      </c>
    </row>
    <row r="33" ht="15" customHeight="1" s="1">
      <c r="A33" s="13">
        <f>IF(B33="","",ROW()-1)</f>
        <v/>
      </c>
      <c r="B33" s="14" t="n"/>
      <c r="C33" s="13">
        <f>IFERROR(INDEX(Clientes!$C:$C,MATCH(B33,Clientes!$B:$B,0)),"")</f>
        <v/>
      </c>
      <c r="D33" s="14">
        <f>IFERROR(INDEX(Clientes!$D:$D,MATCH(B33,Clientes!$B:$B,0)),"")</f>
        <v/>
      </c>
      <c r="E33" s="14">
        <f>IFERROR(INDEX(Clientes!$M:$M,MATCH(B33,Clientes!$B:$B,0)),"")</f>
        <v/>
      </c>
      <c r="F33" s="14">
        <f>IFERROR(INDEX(Clientes!$F:$F,MATCH(B33,Clientes!$B:$B,0)),"")</f>
        <v/>
      </c>
      <c r="G33" s="14">
        <f>IFERROR(INDEX(Clientes!$G:$G,MATCH(B33,Clientes!$B:$B,0)),"")</f>
        <v/>
      </c>
      <c r="H33" s="14" t="n"/>
      <c r="I33" s="15" t="n"/>
      <c r="J33" s="16" t="n"/>
      <c r="K33" s="14" t="n"/>
      <c r="L33" s="14" t="n"/>
      <c r="M33" s="13">
        <f>IF(I33="","",I33-TODAY())</f>
        <v/>
      </c>
      <c r="N33" s="14" t="n"/>
      <c r="O33" s="14">
        <f>IFERROR(IF(B33="","",IF(H33="","",IF(H33="Otro (mensaje libre)","",IF(H33="Requisitos (Crédito/Contado)",IF(OR(F33="",G33=""),"Indica primero el Método de Compra y el Tipo de Persona del cliente en la pestaña Clientes.",_xlfn.SWITCH($F33&amp;"|"&amp;$G33,"Crédito|Persona física","Hola, "&amp;$B33&amp;", para continuar con el proceso de tu *"&amp;$D33&amp;"* por "&amp;$F33&amp;",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"&amp;$B33&amp;", para continuar con el proceso de tu *"&amp;$D33&amp;"* por "&amp;$F33&amp;",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"&amp;$B33&amp;", para continuar con el proceso de tu *"&amp;$D33&amp;"* por "&amp;$F33&amp;",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"&amp;$B33&amp;", para continuar con el proceso de tu *"&amp;$D33&amp;"* por "&amp;$F33&amp;", estos son los documentos que necesitamos:"&amp;CHAR(10)&amp;CHAR(10)&amp;"- INE"&amp;CHAR(10)&amp;"- Comprobante de domicilio"&amp;CHAR(10)&amp;"- Constancia de situación fiscal (no mayor a 3 meses)","Contado|Persona física con actividad empresarial","Hola, "&amp;$B33&amp;", para continuar con el proceso de tu *"&amp;$D33&amp;"* por "&amp;$F33&amp;", estos son los documentos que necesitamos:"&amp;CHAR(10)&amp;CHAR(10)&amp;"- INE"&amp;CHAR(10)&amp;"- Comprobante de domicilio"&amp;CHAR(10)&amp;"- Constancia de situación fiscal (no mayor a 3 meses)","Contado|Persona moral","Hola, "&amp;$B33&amp;", para continuar con el proceso de tu *"&amp;$D33&amp;"* por "&amp;$F33&amp;",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Clientes.")&amp;CHAR(10)&amp;CHAR(10)&amp;Config!$B$1),IF(D33="","",SUBSTITUTE(SUBSTITUTE(INDEX('Catálogo Mensajes'!$D:$J,MATCH($D33,'Catálogo Mensajes'!$B:$B,0),MATCH($H33,'Catálogo Mensajes'!$D$4:$J$4,0)),"{NOMBRE}",$B33),"{PROMO}",'Catálogo Mensajes'!$C$2)&amp;CHAR(10)&amp;CHAR(10)&amp;Config!$B$1))))),"")</f>
        <v/>
      </c>
      <c r="P33" s="13">
        <f>IF(OR(O33="",C33=""),"",HYPERLINK("https://wa.me/52"&amp;C33&amp;"?text="&amp;_xlfn.ENCODEURL(O33),"Enviar mensaje"))</f>
        <v/>
      </c>
      <c r="Q33" s="13">
        <f>IF(OR(I33="",L33="Realizado",L33="Cancelado"),"",SUMPRODUCT(($I$2:$I$151&lt;I33)*($I$2:$I$151&gt;=DATE(Calendario!$C$3,Calendario!$C$2,1))*($I$2:$I$151&lt;DATE(Calendario!$C$3,Calendario!$C$2+1,1))*($L$2:$L$151&lt;&gt;"Realizado")*($L$2:$L$151&lt;&gt;"Cancelado"))+SUMPRODUCT(($I$2:$I$151=I33)*(ROW($I$2:$I$151)&lt;=ROW())*($I$2:$I$151&gt;=DATE(Calendario!$C$3,Calendario!$C$2,1))*($I$2:$I$151&lt;DATE(Calendario!$C$3,Calendario!$C$2+1,1))*($L$2:$L$151&lt;&gt;"Realizado")*($L$2:$L$151&lt;&gt;"Cancelado")))</f>
        <v/>
      </c>
    </row>
    <row r="34" ht="15" customHeight="1" s="1">
      <c r="A34" s="13">
        <f>IF(B34="","",ROW()-1)</f>
        <v/>
      </c>
      <c r="B34" s="14" t="n"/>
      <c r="C34" s="13">
        <f>IFERROR(INDEX(Clientes!$C:$C,MATCH(B34,Clientes!$B:$B,0)),"")</f>
        <v/>
      </c>
      <c r="D34" s="14">
        <f>IFERROR(INDEX(Clientes!$D:$D,MATCH(B34,Clientes!$B:$B,0)),"")</f>
        <v/>
      </c>
      <c r="E34" s="14">
        <f>IFERROR(INDEX(Clientes!$M:$M,MATCH(B34,Clientes!$B:$B,0)),"")</f>
        <v/>
      </c>
      <c r="F34" s="14">
        <f>IFERROR(INDEX(Clientes!$F:$F,MATCH(B34,Clientes!$B:$B,0)),"")</f>
        <v/>
      </c>
      <c r="G34" s="14">
        <f>IFERROR(INDEX(Clientes!$G:$G,MATCH(B34,Clientes!$B:$B,0)),"")</f>
        <v/>
      </c>
      <c r="H34" s="14" t="n"/>
      <c r="I34" s="15" t="n"/>
      <c r="J34" s="16" t="n"/>
      <c r="K34" s="14" t="n"/>
      <c r="L34" s="14" t="n"/>
      <c r="M34" s="13">
        <f>IF(I34="","",I34-TODAY())</f>
        <v/>
      </c>
      <c r="N34" s="14" t="n"/>
      <c r="O34" s="14">
        <f>IFERROR(IF(B34="","",IF(H34="","",IF(H34="Otro (mensaje libre)","",IF(H34="Requisitos (Crédito/Contado)",IF(OR(F34="",G34=""),"Indica primero el Método de Compra y el Tipo de Persona del cliente en la pestaña Clientes.",_xlfn.SWITCH($F34&amp;"|"&amp;$G34,"Crédito|Persona física","Hola, "&amp;$B34&amp;", para continuar con el proceso de tu *"&amp;$D34&amp;"* por "&amp;$F34&amp;",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"&amp;$B34&amp;", para continuar con el proceso de tu *"&amp;$D34&amp;"* por "&amp;$F34&amp;",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"&amp;$B34&amp;", para continuar con el proceso de tu *"&amp;$D34&amp;"* por "&amp;$F34&amp;",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"&amp;$B34&amp;", para continuar con el proceso de tu *"&amp;$D34&amp;"* por "&amp;$F34&amp;", estos son los documentos que necesitamos:"&amp;CHAR(10)&amp;CHAR(10)&amp;"- INE"&amp;CHAR(10)&amp;"- Comprobante de domicilio"&amp;CHAR(10)&amp;"- Constancia de situación fiscal (no mayor a 3 meses)","Contado|Persona física con actividad empresarial","Hola, "&amp;$B34&amp;", para continuar con el proceso de tu *"&amp;$D34&amp;"* por "&amp;$F34&amp;", estos son los documentos que necesitamos:"&amp;CHAR(10)&amp;CHAR(10)&amp;"- INE"&amp;CHAR(10)&amp;"- Comprobante de domicilio"&amp;CHAR(10)&amp;"- Constancia de situación fiscal (no mayor a 3 meses)","Contado|Persona moral","Hola, "&amp;$B34&amp;", para continuar con el proceso de tu *"&amp;$D34&amp;"* por "&amp;$F34&amp;",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Clientes.")&amp;CHAR(10)&amp;CHAR(10)&amp;Config!$B$1),IF(D34="","",SUBSTITUTE(SUBSTITUTE(INDEX('Catálogo Mensajes'!$D:$J,MATCH($D34,'Catálogo Mensajes'!$B:$B,0),MATCH($H34,'Catálogo Mensajes'!$D$4:$J$4,0)),"{NOMBRE}",$B34),"{PROMO}",'Catálogo Mensajes'!$C$2)&amp;CHAR(10)&amp;CHAR(10)&amp;Config!$B$1))))),"")</f>
        <v/>
      </c>
      <c r="P34" s="13">
        <f>IF(OR(O34="",C34=""),"",HYPERLINK("https://wa.me/52"&amp;C34&amp;"?text="&amp;_xlfn.ENCODEURL(O34),"Enviar mensaje"))</f>
        <v/>
      </c>
      <c r="Q34" s="13">
        <f>IF(OR(I34="",L34="Realizado",L34="Cancelado"),"",SUMPRODUCT(($I$2:$I$151&lt;I34)*($I$2:$I$151&gt;=DATE(Calendario!$C$3,Calendario!$C$2,1))*($I$2:$I$151&lt;DATE(Calendario!$C$3,Calendario!$C$2+1,1))*($L$2:$L$151&lt;&gt;"Realizado")*($L$2:$L$151&lt;&gt;"Cancelado"))+SUMPRODUCT(($I$2:$I$151=I34)*(ROW($I$2:$I$151)&lt;=ROW())*($I$2:$I$151&gt;=DATE(Calendario!$C$3,Calendario!$C$2,1))*($I$2:$I$151&lt;DATE(Calendario!$C$3,Calendario!$C$2+1,1))*($L$2:$L$151&lt;&gt;"Realizado")*($L$2:$L$151&lt;&gt;"Cancelado")))</f>
        <v/>
      </c>
    </row>
    <row r="35" ht="15" customHeight="1" s="1">
      <c r="A35" s="13">
        <f>IF(B35="","",ROW()-1)</f>
        <v/>
      </c>
      <c r="B35" s="14" t="n"/>
      <c r="C35" s="13">
        <f>IFERROR(INDEX(Clientes!$C:$C,MATCH(B35,Clientes!$B:$B,0)),"")</f>
        <v/>
      </c>
      <c r="D35" s="14">
        <f>IFERROR(INDEX(Clientes!$D:$D,MATCH(B35,Clientes!$B:$B,0)),"")</f>
        <v/>
      </c>
      <c r="E35" s="14">
        <f>IFERROR(INDEX(Clientes!$M:$M,MATCH(B35,Clientes!$B:$B,0)),"")</f>
        <v/>
      </c>
      <c r="F35" s="14">
        <f>IFERROR(INDEX(Clientes!$F:$F,MATCH(B35,Clientes!$B:$B,0)),"")</f>
        <v/>
      </c>
      <c r="G35" s="14">
        <f>IFERROR(INDEX(Clientes!$G:$G,MATCH(B35,Clientes!$B:$B,0)),"")</f>
        <v/>
      </c>
      <c r="H35" s="14" t="n"/>
      <c r="I35" s="15" t="n"/>
      <c r="J35" s="16" t="n"/>
      <c r="K35" s="14" t="n"/>
      <c r="L35" s="14" t="n"/>
      <c r="M35" s="13">
        <f>IF(I35="","",I35-TODAY())</f>
        <v/>
      </c>
      <c r="N35" s="14" t="n"/>
      <c r="O35" s="14">
        <f>IFERROR(IF(B35="","",IF(H35="","",IF(H35="Otro (mensaje libre)","",IF(H35="Requisitos (Crédito/Contado)",IF(OR(F35="",G35=""),"Indica primero el Método de Compra y el Tipo de Persona del cliente en la pestaña Clientes.",_xlfn.SWITCH($F35&amp;"|"&amp;$G35,"Crédito|Persona física","Hola, "&amp;$B35&amp;", para continuar con el proceso de tu *"&amp;$D35&amp;"* por "&amp;$F35&amp;",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"&amp;$B35&amp;", para continuar con el proceso de tu *"&amp;$D35&amp;"* por "&amp;$F35&amp;",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"&amp;$B35&amp;", para continuar con el proceso de tu *"&amp;$D35&amp;"* por "&amp;$F35&amp;",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"&amp;$B35&amp;", para continuar con el proceso de tu *"&amp;$D35&amp;"* por "&amp;$F35&amp;", estos son los documentos que necesitamos:"&amp;CHAR(10)&amp;CHAR(10)&amp;"- INE"&amp;CHAR(10)&amp;"- Comprobante de domicilio"&amp;CHAR(10)&amp;"- Constancia de situación fiscal (no mayor a 3 meses)","Contado|Persona física con actividad empresarial","Hola, "&amp;$B35&amp;", para continuar con el proceso de tu *"&amp;$D35&amp;"* por "&amp;$F35&amp;", estos son los documentos que necesitamos:"&amp;CHAR(10)&amp;CHAR(10)&amp;"- INE"&amp;CHAR(10)&amp;"- Comprobante de domicilio"&amp;CHAR(10)&amp;"- Constancia de situación fiscal (no mayor a 3 meses)","Contado|Persona moral","Hola, "&amp;$B35&amp;", para continuar con el proceso de tu *"&amp;$D35&amp;"* por "&amp;$F35&amp;",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Clientes.")&amp;CHAR(10)&amp;CHAR(10)&amp;Config!$B$1),IF(D35="","",SUBSTITUTE(SUBSTITUTE(INDEX('Catálogo Mensajes'!$D:$J,MATCH($D35,'Catálogo Mensajes'!$B:$B,0),MATCH($H35,'Catálogo Mensajes'!$D$4:$J$4,0)),"{NOMBRE}",$B35),"{PROMO}",'Catálogo Mensajes'!$C$2)&amp;CHAR(10)&amp;CHAR(10)&amp;Config!$B$1))))),"")</f>
        <v/>
      </c>
      <c r="P35" s="13">
        <f>IF(OR(O35="",C35=""),"",HYPERLINK("https://wa.me/52"&amp;C35&amp;"?text="&amp;_xlfn.ENCODEURL(O35),"Enviar mensaje"))</f>
        <v/>
      </c>
      <c r="Q35" s="13">
        <f>IF(OR(I35="",L35="Realizado",L35="Cancelado"),"",SUMPRODUCT(($I$2:$I$151&lt;I35)*($I$2:$I$151&gt;=DATE(Calendario!$C$3,Calendario!$C$2,1))*($I$2:$I$151&lt;DATE(Calendario!$C$3,Calendario!$C$2+1,1))*($L$2:$L$151&lt;&gt;"Realizado")*($L$2:$L$151&lt;&gt;"Cancelado"))+SUMPRODUCT(($I$2:$I$151=I35)*(ROW($I$2:$I$151)&lt;=ROW())*($I$2:$I$151&gt;=DATE(Calendario!$C$3,Calendario!$C$2,1))*($I$2:$I$151&lt;DATE(Calendario!$C$3,Calendario!$C$2+1,1))*($L$2:$L$151&lt;&gt;"Realizado")*($L$2:$L$151&lt;&gt;"Cancelado")))</f>
        <v/>
      </c>
    </row>
    <row r="36" ht="15" customHeight="1" s="1">
      <c r="A36" s="13">
        <f>IF(B36="","",ROW()-1)</f>
        <v/>
      </c>
      <c r="B36" s="14" t="n"/>
      <c r="C36" s="13">
        <f>IFERROR(INDEX(Clientes!$C:$C,MATCH(B36,Clientes!$B:$B,0)),"")</f>
        <v/>
      </c>
      <c r="D36" s="14">
        <f>IFERROR(INDEX(Clientes!$D:$D,MATCH(B36,Clientes!$B:$B,0)),"")</f>
        <v/>
      </c>
      <c r="E36" s="14">
        <f>IFERROR(INDEX(Clientes!$M:$M,MATCH(B36,Clientes!$B:$B,0)),"")</f>
        <v/>
      </c>
      <c r="F36" s="14">
        <f>IFERROR(INDEX(Clientes!$F:$F,MATCH(B36,Clientes!$B:$B,0)),"")</f>
        <v/>
      </c>
      <c r="G36" s="14">
        <f>IFERROR(INDEX(Clientes!$G:$G,MATCH(B36,Clientes!$B:$B,0)),"")</f>
        <v/>
      </c>
      <c r="H36" s="14" t="n"/>
      <c r="I36" s="15" t="n"/>
      <c r="J36" s="16" t="n"/>
      <c r="K36" s="14" t="n"/>
      <c r="L36" s="14" t="n"/>
      <c r="M36" s="13">
        <f>IF(I36="","",I36-TODAY())</f>
        <v/>
      </c>
      <c r="N36" s="14" t="n"/>
      <c r="O36" s="14">
        <f>IFERROR(IF(B36="","",IF(H36="","",IF(H36="Otro (mensaje libre)","",IF(H36="Requisitos (Crédito/Contado)",IF(OR(F36="",G36=""),"Indica primero el Método de Compra y el Tipo de Persona del cliente en la pestaña Clientes.",_xlfn.SWITCH($F36&amp;"|"&amp;$G36,"Crédito|Persona física","Hola, "&amp;$B36&amp;", para continuar con el proceso de tu *"&amp;$D36&amp;"* por "&amp;$F36&amp;",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"&amp;$B36&amp;", para continuar con el proceso de tu *"&amp;$D36&amp;"* por "&amp;$F36&amp;",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"&amp;$B36&amp;", para continuar con el proceso de tu *"&amp;$D36&amp;"* por "&amp;$F36&amp;",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"&amp;$B36&amp;", para continuar con el proceso de tu *"&amp;$D36&amp;"* por "&amp;$F36&amp;", estos son los documentos que necesitamos:"&amp;CHAR(10)&amp;CHAR(10)&amp;"- INE"&amp;CHAR(10)&amp;"- Comprobante de domicilio"&amp;CHAR(10)&amp;"- Constancia de situación fiscal (no mayor a 3 meses)","Contado|Persona física con actividad empresarial","Hola, "&amp;$B36&amp;", para continuar con el proceso de tu *"&amp;$D36&amp;"* por "&amp;$F36&amp;", estos son los documentos que necesitamos:"&amp;CHAR(10)&amp;CHAR(10)&amp;"- INE"&amp;CHAR(10)&amp;"- Comprobante de domicilio"&amp;CHAR(10)&amp;"- Constancia de situación fiscal (no mayor a 3 meses)","Contado|Persona moral","Hola, "&amp;$B36&amp;", para continuar con el proceso de tu *"&amp;$D36&amp;"* por "&amp;$F36&amp;",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Clientes.")&amp;CHAR(10)&amp;CHAR(10)&amp;Config!$B$1),IF(D36="","",SUBSTITUTE(SUBSTITUTE(INDEX('Catálogo Mensajes'!$D:$J,MATCH($D36,'Catálogo Mensajes'!$B:$B,0),MATCH($H36,'Catálogo Mensajes'!$D$4:$J$4,0)),"{NOMBRE}",$B36),"{PROMO}",'Catálogo Mensajes'!$C$2)&amp;CHAR(10)&amp;CHAR(10)&amp;Config!$B$1))))),"")</f>
        <v/>
      </c>
      <c r="P36" s="13">
        <f>IF(OR(O36="",C36=""),"",HYPERLINK("https://wa.me/52"&amp;C36&amp;"?text="&amp;_xlfn.ENCODEURL(O36),"Enviar mensaje"))</f>
        <v/>
      </c>
      <c r="Q36" s="13">
        <f>IF(OR(I36="",L36="Realizado",L36="Cancelado"),"",SUMPRODUCT(($I$2:$I$151&lt;I36)*($I$2:$I$151&gt;=DATE(Calendario!$C$3,Calendario!$C$2,1))*($I$2:$I$151&lt;DATE(Calendario!$C$3,Calendario!$C$2+1,1))*($L$2:$L$151&lt;&gt;"Realizado")*($L$2:$L$151&lt;&gt;"Cancelado"))+SUMPRODUCT(($I$2:$I$151=I36)*(ROW($I$2:$I$151)&lt;=ROW())*($I$2:$I$151&gt;=DATE(Calendario!$C$3,Calendario!$C$2,1))*($I$2:$I$151&lt;DATE(Calendario!$C$3,Calendario!$C$2+1,1))*($L$2:$L$151&lt;&gt;"Realizado")*($L$2:$L$151&lt;&gt;"Cancelado")))</f>
        <v/>
      </c>
    </row>
    <row r="37" ht="15" customHeight="1" s="1">
      <c r="A37" s="13">
        <f>IF(B37="","",ROW()-1)</f>
        <v/>
      </c>
      <c r="B37" s="14" t="n"/>
      <c r="C37" s="13">
        <f>IFERROR(INDEX(Clientes!$C:$C,MATCH(B37,Clientes!$B:$B,0)),"")</f>
        <v/>
      </c>
      <c r="D37" s="14">
        <f>IFERROR(INDEX(Clientes!$D:$D,MATCH(B37,Clientes!$B:$B,0)),"")</f>
        <v/>
      </c>
      <c r="E37" s="14">
        <f>IFERROR(INDEX(Clientes!$M:$M,MATCH(B37,Clientes!$B:$B,0)),"")</f>
        <v/>
      </c>
      <c r="F37" s="14">
        <f>IFERROR(INDEX(Clientes!$F:$F,MATCH(B37,Clientes!$B:$B,0)),"")</f>
        <v/>
      </c>
      <c r="G37" s="14">
        <f>IFERROR(INDEX(Clientes!$G:$G,MATCH(B37,Clientes!$B:$B,0)),"")</f>
        <v/>
      </c>
      <c r="H37" s="14" t="n"/>
      <c r="I37" s="15" t="n"/>
      <c r="J37" s="16" t="n"/>
      <c r="K37" s="14" t="n"/>
      <c r="L37" s="14" t="n"/>
      <c r="M37" s="13">
        <f>IF(I37="","",I37-TODAY())</f>
        <v/>
      </c>
      <c r="N37" s="14" t="n"/>
      <c r="O37" s="14">
        <f>IFERROR(IF(B37="","",IF(H37="","",IF(H37="Otro (mensaje libre)","",IF(H37="Requisitos (Crédito/Contado)",IF(OR(F37="",G37=""),"Indica primero el Método de Compra y el Tipo de Persona del cliente en la pestaña Clientes.",_xlfn.SWITCH($F37&amp;"|"&amp;$G37,"Crédito|Persona física","Hola, "&amp;$B37&amp;", para continuar con el proceso de tu *"&amp;$D37&amp;"* por "&amp;$F37&amp;",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"&amp;$B37&amp;", para continuar con el proceso de tu *"&amp;$D37&amp;"* por "&amp;$F37&amp;",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"&amp;$B37&amp;", para continuar con el proceso de tu *"&amp;$D37&amp;"* por "&amp;$F37&amp;",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"&amp;$B37&amp;", para continuar con el proceso de tu *"&amp;$D37&amp;"* por "&amp;$F37&amp;", estos son los documentos que necesitamos:"&amp;CHAR(10)&amp;CHAR(10)&amp;"- INE"&amp;CHAR(10)&amp;"- Comprobante de domicilio"&amp;CHAR(10)&amp;"- Constancia de situación fiscal (no mayor a 3 meses)","Contado|Persona física con actividad empresarial","Hola, "&amp;$B37&amp;", para continuar con el proceso de tu *"&amp;$D37&amp;"* por "&amp;$F37&amp;", estos son los documentos que necesitamos:"&amp;CHAR(10)&amp;CHAR(10)&amp;"- INE"&amp;CHAR(10)&amp;"- Comprobante de domicilio"&amp;CHAR(10)&amp;"- Constancia de situación fiscal (no mayor a 3 meses)","Contado|Persona moral","Hola, "&amp;$B37&amp;", para continuar con el proceso de tu *"&amp;$D37&amp;"* por "&amp;$F37&amp;",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Clientes.")&amp;CHAR(10)&amp;CHAR(10)&amp;Config!$B$1),IF(D37="","",SUBSTITUTE(SUBSTITUTE(INDEX('Catálogo Mensajes'!$D:$J,MATCH($D37,'Catálogo Mensajes'!$B:$B,0),MATCH($H37,'Catálogo Mensajes'!$D$4:$J$4,0)),"{NOMBRE}",$B37),"{PROMO}",'Catálogo Mensajes'!$C$2)&amp;CHAR(10)&amp;CHAR(10)&amp;Config!$B$1))))),"")</f>
        <v/>
      </c>
      <c r="P37" s="13">
        <f>IF(OR(O37="",C37=""),"",HYPERLINK("https://wa.me/52"&amp;C37&amp;"?text="&amp;_xlfn.ENCODEURL(O37),"Enviar mensaje"))</f>
        <v/>
      </c>
      <c r="Q37" s="13">
        <f>IF(OR(I37="",L37="Realizado",L37="Cancelado"),"",SUMPRODUCT(($I$2:$I$151&lt;I37)*($I$2:$I$151&gt;=DATE(Calendario!$C$3,Calendario!$C$2,1))*($I$2:$I$151&lt;DATE(Calendario!$C$3,Calendario!$C$2+1,1))*($L$2:$L$151&lt;&gt;"Realizado")*($L$2:$L$151&lt;&gt;"Cancelado"))+SUMPRODUCT(($I$2:$I$151=I37)*(ROW($I$2:$I$151)&lt;=ROW())*($I$2:$I$151&gt;=DATE(Calendario!$C$3,Calendario!$C$2,1))*($I$2:$I$151&lt;DATE(Calendario!$C$3,Calendario!$C$2+1,1))*($L$2:$L$151&lt;&gt;"Realizado")*($L$2:$L$151&lt;&gt;"Cancelado")))</f>
        <v/>
      </c>
    </row>
    <row r="38" ht="15" customHeight="1" s="1">
      <c r="A38" s="13">
        <f>IF(B38="","",ROW()-1)</f>
        <v/>
      </c>
      <c r="B38" s="14" t="n"/>
      <c r="C38" s="13">
        <f>IFERROR(INDEX(Clientes!$C:$C,MATCH(B38,Clientes!$B:$B,0)),"")</f>
        <v/>
      </c>
      <c r="D38" s="14">
        <f>IFERROR(INDEX(Clientes!$D:$D,MATCH(B38,Clientes!$B:$B,0)),"")</f>
        <v/>
      </c>
      <c r="E38" s="14">
        <f>IFERROR(INDEX(Clientes!$M:$M,MATCH(B38,Clientes!$B:$B,0)),"")</f>
        <v/>
      </c>
      <c r="F38" s="14">
        <f>IFERROR(INDEX(Clientes!$F:$F,MATCH(B38,Clientes!$B:$B,0)),"")</f>
        <v/>
      </c>
      <c r="G38" s="14">
        <f>IFERROR(INDEX(Clientes!$G:$G,MATCH(B38,Clientes!$B:$B,0)),"")</f>
        <v/>
      </c>
      <c r="H38" s="14" t="n"/>
      <c r="I38" s="15" t="n"/>
      <c r="J38" s="16" t="n"/>
      <c r="K38" s="14" t="n"/>
      <c r="L38" s="14" t="n"/>
      <c r="M38" s="13">
        <f>IF(I38="","",I38-TODAY())</f>
        <v/>
      </c>
      <c r="N38" s="14" t="n"/>
      <c r="O38" s="14">
        <f>IFERROR(IF(B38="","",IF(H38="","",IF(H38="Otro (mensaje libre)","",IF(H38="Requisitos (Crédito/Contado)",IF(OR(F38="",G38=""),"Indica primero el Método de Compra y el Tipo de Persona del cliente en la pestaña Clientes.",_xlfn.SWITCH($F38&amp;"|"&amp;$G38,"Crédito|Persona física","Hola, "&amp;$B38&amp;", para continuar con el proceso de tu *"&amp;$D38&amp;"* por "&amp;$F38&amp;",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"&amp;$B38&amp;", para continuar con el proceso de tu *"&amp;$D38&amp;"* por "&amp;$F38&amp;",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"&amp;$B38&amp;", para continuar con el proceso de tu *"&amp;$D38&amp;"* por "&amp;$F38&amp;",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"&amp;$B38&amp;", para continuar con el proceso de tu *"&amp;$D38&amp;"* por "&amp;$F38&amp;", estos son los documentos que necesitamos:"&amp;CHAR(10)&amp;CHAR(10)&amp;"- INE"&amp;CHAR(10)&amp;"- Comprobante de domicilio"&amp;CHAR(10)&amp;"- Constancia de situación fiscal (no mayor a 3 meses)","Contado|Persona física con actividad empresarial","Hola, "&amp;$B38&amp;", para continuar con el proceso de tu *"&amp;$D38&amp;"* por "&amp;$F38&amp;", estos son los documentos que necesitamos:"&amp;CHAR(10)&amp;CHAR(10)&amp;"- INE"&amp;CHAR(10)&amp;"- Comprobante de domicilio"&amp;CHAR(10)&amp;"- Constancia de situación fiscal (no mayor a 3 meses)","Contado|Persona moral","Hola, "&amp;$B38&amp;", para continuar con el proceso de tu *"&amp;$D38&amp;"* por "&amp;$F38&amp;",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Clientes.")&amp;CHAR(10)&amp;CHAR(10)&amp;Config!$B$1),IF(D38="","",SUBSTITUTE(SUBSTITUTE(INDEX('Catálogo Mensajes'!$D:$J,MATCH($D38,'Catálogo Mensajes'!$B:$B,0),MATCH($H38,'Catálogo Mensajes'!$D$4:$J$4,0)),"{NOMBRE}",$B38),"{PROMO}",'Catálogo Mensajes'!$C$2)&amp;CHAR(10)&amp;CHAR(10)&amp;Config!$B$1))))),"")</f>
        <v/>
      </c>
      <c r="P38" s="13">
        <f>IF(OR(O38="",C38=""),"",HYPERLINK("https://wa.me/52"&amp;C38&amp;"?text="&amp;_xlfn.ENCODEURL(O38),"Enviar mensaje"))</f>
        <v/>
      </c>
      <c r="Q38" s="13">
        <f>IF(OR(I38="",L38="Realizado",L38="Cancelado"),"",SUMPRODUCT(($I$2:$I$151&lt;I38)*($I$2:$I$151&gt;=DATE(Calendario!$C$3,Calendario!$C$2,1))*($I$2:$I$151&lt;DATE(Calendario!$C$3,Calendario!$C$2+1,1))*($L$2:$L$151&lt;&gt;"Realizado")*($L$2:$L$151&lt;&gt;"Cancelado"))+SUMPRODUCT(($I$2:$I$151=I38)*(ROW($I$2:$I$151)&lt;=ROW())*($I$2:$I$151&gt;=DATE(Calendario!$C$3,Calendario!$C$2,1))*($I$2:$I$151&lt;DATE(Calendario!$C$3,Calendario!$C$2+1,1))*($L$2:$L$151&lt;&gt;"Realizado")*($L$2:$L$151&lt;&gt;"Cancelado")))</f>
        <v/>
      </c>
    </row>
    <row r="39" ht="15" customHeight="1" s="1">
      <c r="A39" s="13">
        <f>IF(B39="","",ROW()-1)</f>
        <v/>
      </c>
      <c r="B39" s="14" t="n"/>
      <c r="C39" s="13">
        <f>IFERROR(INDEX(Clientes!$C:$C,MATCH(B39,Clientes!$B:$B,0)),"")</f>
        <v/>
      </c>
      <c r="D39" s="14">
        <f>IFERROR(INDEX(Clientes!$D:$D,MATCH(B39,Clientes!$B:$B,0)),"")</f>
        <v/>
      </c>
      <c r="E39" s="14">
        <f>IFERROR(INDEX(Clientes!$M:$M,MATCH(B39,Clientes!$B:$B,0)),"")</f>
        <v/>
      </c>
      <c r="F39" s="14">
        <f>IFERROR(INDEX(Clientes!$F:$F,MATCH(B39,Clientes!$B:$B,0)),"")</f>
        <v/>
      </c>
      <c r="G39" s="14">
        <f>IFERROR(INDEX(Clientes!$G:$G,MATCH(B39,Clientes!$B:$B,0)),"")</f>
        <v/>
      </c>
      <c r="H39" s="14" t="n"/>
      <c r="I39" s="15" t="n"/>
      <c r="J39" s="16" t="n"/>
      <c r="K39" s="14" t="n"/>
      <c r="L39" s="14" t="n"/>
      <c r="M39" s="13">
        <f>IF(I39="","",I39-TODAY())</f>
        <v/>
      </c>
      <c r="N39" s="14" t="n"/>
      <c r="O39" s="14">
        <f>IFERROR(IF(B39="","",IF(H39="","",IF(H39="Otro (mensaje libre)","",IF(H39="Requisitos (Crédito/Contado)",IF(OR(F39="",G39=""),"Indica primero el Método de Compra y el Tipo de Persona del cliente en la pestaña Clientes.",_xlfn.SWITCH($F39&amp;"|"&amp;$G39,"Crédito|Persona física","Hola, "&amp;$B39&amp;", para continuar con el proceso de tu *"&amp;$D39&amp;"* por "&amp;$F39&amp;",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"&amp;$B39&amp;", para continuar con el proceso de tu *"&amp;$D39&amp;"* por "&amp;$F39&amp;",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"&amp;$B39&amp;", para continuar con el proceso de tu *"&amp;$D39&amp;"* por "&amp;$F39&amp;",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"&amp;$B39&amp;", para continuar con el proceso de tu *"&amp;$D39&amp;"* por "&amp;$F39&amp;", estos son los documentos que necesitamos:"&amp;CHAR(10)&amp;CHAR(10)&amp;"- INE"&amp;CHAR(10)&amp;"- Comprobante de domicilio"&amp;CHAR(10)&amp;"- Constancia de situación fiscal (no mayor a 3 meses)","Contado|Persona física con actividad empresarial","Hola, "&amp;$B39&amp;", para continuar con el proceso de tu *"&amp;$D39&amp;"* por "&amp;$F39&amp;", estos son los documentos que necesitamos:"&amp;CHAR(10)&amp;CHAR(10)&amp;"- INE"&amp;CHAR(10)&amp;"- Comprobante de domicilio"&amp;CHAR(10)&amp;"- Constancia de situación fiscal (no mayor a 3 meses)","Contado|Persona moral","Hola, "&amp;$B39&amp;", para continuar con el proceso de tu *"&amp;$D39&amp;"* por "&amp;$F39&amp;",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Clientes.")&amp;CHAR(10)&amp;CHAR(10)&amp;Config!$B$1),IF(D39="","",SUBSTITUTE(SUBSTITUTE(INDEX('Catálogo Mensajes'!$D:$J,MATCH($D39,'Catálogo Mensajes'!$B:$B,0),MATCH($H39,'Catálogo Mensajes'!$D$4:$J$4,0)),"{NOMBRE}",$B39),"{PROMO}",'Catálogo Mensajes'!$C$2)&amp;CHAR(10)&amp;CHAR(10)&amp;Config!$B$1))))),"")</f>
        <v/>
      </c>
      <c r="P39" s="13">
        <f>IF(OR(O39="",C39=""),"",HYPERLINK("https://wa.me/52"&amp;C39&amp;"?text="&amp;_xlfn.ENCODEURL(O39),"Enviar mensaje"))</f>
        <v/>
      </c>
      <c r="Q39" s="13">
        <f>IF(OR(I39="",L39="Realizado",L39="Cancelado"),"",SUMPRODUCT(($I$2:$I$151&lt;I39)*($I$2:$I$151&gt;=DATE(Calendario!$C$3,Calendario!$C$2,1))*($I$2:$I$151&lt;DATE(Calendario!$C$3,Calendario!$C$2+1,1))*($L$2:$L$151&lt;&gt;"Realizado")*($L$2:$L$151&lt;&gt;"Cancelado"))+SUMPRODUCT(($I$2:$I$151=I39)*(ROW($I$2:$I$151)&lt;=ROW())*($I$2:$I$151&gt;=DATE(Calendario!$C$3,Calendario!$C$2,1))*($I$2:$I$151&lt;DATE(Calendario!$C$3,Calendario!$C$2+1,1))*($L$2:$L$151&lt;&gt;"Realizado")*($L$2:$L$151&lt;&gt;"Cancelado")))</f>
        <v/>
      </c>
    </row>
    <row r="40" ht="15" customHeight="1" s="1">
      <c r="A40" s="13">
        <f>IF(B40="","",ROW()-1)</f>
        <v/>
      </c>
      <c r="B40" s="14" t="n"/>
      <c r="C40" s="13">
        <f>IFERROR(INDEX(Clientes!$C:$C,MATCH(B40,Clientes!$B:$B,0)),"")</f>
        <v/>
      </c>
      <c r="D40" s="14">
        <f>IFERROR(INDEX(Clientes!$D:$D,MATCH(B40,Clientes!$B:$B,0)),"")</f>
        <v/>
      </c>
      <c r="E40" s="14">
        <f>IFERROR(INDEX(Clientes!$M:$M,MATCH(B40,Clientes!$B:$B,0)),"")</f>
        <v/>
      </c>
      <c r="F40" s="14">
        <f>IFERROR(INDEX(Clientes!$F:$F,MATCH(B40,Clientes!$B:$B,0)),"")</f>
        <v/>
      </c>
      <c r="G40" s="14">
        <f>IFERROR(INDEX(Clientes!$G:$G,MATCH(B40,Clientes!$B:$B,0)),"")</f>
        <v/>
      </c>
      <c r="H40" s="14" t="n"/>
      <c r="I40" s="15" t="n"/>
      <c r="J40" s="16" t="n"/>
      <c r="K40" s="14" t="n"/>
      <c r="L40" s="14" t="n"/>
      <c r="M40" s="13">
        <f>IF(I40="","",I40-TODAY())</f>
        <v/>
      </c>
      <c r="N40" s="14" t="n"/>
      <c r="O40" s="14">
        <f>IFERROR(IF(B40="","",IF(H40="","",IF(H40="Otro (mensaje libre)","",IF(H40="Requisitos (Crédito/Contado)",IF(OR(F40="",G40=""),"Indica primero el Método de Compra y el Tipo de Persona del cliente en la pestaña Clientes.",_xlfn.SWITCH($F40&amp;"|"&amp;$G40,"Crédito|Persona física","Hola, "&amp;$B40&amp;", para continuar con el proceso de tu *"&amp;$D40&amp;"* por "&amp;$F40&amp;",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"&amp;$B40&amp;", para continuar con el proceso de tu *"&amp;$D40&amp;"* por "&amp;$F40&amp;",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"&amp;$B40&amp;", para continuar con el proceso de tu *"&amp;$D40&amp;"* por "&amp;$F40&amp;",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"&amp;$B40&amp;", para continuar con el proceso de tu *"&amp;$D40&amp;"* por "&amp;$F40&amp;", estos son los documentos que necesitamos:"&amp;CHAR(10)&amp;CHAR(10)&amp;"- INE"&amp;CHAR(10)&amp;"- Comprobante de domicilio"&amp;CHAR(10)&amp;"- Constancia de situación fiscal (no mayor a 3 meses)","Contado|Persona física con actividad empresarial","Hola, "&amp;$B40&amp;", para continuar con el proceso de tu *"&amp;$D40&amp;"* por "&amp;$F40&amp;", estos son los documentos que necesitamos:"&amp;CHAR(10)&amp;CHAR(10)&amp;"- INE"&amp;CHAR(10)&amp;"- Comprobante de domicilio"&amp;CHAR(10)&amp;"- Constancia de situación fiscal (no mayor a 3 meses)","Contado|Persona moral","Hola, "&amp;$B40&amp;", para continuar con el proceso de tu *"&amp;$D40&amp;"* por "&amp;$F40&amp;",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Clientes.")&amp;CHAR(10)&amp;CHAR(10)&amp;Config!$B$1),IF(D40="","",SUBSTITUTE(SUBSTITUTE(INDEX('Catálogo Mensajes'!$D:$J,MATCH($D40,'Catálogo Mensajes'!$B:$B,0),MATCH($H40,'Catálogo Mensajes'!$D$4:$J$4,0)),"{NOMBRE}",$B40),"{PROMO}",'Catálogo Mensajes'!$C$2)&amp;CHAR(10)&amp;CHAR(10)&amp;Config!$B$1))))),"")</f>
        <v/>
      </c>
      <c r="P40" s="13">
        <f>IF(OR(O40="",C40=""),"",HYPERLINK("https://wa.me/52"&amp;C40&amp;"?text="&amp;_xlfn.ENCODEURL(O40),"Enviar mensaje"))</f>
        <v/>
      </c>
      <c r="Q40" s="13">
        <f>IF(OR(I40="",L40="Realizado",L40="Cancelado"),"",SUMPRODUCT(($I$2:$I$151&lt;I40)*($I$2:$I$151&gt;=DATE(Calendario!$C$3,Calendario!$C$2,1))*($I$2:$I$151&lt;DATE(Calendario!$C$3,Calendario!$C$2+1,1))*($L$2:$L$151&lt;&gt;"Realizado")*($L$2:$L$151&lt;&gt;"Cancelado"))+SUMPRODUCT(($I$2:$I$151=I40)*(ROW($I$2:$I$151)&lt;=ROW())*($I$2:$I$151&gt;=DATE(Calendario!$C$3,Calendario!$C$2,1))*($I$2:$I$151&lt;DATE(Calendario!$C$3,Calendario!$C$2+1,1))*($L$2:$L$151&lt;&gt;"Realizado")*($L$2:$L$151&lt;&gt;"Cancelado")))</f>
        <v/>
      </c>
    </row>
    <row r="41" ht="15" customHeight="1" s="1">
      <c r="A41" s="13">
        <f>IF(B41="","",ROW()-1)</f>
        <v/>
      </c>
      <c r="B41" s="14" t="n"/>
      <c r="C41" s="13">
        <f>IFERROR(INDEX(Clientes!$C:$C,MATCH(B41,Clientes!$B:$B,0)),"")</f>
        <v/>
      </c>
      <c r="D41" s="14">
        <f>IFERROR(INDEX(Clientes!$D:$D,MATCH(B41,Clientes!$B:$B,0)),"")</f>
        <v/>
      </c>
      <c r="E41" s="14">
        <f>IFERROR(INDEX(Clientes!$M:$M,MATCH(B41,Clientes!$B:$B,0)),"")</f>
        <v/>
      </c>
      <c r="F41" s="14">
        <f>IFERROR(INDEX(Clientes!$F:$F,MATCH(B41,Clientes!$B:$B,0)),"")</f>
        <v/>
      </c>
      <c r="G41" s="14">
        <f>IFERROR(INDEX(Clientes!$G:$G,MATCH(B41,Clientes!$B:$B,0)),"")</f>
        <v/>
      </c>
      <c r="H41" s="14" t="n"/>
      <c r="I41" s="15" t="n"/>
      <c r="J41" s="16" t="n"/>
      <c r="K41" s="14" t="n"/>
      <c r="L41" s="14" t="n"/>
      <c r="M41" s="13">
        <f>IF(I41="","",I41-TODAY())</f>
        <v/>
      </c>
      <c r="N41" s="14" t="n"/>
      <c r="O41" s="14">
        <f>IFERROR(IF(B41="","",IF(H41="","",IF(H41="Otro (mensaje libre)","",IF(H41="Requisitos (Crédito/Contado)",IF(OR(F41="",G41=""),"Indica primero el Método de Compra y el Tipo de Persona del cliente en la pestaña Clientes.",_xlfn.SWITCH($F41&amp;"|"&amp;$G41,"Crédito|Persona física","Hola, "&amp;$B41&amp;", para continuar con el proceso de tu *"&amp;$D41&amp;"* por "&amp;$F41&amp;",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"&amp;$B41&amp;", para continuar con el proceso de tu *"&amp;$D41&amp;"* por "&amp;$F41&amp;",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"&amp;$B41&amp;", para continuar con el proceso de tu *"&amp;$D41&amp;"* por "&amp;$F41&amp;",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"&amp;$B41&amp;", para continuar con el proceso de tu *"&amp;$D41&amp;"* por "&amp;$F41&amp;", estos son los documentos que necesitamos:"&amp;CHAR(10)&amp;CHAR(10)&amp;"- INE"&amp;CHAR(10)&amp;"- Comprobante de domicilio"&amp;CHAR(10)&amp;"- Constancia de situación fiscal (no mayor a 3 meses)","Contado|Persona física con actividad empresarial","Hola, "&amp;$B41&amp;", para continuar con el proceso de tu *"&amp;$D41&amp;"* por "&amp;$F41&amp;", estos son los documentos que necesitamos:"&amp;CHAR(10)&amp;CHAR(10)&amp;"- INE"&amp;CHAR(10)&amp;"- Comprobante de domicilio"&amp;CHAR(10)&amp;"- Constancia de situación fiscal (no mayor a 3 meses)","Contado|Persona moral","Hola, "&amp;$B41&amp;", para continuar con el proceso de tu *"&amp;$D41&amp;"* por "&amp;$F41&amp;",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Clientes.")&amp;CHAR(10)&amp;CHAR(10)&amp;Config!$B$1),IF(D41="","",SUBSTITUTE(SUBSTITUTE(INDEX('Catálogo Mensajes'!$D:$J,MATCH($D41,'Catálogo Mensajes'!$B:$B,0),MATCH($H41,'Catálogo Mensajes'!$D$4:$J$4,0)),"{NOMBRE}",$B41),"{PROMO}",'Catálogo Mensajes'!$C$2)&amp;CHAR(10)&amp;CHAR(10)&amp;Config!$B$1))))),"")</f>
        <v/>
      </c>
      <c r="P41" s="13">
        <f>IF(OR(O41="",C41=""),"",HYPERLINK("https://wa.me/52"&amp;C41&amp;"?text="&amp;_xlfn.ENCODEURL(O41),"Enviar mensaje"))</f>
        <v/>
      </c>
      <c r="Q41" s="13">
        <f>IF(OR(I41="",L41="Realizado",L41="Cancelado"),"",SUMPRODUCT(($I$2:$I$151&lt;I41)*($I$2:$I$151&gt;=DATE(Calendario!$C$3,Calendario!$C$2,1))*($I$2:$I$151&lt;DATE(Calendario!$C$3,Calendario!$C$2+1,1))*($L$2:$L$151&lt;&gt;"Realizado")*($L$2:$L$151&lt;&gt;"Cancelado"))+SUMPRODUCT(($I$2:$I$151=I41)*(ROW($I$2:$I$151)&lt;=ROW())*($I$2:$I$151&gt;=DATE(Calendario!$C$3,Calendario!$C$2,1))*($I$2:$I$151&lt;DATE(Calendario!$C$3,Calendario!$C$2+1,1))*($L$2:$L$151&lt;&gt;"Realizado")*($L$2:$L$151&lt;&gt;"Cancelado")))</f>
        <v/>
      </c>
    </row>
    <row r="42" ht="15" customHeight="1" s="1">
      <c r="A42" s="13">
        <f>IF(B42="","",ROW()-1)</f>
        <v/>
      </c>
      <c r="B42" s="14" t="n"/>
      <c r="C42" s="13">
        <f>IFERROR(INDEX(Clientes!$C:$C,MATCH(B42,Clientes!$B:$B,0)),"")</f>
        <v/>
      </c>
      <c r="D42" s="14">
        <f>IFERROR(INDEX(Clientes!$D:$D,MATCH(B42,Clientes!$B:$B,0)),"")</f>
        <v/>
      </c>
      <c r="E42" s="14">
        <f>IFERROR(INDEX(Clientes!$M:$M,MATCH(B42,Clientes!$B:$B,0)),"")</f>
        <v/>
      </c>
      <c r="F42" s="14">
        <f>IFERROR(INDEX(Clientes!$F:$F,MATCH(B42,Clientes!$B:$B,0)),"")</f>
        <v/>
      </c>
      <c r="G42" s="14">
        <f>IFERROR(INDEX(Clientes!$G:$G,MATCH(B42,Clientes!$B:$B,0)),"")</f>
        <v/>
      </c>
      <c r="H42" s="14" t="n"/>
      <c r="I42" s="15" t="n"/>
      <c r="J42" s="16" t="n"/>
      <c r="K42" s="14" t="n"/>
      <c r="L42" s="14" t="n"/>
      <c r="M42" s="13">
        <f>IF(I42="","",I42-TODAY())</f>
        <v/>
      </c>
      <c r="N42" s="14" t="n"/>
      <c r="O42" s="14">
        <f>IFERROR(IF(B42="","",IF(H42="","",IF(H42="Otro (mensaje libre)","",IF(H42="Requisitos (Crédito/Contado)",IF(OR(F42="",G42=""),"Indica primero el Método de Compra y el Tipo de Persona del cliente en la pestaña Clientes.",_xlfn.SWITCH($F42&amp;"|"&amp;$G42,"Crédito|Persona física","Hola, "&amp;$B42&amp;", para continuar con el proceso de tu *"&amp;$D42&amp;"* por "&amp;$F42&amp;",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"&amp;$B42&amp;", para continuar con el proceso de tu *"&amp;$D42&amp;"* por "&amp;$F42&amp;",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"&amp;$B42&amp;", para continuar con el proceso de tu *"&amp;$D42&amp;"* por "&amp;$F42&amp;",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"&amp;$B42&amp;", para continuar con el proceso de tu *"&amp;$D42&amp;"* por "&amp;$F42&amp;", estos son los documentos que necesitamos:"&amp;CHAR(10)&amp;CHAR(10)&amp;"- INE"&amp;CHAR(10)&amp;"- Comprobante de domicilio"&amp;CHAR(10)&amp;"- Constancia de situación fiscal (no mayor a 3 meses)","Contado|Persona física con actividad empresarial","Hola, "&amp;$B42&amp;", para continuar con el proceso de tu *"&amp;$D42&amp;"* por "&amp;$F42&amp;", estos son los documentos que necesitamos:"&amp;CHAR(10)&amp;CHAR(10)&amp;"- INE"&amp;CHAR(10)&amp;"- Comprobante de domicilio"&amp;CHAR(10)&amp;"- Constancia de situación fiscal (no mayor a 3 meses)","Contado|Persona moral","Hola, "&amp;$B42&amp;", para continuar con el proceso de tu *"&amp;$D42&amp;"* por "&amp;$F42&amp;",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Clientes.")&amp;CHAR(10)&amp;CHAR(10)&amp;Config!$B$1),IF(D42="","",SUBSTITUTE(SUBSTITUTE(INDEX('Catálogo Mensajes'!$D:$J,MATCH($D42,'Catálogo Mensajes'!$B:$B,0),MATCH($H42,'Catálogo Mensajes'!$D$4:$J$4,0)),"{NOMBRE}",$B42),"{PROMO}",'Catálogo Mensajes'!$C$2)&amp;CHAR(10)&amp;CHAR(10)&amp;Config!$B$1))))),"")</f>
        <v/>
      </c>
      <c r="P42" s="13">
        <f>IF(OR(O42="",C42=""),"",HYPERLINK("https://wa.me/52"&amp;C42&amp;"?text="&amp;_xlfn.ENCODEURL(O42),"Enviar mensaje"))</f>
        <v/>
      </c>
      <c r="Q42" s="13">
        <f>IF(OR(I42="",L42="Realizado",L42="Cancelado"),"",SUMPRODUCT(($I$2:$I$151&lt;I42)*($I$2:$I$151&gt;=DATE(Calendario!$C$3,Calendario!$C$2,1))*($I$2:$I$151&lt;DATE(Calendario!$C$3,Calendario!$C$2+1,1))*($L$2:$L$151&lt;&gt;"Realizado")*($L$2:$L$151&lt;&gt;"Cancelado"))+SUMPRODUCT(($I$2:$I$151=I42)*(ROW($I$2:$I$151)&lt;=ROW())*($I$2:$I$151&gt;=DATE(Calendario!$C$3,Calendario!$C$2,1))*($I$2:$I$151&lt;DATE(Calendario!$C$3,Calendario!$C$2+1,1))*($L$2:$L$151&lt;&gt;"Realizado")*($L$2:$L$151&lt;&gt;"Cancelado")))</f>
        <v/>
      </c>
    </row>
    <row r="43" ht="15" customHeight="1" s="1">
      <c r="A43" s="13">
        <f>IF(B43="","",ROW()-1)</f>
        <v/>
      </c>
      <c r="B43" s="14" t="n"/>
      <c r="C43" s="13">
        <f>IFERROR(INDEX(Clientes!$C:$C,MATCH(B43,Clientes!$B:$B,0)),"")</f>
        <v/>
      </c>
      <c r="D43" s="14">
        <f>IFERROR(INDEX(Clientes!$D:$D,MATCH(B43,Clientes!$B:$B,0)),"")</f>
        <v/>
      </c>
      <c r="E43" s="14">
        <f>IFERROR(INDEX(Clientes!$M:$M,MATCH(B43,Clientes!$B:$B,0)),"")</f>
        <v/>
      </c>
      <c r="F43" s="14">
        <f>IFERROR(INDEX(Clientes!$F:$F,MATCH(B43,Clientes!$B:$B,0)),"")</f>
        <v/>
      </c>
      <c r="G43" s="14">
        <f>IFERROR(INDEX(Clientes!$G:$G,MATCH(B43,Clientes!$B:$B,0)),"")</f>
        <v/>
      </c>
      <c r="H43" s="14" t="n"/>
      <c r="I43" s="15" t="n"/>
      <c r="J43" s="16" t="n"/>
      <c r="K43" s="14" t="n"/>
      <c r="L43" s="14" t="n"/>
      <c r="M43" s="13">
        <f>IF(I43="","",I43-TODAY())</f>
        <v/>
      </c>
      <c r="N43" s="14" t="n"/>
      <c r="O43" s="14">
        <f>IFERROR(IF(B43="","",IF(H43="","",IF(H43="Otro (mensaje libre)","",IF(H43="Requisitos (Crédito/Contado)",IF(OR(F43="",G43=""),"Indica primero el Método de Compra y el Tipo de Persona del cliente en la pestaña Clientes.",_xlfn.SWITCH($F43&amp;"|"&amp;$G43,"Crédito|Persona física","Hola, "&amp;$B43&amp;", para continuar con el proceso de tu *"&amp;$D43&amp;"* por "&amp;$F43&amp;",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"&amp;$B43&amp;", para continuar con el proceso de tu *"&amp;$D43&amp;"* por "&amp;$F43&amp;",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"&amp;$B43&amp;", para continuar con el proceso de tu *"&amp;$D43&amp;"* por "&amp;$F43&amp;",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"&amp;$B43&amp;", para continuar con el proceso de tu *"&amp;$D43&amp;"* por "&amp;$F43&amp;", estos son los documentos que necesitamos:"&amp;CHAR(10)&amp;CHAR(10)&amp;"- INE"&amp;CHAR(10)&amp;"- Comprobante de domicilio"&amp;CHAR(10)&amp;"- Constancia de situación fiscal (no mayor a 3 meses)","Contado|Persona física con actividad empresarial","Hola, "&amp;$B43&amp;", para continuar con el proceso de tu *"&amp;$D43&amp;"* por "&amp;$F43&amp;", estos son los documentos que necesitamos:"&amp;CHAR(10)&amp;CHAR(10)&amp;"- INE"&amp;CHAR(10)&amp;"- Comprobante de domicilio"&amp;CHAR(10)&amp;"- Constancia de situación fiscal (no mayor a 3 meses)","Contado|Persona moral","Hola, "&amp;$B43&amp;", para continuar con el proceso de tu *"&amp;$D43&amp;"* por "&amp;$F43&amp;",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Clientes.")&amp;CHAR(10)&amp;CHAR(10)&amp;Config!$B$1),IF(D43="","",SUBSTITUTE(SUBSTITUTE(INDEX('Catálogo Mensajes'!$D:$J,MATCH($D43,'Catálogo Mensajes'!$B:$B,0),MATCH($H43,'Catálogo Mensajes'!$D$4:$J$4,0)),"{NOMBRE}",$B43),"{PROMO}",'Catálogo Mensajes'!$C$2)&amp;CHAR(10)&amp;CHAR(10)&amp;Config!$B$1))))),"")</f>
        <v/>
      </c>
      <c r="P43" s="13">
        <f>IF(OR(O43="",C43=""),"",HYPERLINK("https://wa.me/52"&amp;C43&amp;"?text="&amp;_xlfn.ENCODEURL(O43),"Enviar mensaje"))</f>
        <v/>
      </c>
      <c r="Q43" s="13">
        <f>IF(OR(I43="",L43="Realizado",L43="Cancelado"),"",SUMPRODUCT(($I$2:$I$151&lt;I43)*($I$2:$I$151&gt;=DATE(Calendario!$C$3,Calendario!$C$2,1))*($I$2:$I$151&lt;DATE(Calendario!$C$3,Calendario!$C$2+1,1))*($L$2:$L$151&lt;&gt;"Realizado")*($L$2:$L$151&lt;&gt;"Cancelado"))+SUMPRODUCT(($I$2:$I$151=I43)*(ROW($I$2:$I$151)&lt;=ROW())*($I$2:$I$151&gt;=DATE(Calendario!$C$3,Calendario!$C$2,1))*($I$2:$I$151&lt;DATE(Calendario!$C$3,Calendario!$C$2+1,1))*($L$2:$L$151&lt;&gt;"Realizado")*($L$2:$L$151&lt;&gt;"Cancelado")))</f>
        <v/>
      </c>
    </row>
    <row r="44" ht="15" customHeight="1" s="1">
      <c r="A44" s="13">
        <f>IF(B44="","",ROW()-1)</f>
        <v/>
      </c>
      <c r="B44" s="14" t="n"/>
      <c r="C44" s="13">
        <f>IFERROR(INDEX(Clientes!$C:$C,MATCH(B44,Clientes!$B:$B,0)),"")</f>
        <v/>
      </c>
      <c r="D44" s="14">
        <f>IFERROR(INDEX(Clientes!$D:$D,MATCH(B44,Clientes!$B:$B,0)),"")</f>
        <v/>
      </c>
      <c r="E44" s="14">
        <f>IFERROR(INDEX(Clientes!$M:$M,MATCH(B44,Clientes!$B:$B,0)),"")</f>
        <v/>
      </c>
      <c r="F44" s="14">
        <f>IFERROR(INDEX(Clientes!$F:$F,MATCH(B44,Clientes!$B:$B,0)),"")</f>
        <v/>
      </c>
      <c r="G44" s="14">
        <f>IFERROR(INDEX(Clientes!$G:$G,MATCH(B44,Clientes!$B:$B,0)),"")</f>
        <v/>
      </c>
      <c r="H44" s="14" t="n"/>
      <c r="I44" s="15" t="n"/>
      <c r="J44" s="16" t="n"/>
      <c r="K44" s="14" t="n"/>
      <c r="L44" s="14" t="n"/>
      <c r="M44" s="13">
        <f>IF(I44="","",I44-TODAY())</f>
        <v/>
      </c>
      <c r="N44" s="14" t="n"/>
      <c r="O44" s="14">
        <f>IFERROR(IF(B44="","",IF(H44="","",IF(H44="Otro (mensaje libre)","",IF(H44="Requisitos (Crédito/Contado)",IF(OR(F44="",G44=""),"Indica primero el Método de Compra y el Tipo de Persona del cliente en la pestaña Clientes.",_xlfn.SWITCH($F44&amp;"|"&amp;$G44,"Crédito|Persona física","Hola, "&amp;$B44&amp;", para continuar con el proceso de tu *"&amp;$D44&amp;"* por "&amp;$F44&amp;",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"&amp;$B44&amp;", para continuar con el proceso de tu *"&amp;$D44&amp;"* por "&amp;$F44&amp;",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"&amp;$B44&amp;", para continuar con el proceso de tu *"&amp;$D44&amp;"* por "&amp;$F44&amp;",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"&amp;$B44&amp;", para continuar con el proceso de tu *"&amp;$D44&amp;"* por "&amp;$F44&amp;", estos son los documentos que necesitamos:"&amp;CHAR(10)&amp;CHAR(10)&amp;"- INE"&amp;CHAR(10)&amp;"- Comprobante de domicilio"&amp;CHAR(10)&amp;"- Constancia de situación fiscal (no mayor a 3 meses)","Contado|Persona física con actividad empresarial","Hola, "&amp;$B44&amp;", para continuar con el proceso de tu *"&amp;$D44&amp;"* por "&amp;$F44&amp;", estos son los documentos que necesitamos:"&amp;CHAR(10)&amp;CHAR(10)&amp;"- INE"&amp;CHAR(10)&amp;"- Comprobante de domicilio"&amp;CHAR(10)&amp;"- Constancia de situación fiscal (no mayor a 3 meses)","Contado|Persona moral","Hola, "&amp;$B44&amp;", para continuar con el proceso de tu *"&amp;$D44&amp;"* por "&amp;$F44&amp;",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Clientes.")&amp;CHAR(10)&amp;CHAR(10)&amp;Config!$B$1),IF(D44="","",SUBSTITUTE(SUBSTITUTE(INDEX('Catálogo Mensajes'!$D:$J,MATCH($D44,'Catálogo Mensajes'!$B:$B,0),MATCH($H44,'Catálogo Mensajes'!$D$4:$J$4,0)),"{NOMBRE}",$B44),"{PROMO}",'Catálogo Mensajes'!$C$2)&amp;CHAR(10)&amp;CHAR(10)&amp;Config!$B$1))))),"")</f>
        <v/>
      </c>
      <c r="P44" s="13">
        <f>IF(OR(O44="",C44=""),"",HYPERLINK("https://wa.me/52"&amp;C44&amp;"?text="&amp;_xlfn.ENCODEURL(O44),"Enviar mensaje"))</f>
        <v/>
      </c>
      <c r="Q44" s="13">
        <f>IF(OR(I44="",L44="Realizado",L44="Cancelado"),"",SUMPRODUCT(($I$2:$I$151&lt;I44)*($I$2:$I$151&gt;=DATE(Calendario!$C$3,Calendario!$C$2,1))*($I$2:$I$151&lt;DATE(Calendario!$C$3,Calendario!$C$2+1,1))*($L$2:$L$151&lt;&gt;"Realizado")*($L$2:$L$151&lt;&gt;"Cancelado"))+SUMPRODUCT(($I$2:$I$151=I44)*(ROW($I$2:$I$151)&lt;=ROW())*($I$2:$I$151&gt;=DATE(Calendario!$C$3,Calendario!$C$2,1))*($I$2:$I$151&lt;DATE(Calendario!$C$3,Calendario!$C$2+1,1))*($L$2:$L$151&lt;&gt;"Realizado")*($L$2:$L$151&lt;&gt;"Cancelado")))</f>
        <v/>
      </c>
    </row>
    <row r="45" ht="15" customHeight="1" s="1">
      <c r="A45" s="13">
        <f>IF(B45="","",ROW()-1)</f>
        <v/>
      </c>
      <c r="B45" s="14" t="n"/>
      <c r="C45" s="13">
        <f>IFERROR(INDEX(Clientes!$C:$C,MATCH(B45,Clientes!$B:$B,0)),"")</f>
        <v/>
      </c>
      <c r="D45" s="14">
        <f>IFERROR(INDEX(Clientes!$D:$D,MATCH(B45,Clientes!$B:$B,0)),"")</f>
        <v/>
      </c>
      <c r="E45" s="14">
        <f>IFERROR(INDEX(Clientes!$M:$M,MATCH(B45,Clientes!$B:$B,0)),"")</f>
        <v/>
      </c>
      <c r="F45" s="14">
        <f>IFERROR(INDEX(Clientes!$F:$F,MATCH(B45,Clientes!$B:$B,0)),"")</f>
        <v/>
      </c>
      <c r="G45" s="14">
        <f>IFERROR(INDEX(Clientes!$G:$G,MATCH(B45,Clientes!$B:$B,0)),"")</f>
        <v/>
      </c>
      <c r="H45" s="14" t="n"/>
      <c r="I45" s="15" t="n"/>
      <c r="J45" s="16" t="n"/>
      <c r="K45" s="14" t="n"/>
      <c r="L45" s="14" t="n"/>
      <c r="M45" s="13">
        <f>IF(I45="","",I45-TODAY())</f>
        <v/>
      </c>
      <c r="N45" s="14" t="n"/>
      <c r="O45" s="14">
        <f>IFERROR(IF(B45="","",IF(H45="","",IF(H45="Otro (mensaje libre)","",IF(H45="Requisitos (Crédito/Contado)",IF(OR(F45="",G45=""),"Indica primero el Método de Compra y el Tipo de Persona del cliente en la pestaña Clientes.",_xlfn.SWITCH($F45&amp;"|"&amp;$G45,"Crédito|Persona física","Hola, "&amp;$B45&amp;", para continuar con el proceso de tu *"&amp;$D45&amp;"* por "&amp;$F45&amp;",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"&amp;$B45&amp;", para continuar con el proceso de tu *"&amp;$D45&amp;"* por "&amp;$F45&amp;",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"&amp;$B45&amp;", para continuar con el proceso de tu *"&amp;$D45&amp;"* por "&amp;$F45&amp;",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"&amp;$B45&amp;", para continuar con el proceso de tu *"&amp;$D45&amp;"* por "&amp;$F45&amp;", estos son los documentos que necesitamos:"&amp;CHAR(10)&amp;CHAR(10)&amp;"- INE"&amp;CHAR(10)&amp;"- Comprobante de domicilio"&amp;CHAR(10)&amp;"- Constancia de situación fiscal (no mayor a 3 meses)","Contado|Persona física con actividad empresarial","Hola, "&amp;$B45&amp;", para continuar con el proceso de tu *"&amp;$D45&amp;"* por "&amp;$F45&amp;", estos son los documentos que necesitamos:"&amp;CHAR(10)&amp;CHAR(10)&amp;"- INE"&amp;CHAR(10)&amp;"- Comprobante de domicilio"&amp;CHAR(10)&amp;"- Constancia de situación fiscal (no mayor a 3 meses)","Contado|Persona moral","Hola, "&amp;$B45&amp;", para continuar con el proceso de tu *"&amp;$D45&amp;"* por "&amp;$F45&amp;",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Clientes.")&amp;CHAR(10)&amp;CHAR(10)&amp;Config!$B$1),IF(D45="","",SUBSTITUTE(SUBSTITUTE(INDEX('Catálogo Mensajes'!$D:$J,MATCH($D45,'Catálogo Mensajes'!$B:$B,0),MATCH($H45,'Catálogo Mensajes'!$D$4:$J$4,0)),"{NOMBRE}",$B45),"{PROMO}",'Catálogo Mensajes'!$C$2)&amp;CHAR(10)&amp;CHAR(10)&amp;Config!$B$1))))),"")</f>
        <v/>
      </c>
      <c r="P45" s="13">
        <f>IF(OR(O45="",C45=""),"",HYPERLINK("https://wa.me/52"&amp;C45&amp;"?text="&amp;_xlfn.ENCODEURL(O45),"Enviar mensaje"))</f>
        <v/>
      </c>
      <c r="Q45" s="13">
        <f>IF(OR(I45="",L45="Realizado",L45="Cancelado"),"",SUMPRODUCT(($I$2:$I$151&lt;I45)*($I$2:$I$151&gt;=DATE(Calendario!$C$3,Calendario!$C$2,1))*($I$2:$I$151&lt;DATE(Calendario!$C$3,Calendario!$C$2+1,1))*($L$2:$L$151&lt;&gt;"Realizado")*($L$2:$L$151&lt;&gt;"Cancelado"))+SUMPRODUCT(($I$2:$I$151=I45)*(ROW($I$2:$I$151)&lt;=ROW())*($I$2:$I$151&gt;=DATE(Calendario!$C$3,Calendario!$C$2,1))*($I$2:$I$151&lt;DATE(Calendario!$C$3,Calendario!$C$2+1,1))*($L$2:$L$151&lt;&gt;"Realizado")*($L$2:$L$151&lt;&gt;"Cancelado")))</f>
        <v/>
      </c>
    </row>
    <row r="46" ht="15" customHeight="1" s="1">
      <c r="A46" s="13">
        <f>IF(B46="","",ROW()-1)</f>
        <v/>
      </c>
      <c r="B46" s="14" t="n"/>
      <c r="C46" s="13">
        <f>IFERROR(INDEX(Clientes!$C:$C,MATCH(B46,Clientes!$B:$B,0)),"")</f>
        <v/>
      </c>
      <c r="D46" s="14">
        <f>IFERROR(INDEX(Clientes!$D:$D,MATCH(B46,Clientes!$B:$B,0)),"")</f>
        <v/>
      </c>
      <c r="E46" s="14">
        <f>IFERROR(INDEX(Clientes!$M:$M,MATCH(B46,Clientes!$B:$B,0)),"")</f>
        <v/>
      </c>
      <c r="F46" s="14">
        <f>IFERROR(INDEX(Clientes!$F:$F,MATCH(B46,Clientes!$B:$B,0)),"")</f>
        <v/>
      </c>
      <c r="G46" s="14">
        <f>IFERROR(INDEX(Clientes!$G:$G,MATCH(B46,Clientes!$B:$B,0)),"")</f>
        <v/>
      </c>
      <c r="H46" s="14" t="n"/>
      <c r="I46" s="15" t="n"/>
      <c r="J46" s="16" t="n"/>
      <c r="K46" s="14" t="n"/>
      <c r="L46" s="14" t="n"/>
      <c r="M46" s="13">
        <f>IF(I46="","",I46-TODAY())</f>
        <v/>
      </c>
      <c r="N46" s="14" t="n"/>
      <c r="O46" s="14">
        <f>IFERROR(IF(B46="","",IF(H46="","",IF(H46="Otro (mensaje libre)","",IF(H46="Requisitos (Crédito/Contado)",IF(OR(F46="",G46=""),"Indica primero el Método de Compra y el Tipo de Persona del cliente en la pestaña Clientes.",_xlfn.SWITCH($F46&amp;"|"&amp;$G46,"Crédito|Persona física","Hola, "&amp;$B46&amp;", para continuar con el proceso de tu *"&amp;$D46&amp;"* por "&amp;$F46&amp;",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"&amp;$B46&amp;", para continuar con el proceso de tu *"&amp;$D46&amp;"* por "&amp;$F46&amp;",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"&amp;$B46&amp;", para continuar con el proceso de tu *"&amp;$D46&amp;"* por "&amp;$F46&amp;",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"&amp;$B46&amp;", para continuar con el proceso de tu *"&amp;$D46&amp;"* por "&amp;$F46&amp;", estos son los documentos que necesitamos:"&amp;CHAR(10)&amp;CHAR(10)&amp;"- INE"&amp;CHAR(10)&amp;"- Comprobante de domicilio"&amp;CHAR(10)&amp;"- Constancia de situación fiscal (no mayor a 3 meses)","Contado|Persona física con actividad empresarial","Hola, "&amp;$B46&amp;", para continuar con el proceso de tu *"&amp;$D46&amp;"* por "&amp;$F46&amp;", estos son los documentos que necesitamos:"&amp;CHAR(10)&amp;CHAR(10)&amp;"- INE"&amp;CHAR(10)&amp;"- Comprobante de domicilio"&amp;CHAR(10)&amp;"- Constancia de situación fiscal (no mayor a 3 meses)","Contado|Persona moral","Hola, "&amp;$B46&amp;", para continuar con el proceso de tu *"&amp;$D46&amp;"* por "&amp;$F46&amp;",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Clientes.")&amp;CHAR(10)&amp;CHAR(10)&amp;Config!$B$1),IF(D46="","",SUBSTITUTE(SUBSTITUTE(INDEX('Catálogo Mensajes'!$D:$J,MATCH($D46,'Catálogo Mensajes'!$B:$B,0),MATCH($H46,'Catálogo Mensajes'!$D$4:$J$4,0)),"{NOMBRE}",$B46),"{PROMO}",'Catálogo Mensajes'!$C$2)&amp;CHAR(10)&amp;CHAR(10)&amp;Config!$B$1))))),"")</f>
        <v/>
      </c>
      <c r="P46" s="13">
        <f>IF(OR(O46="",C46=""),"",HYPERLINK("https://wa.me/52"&amp;C46&amp;"?text="&amp;_xlfn.ENCODEURL(O46),"Enviar mensaje"))</f>
        <v/>
      </c>
      <c r="Q46" s="13">
        <f>IF(OR(I46="",L46="Realizado",L46="Cancelado"),"",SUMPRODUCT(($I$2:$I$151&lt;I46)*($I$2:$I$151&gt;=DATE(Calendario!$C$3,Calendario!$C$2,1))*($I$2:$I$151&lt;DATE(Calendario!$C$3,Calendario!$C$2+1,1))*($L$2:$L$151&lt;&gt;"Realizado")*($L$2:$L$151&lt;&gt;"Cancelado"))+SUMPRODUCT(($I$2:$I$151=I46)*(ROW($I$2:$I$151)&lt;=ROW())*($I$2:$I$151&gt;=DATE(Calendario!$C$3,Calendario!$C$2,1))*($I$2:$I$151&lt;DATE(Calendario!$C$3,Calendario!$C$2+1,1))*($L$2:$L$151&lt;&gt;"Realizado")*($L$2:$L$151&lt;&gt;"Cancelado")))</f>
        <v/>
      </c>
    </row>
    <row r="47" ht="15" customHeight="1" s="1">
      <c r="A47" s="13">
        <f>IF(B47="","",ROW()-1)</f>
        <v/>
      </c>
      <c r="B47" s="14" t="n"/>
      <c r="C47" s="13">
        <f>IFERROR(INDEX(Clientes!$C:$C,MATCH(B47,Clientes!$B:$B,0)),"")</f>
        <v/>
      </c>
      <c r="D47" s="14">
        <f>IFERROR(INDEX(Clientes!$D:$D,MATCH(B47,Clientes!$B:$B,0)),"")</f>
        <v/>
      </c>
      <c r="E47" s="14">
        <f>IFERROR(INDEX(Clientes!$M:$M,MATCH(B47,Clientes!$B:$B,0)),"")</f>
        <v/>
      </c>
      <c r="F47" s="14">
        <f>IFERROR(INDEX(Clientes!$F:$F,MATCH(B47,Clientes!$B:$B,0)),"")</f>
        <v/>
      </c>
      <c r="G47" s="14">
        <f>IFERROR(INDEX(Clientes!$G:$G,MATCH(B47,Clientes!$B:$B,0)),"")</f>
        <v/>
      </c>
      <c r="H47" s="14" t="n"/>
      <c r="I47" s="15" t="n"/>
      <c r="J47" s="16" t="n"/>
      <c r="K47" s="14" t="n"/>
      <c r="L47" s="14" t="n"/>
      <c r="M47" s="13">
        <f>IF(I47="","",I47-TODAY())</f>
        <v/>
      </c>
      <c r="N47" s="14" t="n"/>
      <c r="O47" s="14">
        <f>IFERROR(IF(B47="","",IF(H47="","",IF(H47="Otro (mensaje libre)","",IF(H47="Requisitos (Crédito/Contado)",IF(OR(F47="",G47=""),"Indica primero el Método de Compra y el Tipo de Persona del cliente en la pestaña Clientes.",_xlfn.SWITCH($F47&amp;"|"&amp;$G47,"Crédito|Persona física","Hola, "&amp;$B47&amp;", para continuar con el proceso de tu *"&amp;$D47&amp;"* por "&amp;$F47&amp;",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"&amp;$B47&amp;", para continuar con el proceso de tu *"&amp;$D47&amp;"* por "&amp;$F47&amp;",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"&amp;$B47&amp;", para continuar con el proceso de tu *"&amp;$D47&amp;"* por "&amp;$F47&amp;",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"&amp;$B47&amp;", para continuar con el proceso de tu *"&amp;$D47&amp;"* por "&amp;$F47&amp;", estos son los documentos que necesitamos:"&amp;CHAR(10)&amp;CHAR(10)&amp;"- INE"&amp;CHAR(10)&amp;"- Comprobante de domicilio"&amp;CHAR(10)&amp;"- Constancia de situación fiscal (no mayor a 3 meses)","Contado|Persona física con actividad empresarial","Hola, "&amp;$B47&amp;", para continuar con el proceso de tu *"&amp;$D47&amp;"* por "&amp;$F47&amp;", estos son los documentos que necesitamos:"&amp;CHAR(10)&amp;CHAR(10)&amp;"- INE"&amp;CHAR(10)&amp;"- Comprobante de domicilio"&amp;CHAR(10)&amp;"- Constancia de situación fiscal (no mayor a 3 meses)","Contado|Persona moral","Hola, "&amp;$B47&amp;", para continuar con el proceso de tu *"&amp;$D47&amp;"* por "&amp;$F47&amp;",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Clientes.")&amp;CHAR(10)&amp;CHAR(10)&amp;Config!$B$1),IF(D47="","",SUBSTITUTE(SUBSTITUTE(INDEX('Catálogo Mensajes'!$D:$J,MATCH($D47,'Catálogo Mensajes'!$B:$B,0),MATCH($H47,'Catálogo Mensajes'!$D$4:$J$4,0)),"{NOMBRE}",$B47),"{PROMO}",'Catálogo Mensajes'!$C$2)&amp;CHAR(10)&amp;CHAR(10)&amp;Config!$B$1))))),"")</f>
        <v/>
      </c>
      <c r="P47" s="13">
        <f>IF(OR(O47="",C47=""),"",HYPERLINK("https://wa.me/52"&amp;C47&amp;"?text="&amp;_xlfn.ENCODEURL(O47),"Enviar mensaje"))</f>
        <v/>
      </c>
      <c r="Q47" s="13">
        <f>IF(OR(I47="",L47="Realizado",L47="Cancelado"),"",SUMPRODUCT(($I$2:$I$151&lt;I47)*($I$2:$I$151&gt;=DATE(Calendario!$C$3,Calendario!$C$2,1))*($I$2:$I$151&lt;DATE(Calendario!$C$3,Calendario!$C$2+1,1))*($L$2:$L$151&lt;&gt;"Realizado")*($L$2:$L$151&lt;&gt;"Cancelado"))+SUMPRODUCT(($I$2:$I$151=I47)*(ROW($I$2:$I$151)&lt;=ROW())*($I$2:$I$151&gt;=DATE(Calendario!$C$3,Calendario!$C$2,1))*($I$2:$I$151&lt;DATE(Calendario!$C$3,Calendario!$C$2+1,1))*($L$2:$L$151&lt;&gt;"Realizado")*($L$2:$L$151&lt;&gt;"Cancelado")))</f>
        <v/>
      </c>
    </row>
    <row r="48" ht="15" customHeight="1" s="1">
      <c r="A48" s="13">
        <f>IF(B48="","",ROW()-1)</f>
        <v/>
      </c>
      <c r="B48" s="14" t="n"/>
      <c r="C48" s="13">
        <f>IFERROR(INDEX(Clientes!$C:$C,MATCH(B48,Clientes!$B:$B,0)),"")</f>
        <v/>
      </c>
      <c r="D48" s="14">
        <f>IFERROR(INDEX(Clientes!$D:$D,MATCH(B48,Clientes!$B:$B,0)),"")</f>
        <v/>
      </c>
      <c r="E48" s="14">
        <f>IFERROR(INDEX(Clientes!$M:$M,MATCH(B48,Clientes!$B:$B,0)),"")</f>
        <v/>
      </c>
      <c r="F48" s="14">
        <f>IFERROR(INDEX(Clientes!$F:$F,MATCH(B48,Clientes!$B:$B,0)),"")</f>
        <v/>
      </c>
      <c r="G48" s="14">
        <f>IFERROR(INDEX(Clientes!$G:$G,MATCH(B48,Clientes!$B:$B,0)),"")</f>
        <v/>
      </c>
      <c r="H48" s="14" t="n"/>
      <c r="I48" s="15" t="n"/>
      <c r="J48" s="16" t="n"/>
      <c r="K48" s="14" t="n"/>
      <c r="L48" s="14" t="n"/>
      <c r="M48" s="13">
        <f>IF(I48="","",I48-TODAY())</f>
        <v/>
      </c>
      <c r="N48" s="14" t="n"/>
      <c r="O48" s="14">
        <f>IFERROR(IF(B48="","",IF(H48="","",IF(H48="Otro (mensaje libre)","",IF(H48="Requisitos (Crédito/Contado)",IF(OR(F48="",G48=""),"Indica primero el Método de Compra y el Tipo de Persona del cliente en la pestaña Clientes.",_xlfn.SWITCH($F48&amp;"|"&amp;$G48,"Crédito|Persona física","Hola, "&amp;$B48&amp;", para continuar con el proceso de tu *"&amp;$D48&amp;"* por "&amp;$F48&amp;",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"&amp;$B48&amp;", para continuar con el proceso de tu *"&amp;$D48&amp;"* por "&amp;$F48&amp;",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"&amp;$B48&amp;", para continuar con el proceso de tu *"&amp;$D48&amp;"* por "&amp;$F48&amp;",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"&amp;$B48&amp;", para continuar con el proceso de tu *"&amp;$D48&amp;"* por "&amp;$F48&amp;", estos son los documentos que necesitamos:"&amp;CHAR(10)&amp;CHAR(10)&amp;"- INE"&amp;CHAR(10)&amp;"- Comprobante de domicilio"&amp;CHAR(10)&amp;"- Constancia de situación fiscal (no mayor a 3 meses)","Contado|Persona física con actividad empresarial","Hola, "&amp;$B48&amp;", para continuar con el proceso de tu *"&amp;$D48&amp;"* por "&amp;$F48&amp;", estos son los documentos que necesitamos:"&amp;CHAR(10)&amp;CHAR(10)&amp;"- INE"&amp;CHAR(10)&amp;"- Comprobante de domicilio"&amp;CHAR(10)&amp;"- Constancia de situación fiscal (no mayor a 3 meses)","Contado|Persona moral","Hola, "&amp;$B48&amp;", para continuar con el proceso de tu *"&amp;$D48&amp;"* por "&amp;$F48&amp;",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Clientes.")&amp;CHAR(10)&amp;CHAR(10)&amp;Config!$B$1),IF(D48="","",SUBSTITUTE(SUBSTITUTE(INDEX('Catálogo Mensajes'!$D:$J,MATCH($D48,'Catálogo Mensajes'!$B:$B,0),MATCH($H48,'Catálogo Mensajes'!$D$4:$J$4,0)),"{NOMBRE}",$B48),"{PROMO}",'Catálogo Mensajes'!$C$2)&amp;CHAR(10)&amp;CHAR(10)&amp;Config!$B$1))))),"")</f>
        <v/>
      </c>
      <c r="P48" s="13">
        <f>IF(OR(O48="",C48=""),"",HYPERLINK("https://wa.me/52"&amp;C48&amp;"?text="&amp;_xlfn.ENCODEURL(O48),"Enviar mensaje"))</f>
        <v/>
      </c>
      <c r="Q48" s="13">
        <f>IF(OR(I48="",L48="Realizado",L48="Cancelado"),"",SUMPRODUCT(($I$2:$I$151&lt;I48)*($I$2:$I$151&gt;=DATE(Calendario!$C$3,Calendario!$C$2,1))*($I$2:$I$151&lt;DATE(Calendario!$C$3,Calendario!$C$2+1,1))*($L$2:$L$151&lt;&gt;"Realizado")*($L$2:$L$151&lt;&gt;"Cancelado"))+SUMPRODUCT(($I$2:$I$151=I48)*(ROW($I$2:$I$151)&lt;=ROW())*($I$2:$I$151&gt;=DATE(Calendario!$C$3,Calendario!$C$2,1))*($I$2:$I$151&lt;DATE(Calendario!$C$3,Calendario!$C$2+1,1))*($L$2:$L$151&lt;&gt;"Realizado")*($L$2:$L$151&lt;&gt;"Cancelado")))</f>
        <v/>
      </c>
    </row>
    <row r="49" ht="15" customHeight="1" s="1">
      <c r="A49" s="13">
        <f>IF(B49="","",ROW()-1)</f>
        <v/>
      </c>
      <c r="B49" s="14" t="n"/>
      <c r="C49" s="13">
        <f>IFERROR(INDEX(Clientes!$C:$C,MATCH(B49,Clientes!$B:$B,0)),"")</f>
        <v/>
      </c>
      <c r="D49" s="14">
        <f>IFERROR(INDEX(Clientes!$D:$D,MATCH(B49,Clientes!$B:$B,0)),"")</f>
        <v/>
      </c>
      <c r="E49" s="14">
        <f>IFERROR(INDEX(Clientes!$M:$M,MATCH(B49,Clientes!$B:$B,0)),"")</f>
        <v/>
      </c>
      <c r="F49" s="14">
        <f>IFERROR(INDEX(Clientes!$F:$F,MATCH(B49,Clientes!$B:$B,0)),"")</f>
        <v/>
      </c>
      <c r="G49" s="14">
        <f>IFERROR(INDEX(Clientes!$G:$G,MATCH(B49,Clientes!$B:$B,0)),"")</f>
        <v/>
      </c>
      <c r="H49" s="14" t="n"/>
      <c r="I49" s="15" t="n"/>
      <c r="J49" s="16" t="n"/>
      <c r="K49" s="14" t="n"/>
      <c r="L49" s="14" t="n"/>
      <c r="M49" s="13">
        <f>IF(I49="","",I49-TODAY())</f>
        <v/>
      </c>
      <c r="N49" s="14" t="n"/>
      <c r="O49" s="14">
        <f>IFERROR(IF(B49="","",IF(H49="","",IF(H49="Otro (mensaje libre)","",IF(H49="Requisitos (Crédito/Contado)",IF(OR(F49="",G49=""),"Indica primero el Método de Compra y el Tipo de Persona del cliente en la pestaña Clientes.",_xlfn.SWITCH($F49&amp;"|"&amp;$G49,"Crédito|Persona física","Hola, "&amp;$B49&amp;", para continuar con el proceso de tu *"&amp;$D49&amp;"* por "&amp;$F49&amp;",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"&amp;$B49&amp;", para continuar con el proceso de tu *"&amp;$D49&amp;"* por "&amp;$F49&amp;",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"&amp;$B49&amp;", para continuar con el proceso de tu *"&amp;$D49&amp;"* por "&amp;$F49&amp;",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"&amp;$B49&amp;", para continuar con el proceso de tu *"&amp;$D49&amp;"* por "&amp;$F49&amp;", estos son los documentos que necesitamos:"&amp;CHAR(10)&amp;CHAR(10)&amp;"- INE"&amp;CHAR(10)&amp;"- Comprobante de domicilio"&amp;CHAR(10)&amp;"- Constancia de situación fiscal (no mayor a 3 meses)","Contado|Persona física con actividad empresarial","Hola, "&amp;$B49&amp;", para continuar con el proceso de tu *"&amp;$D49&amp;"* por "&amp;$F49&amp;", estos son los documentos que necesitamos:"&amp;CHAR(10)&amp;CHAR(10)&amp;"- INE"&amp;CHAR(10)&amp;"- Comprobante de domicilio"&amp;CHAR(10)&amp;"- Constancia de situación fiscal (no mayor a 3 meses)","Contado|Persona moral","Hola, "&amp;$B49&amp;", para continuar con el proceso de tu *"&amp;$D49&amp;"* por "&amp;$F49&amp;",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Clientes.")&amp;CHAR(10)&amp;CHAR(10)&amp;Config!$B$1),IF(D49="","",SUBSTITUTE(SUBSTITUTE(INDEX('Catálogo Mensajes'!$D:$J,MATCH($D49,'Catálogo Mensajes'!$B:$B,0),MATCH($H49,'Catálogo Mensajes'!$D$4:$J$4,0)),"{NOMBRE}",$B49),"{PROMO}",'Catálogo Mensajes'!$C$2)&amp;CHAR(10)&amp;CHAR(10)&amp;Config!$B$1))))),"")</f>
        <v/>
      </c>
      <c r="P49" s="13">
        <f>IF(OR(O49="",C49=""),"",HYPERLINK("https://wa.me/52"&amp;C49&amp;"?text="&amp;_xlfn.ENCODEURL(O49),"Enviar mensaje"))</f>
        <v/>
      </c>
      <c r="Q49" s="13">
        <f>IF(OR(I49="",L49="Realizado",L49="Cancelado"),"",SUMPRODUCT(($I$2:$I$151&lt;I49)*($I$2:$I$151&gt;=DATE(Calendario!$C$3,Calendario!$C$2,1))*($I$2:$I$151&lt;DATE(Calendario!$C$3,Calendario!$C$2+1,1))*($L$2:$L$151&lt;&gt;"Realizado")*($L$2:$L$151&lt;&gt;"Cancelado"))+SUMPRODUCT(($I$2:$I$151=I49)*(ROW($I$2:$I$151)&lt;=ROW())*($I$2:$I$151&gt;=DATE(Calendario!$C$3,Calendario!$C$2,1))*($I$2:$I$151&lt;DATE(Calendario!$C$3,Calendario!$C$2+1,1))*($L$2:$L$151&lt;&gt;"Realizado")*($L$2:$L$151&lt;&gt;"Cancelado")))</f>
        <v/>
      </c>
    </row>
    <row r="50" ht="15" customHeight="1" s="1">
      <c r="A50" s="13">
        <f>IF(B50="","",ROW()-1)</f>
        <v/>
      </c>
      <c r="B50" s="14" t="n"/>
      <c r="C50" s="13">
        <f>IFERROR(INDEX(Clientes!$C:$C,MATCH(B50,Clientes!$B:$B,0)),"")</f>
        <v/>
      </c>
      <c r="D50" s="14">
        <f>IFERROR(INDEX(Clientes!$D:$D,MATCH(B50,Clientes!$B:$B,0)),"")</f>
        <v/>
      </c>
      <c r="E50" s="14">
        <f>IFERROR(INDEX(Clientes!$M:$M,MATCH(B50,Clientes!$B:$B,0)),"")</f>
        <v/>
      </c>
      <c r="F50" s="14">
        <f>IFERROR(INDEX(Clientes!$F:$F,MATCH(B50,Clientes!$B:$B,0)),"")</f>
        <v/>
      </c>
      <c r="G50" s="14">
        <f>IFERROR(INDEX(Clientes!$G:$G,MATCH(B50,Clientes!$B:$B,0)),"")</f>
        <v/>
      </c>
      <c r="H50" s="14" t="n"/>
      <c r="I50" s="15" t="n"/>
      <c r="J50" s="16" t="n"/>
      <c r="K50" s="14" t="n"/>
      <c r="L50" s="14" t="n"/>
      <c r="M50" s="13">
        <f>IF(I50="","",I50-TODAY())</f>
        <v/>
      </c>
      <c r="N50" s="14" t="n"/>
      <c r="O50" s="14">
        <f>IFERROR(IF(B50="","",IF(H50="","",IF(H50="Otro (mensaje libre)","",IF(H50="Requisitos (Crédito/Contado)",IF(OR(F50="",G50=""),"Indica primero el Método de Compra y el Tipo de Persona del cliente en la pestaña Clientes.",_xlfn.SWITCH($F50&amp;"|"&amp;$G50,"Crédito|Persona física","Hola, "&amp;$B50&amp;", para continuar con el proceso de tu *"&amp;$D50&amp;"* por "&amp;$F50&amp;",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"&amp;$B50&amp;", para continuar con el proceso de tu *"&amp;$D50&amp;"* por "&amp;$F50&amp;",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"&amp;$B50&amp;", para continuar con el proceso de tu *"&amp;$D50&amp;"* por "&amp;$F50&amp;",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"&amp;$B50&amp;", para continuar con el proceso de tu *"&amp;$D50&amp;"* por "&amp;$F50&amp;", estos son los documentos que necesitamos:"&amp;CHAR(10)&amp;CHAR(10)&amp;"- INE"&amp;CHAR(10)&amp;"- Comprobante de domicilio"&amp;CHAR(10)&amp;"- Constancia de situación fiscal (no mayor a 3 meses)","Contado|Persona física con actividad empresarial","Hola, "&amp;$B50&amp;", para continuar con el proceso de tu *"&amp;$D50&amp;"* por "&amp;$F50&amp;", estos son los documentos que necesitamos:"&amp;CHAR(10)&amp;CHAR(10)&amp;"- INE"&amp;CHAR(10)&amp;"- Comprobante de domicilio"&amp;CHAR(10)&amp;"- Constancia de situación fiscal (no mayor a 3 meses)","Contado|Persona moral","Hola, "&amp;$B50&amp;", para continuar con el proceso de tu *"&amp;$D50&amp;"* por "&amp;$F50&amp;",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Clientes.")&amp;CHAR(10)&amp;CHAR(10)&amp;Config!$B$1),IF(D50="","",SUBSTITUTE(SUBSTITUTE(INDEX('Catálogo Mensajes'!$D:$J,MATCH($D50,'Catálogo Mensajes'!$B:$B,0),MATCH($H50,'Catálogo Mensajes'!$D$4:$J$4,0)),"{NOMBRE}",$B50),"{PROMO}",'Catálogo Mensajes'!$C$2)&amp;CHAR(10)&amp;CHAR(10)&amp;Config!$B$1))))),"")</f>
        <v/>
      </c>
      <c r="P50" s="13">
        <f>IF(OR(O50="",C50=""),"",HYPERLINK("https://wa.me/52"&amp;C50&amp;"?text="&amp;_xlfn.ENCODEURL(O50),"Enviar mensaje"))</f>
        <v/>
      </c>
      <c r="Q50" s="13">
        <f>IF(OR(I50="",L50="Realizado",L50="Cancelado"),"",SUMPRODUCT(($I$2:$I$151&lt;I50)*($I$2:$I$151&gt;=DATE(Calendario!$C$3,Calendario!$C$2,1))*($I$2:$I$151&lt;DATE(Calendario!$C$3,Calendario!$C$2+1,1))*($L$2:$L$151&lt;&gt;"Realizado")*($L$2:$L$151&lt;&gt;"Cancelado"))+SUMPRODUCT(($I$2:$I$151=I50)*(ROW($I$2:$I$151)&lt;=ROW())*($I$2:$I$151&gt;=DATE(Calendario!$C$3,Calendario!$C$2,1))*($I$2:$I$151&lt;DATE(Calendario!$C$3,Calendario!$C$2+1,1))*($L$2:$L$151&lt;&gt;"Realizado")*($L$2:$L$151&lt;&gt;"Cancelado")))</f>
        <v/>
      </c>
    </row>
    <row r="51" ht="15" customHeight="1" s="1">
      <c r="A51" s="13">
        <f>IF(B51="","",ROW()-1)</f>
        <v/>
      </c>
      <c r="B51" s="14" t="n"/>
      <c r="C51" s="13">
        <f>IFERROR(INDEX(Clientes!$C:$C,MATCH(B51,Clientes!$B:$B,0)),"")</f>
        <v/>
      </c>
      <c r="D51" s="14">
        <f>IFERROR(INDEX(Clientes!$D:$D,MATCH(B51,Clientes!$B:$B,0)),"")</f>
        <v/>
      </c>
      <c r="E51" s="14">
        <f>IFERROR(INDEX(Clientes!$M:$M,MATCH(B51,Clientes!$B:$B,0)),"")</f>
        <v/>
      </c>
      <c r="F51" s="14">
        <f>IFERROR(INDEX(Clientes!$F:$F,MATCH(B51,Clientes!$B:$B,0)),"")</f>
        <v/>
      </c>
      <c r="G51" s="14">
        <f>IFERROR(INDEX(Clientes!$G:$G,MATCH(B51,Clientes!$B:$B,0)),"")</f>
        <v/>
      </c>
      <c r="H51" s="14" t="n"/>
      <c r="I51" s="15" t="n"/>
      <c r="J51" s="16" t="n"/>
      <c r="K51" s="14" t="n"/>
      <c r="L51" s="14" t="n"/>
      <c r="M51" s="13">
        <f>IF(I51="","",I51-TODAY())</f>
        <v/>
      </c>
      <c r="N51" s="14" t="n"/>
      <c r="O51" s="14">
        <f>IFERROR(IF(B51="","",IF(H51="","",IF(H51="Otro (mensaje libre)","",IF(H51="Requisitos (Crédito/Contado)",IF(OR(F51="",G51=""),"Indica primero el Método de Compra y el Tipo de Persona del cliente en la pestaña Clientes.",_xlfn.SWITCH($F51&amp;"|"&amp;$G51,"Crédito|Persona física","Hola, "&amp;$B51&amp;", para continuar con el proceso de tu *"&amp;$D51&amp;"* por "&amp;$F51&amp;",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"&amp;$B51&amp;", para continuar con el proceso de tu *"&amp;$D51&amp;"* por "&amp;$F51&amp;",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"&amp;$B51&amp;", para continuar con el proceso de tu *"&amp;$D51&amp;"* por "&amp;$F51&amp;",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"&amp;$B51&amp;", para continuar con el proceso de tu *"&amp;$D51&amp;"* por "&amp;$F51&amp;", estos son los documentos que necesitamos:"&amp;CHAR(10)&amp;CHAR(10)&amp;"- INE"&amp;CHAR(10)&amp;"- Comprobante de domicilio"&amp;CHAR(10)&amp;"- Constancia de situación fiscal (no mayor a 3 meses)","Contado|Persona física con actividad empresarial","Hola, "&amp;$B51&amp;", para continuar con el proceso de tu *"&amp;$D51&amp;"* por "&amp;$F51&amp;", estos son los documentos que necesitamos:"&amp;CHAR(10)&amp;CHAR(10)&amp;"- INE"&amp;CHAR(10)&amp;"- Comprobante de domicilio"&amp;CHAR(10)&amp;"- Constancia de situación fiscal (no mayor a 3 meses)","Contado|Persona moral","Hola, "&amp;$B51&amp;", para continuar con el proceso de tu *"&amp;$D51&amp;"* por "&amp;$F51&amp;",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Clientes.")&amp;CHAR(10)&amp;CHAR(10)&amp;Config!$B$1),IF(D51="","",SUBSTITUTE(SUBSTITUTE(INDEX('Catálogo Mensajes'!$D:$J,MATCH($D51,'Catálogo Mensajes'!$B:$B,0),MATCH($H51,'Catálogo Mensajes'!$D$4:$J$4,0)),"{NOMBRE}",$B51),"{PROMO}",'Catálogo Mensajes'!$C$2)&amp;CHAR(10)&amp;CHAR(10)&amp;Config!$B$1))))),"")</f>
        <v/>
      </c>
      <c r="P51" s="13">
        <f>IF(OR(O51="",C51=""),"",HYPERLINK("https://wa.me/52"&amp;C51&amp;"?text="&amp;_xlfn.ENCODEURL(O51),"Enviar mensaje"))</f>
        <v/>
      </c>
      <c r="Q51" s="13">
        <f>IF(OR(I51="",L51="Realizado",L51="Cancelado"),"",SUMPRODUCT(($I$2:$I$151&lt;I51)*($I$2:$I$151&gt;=DATE(Calendario!$C$3,Calendario!$C$2,1))*($I$2:$I$151&lt;DATE(Calendario!$C$3,Calendario!$C$2+1,1))*($L$2:$L$151&lt;&gt;"Realizado")*($L$2:$L$151&lt;&gt;"Cancelado"))+SUMPRODUCT(($I$2:$I$151=I51)*(ROW($I$2:$I$151)&lt;=ROW())*($I$2:$I$151&gt;=DATE(Calendario!$C$3,Calendario!$C$2,1))*($I$2:$I$151&lt;DATE(Calendario!$C$3,Calendario!$C$2+1,1))*($L$2:$L$151&lt;&gt;"Realizado")*($L$2:$L$151&lt;&gt;"Cancelado")))</f>
        <v/>
      </c>
    </row>
    <row r="52" ht="15" customHeight="1" s="1">
      <c r="A52" s="13">
        <f>IF(B52="","",ROW()-1)</f>
        <v/>
      </c>
      <c r="B52" s="14" t="n"/>
      <c r="C52" s="13">
        <f>IFERROR(INDEX(Clientes!$C:$C,MATCH(B52,Clientes!$B:$B,0)),"")</f>
        <v/>
      </c>
      <c r="D52" s="14">
        <f>IFERROR(INDEX(Clientes!$D:$D,MATCH(B52,Clientes!$B:$B,0)),"")</f>
        <v/>
      </c>
      <c r="E52" s="14">
        <f>IFERROR(INDEX(Clientes!$M:$M,MATCH(B52,Clientes!$B:$B,0)),"")</f>
        <v/>
      </c>
      <c r="F52" s="14">
        <f>IFERROR(INDEX(Clientes!$F:$F,MATCH(B52,Clientes!$B:$B,0)),"")</f>
        <v/>
      </c>
      <c r="G52" s="14">
        <f>IFERROR(INDEX(Clientes!$G:$G,MATCH(B52,Clientes!$B:$B,0)),"")</f>
        <v/>
      </c>
      <c r="H52" s="14" t="n"/>
      <c r="I52" s="15" t="n"/>
      <c r="J52" s="16" t="n"/>
      <c r="K52" s="14" t="n"/>
      <c r="L52" s="14" t="n"/>
      <c r="M52" s="13">
        <f>IF(I52="","",I52-TODAY())</f>
        <v/>
      </c>
      <c r="N52" s="14" t="n"/>
      <c r="O52" s="14">
        <f>IFERROR(IF(B52="","",IF(H52="","",IF(H52="Otro (mensaje libre)","",IF(H52="Requisitos (Crédito/Contado)",IF(OR(F52="",G52=""),"Indica primero el Método de Compra y el Tipo de Persona del cliente en la pestaña Clientes.",_xlfn.SWITCH($F52&amp;"|"&amp;$G52,"Crédito|Persona física","Hola, "&amp;$B52&amp;", para continuar con el proceso de tu *"&amp;$D52&amp;"* por "&amp;$F52&amp;",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"&amp;$B52&amp;", para continuar con el proceso de tu *"&amp;$D52&amp;"* por "&amp;$F52&amp;",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"&amp;$B52&amp;", para continuar con el proceso de tu *"&amp;$D52&amp;"* por "&amp;$F52&amp;",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"&amp;$B52&amp;", para continuar con el proceso de tu *"&amp;$D52&amp;"* por "&amp;$F52&amp;", estos son los documentos que necesitamos:"&amp;CHAR(10)&amp;CHAR(10)&amp;"- INE"&amp;CHAR(10)&amp;"- Comprobante de domicilio"&amp;CHAR(10)&amp;"- Constancia de situación fiscal (no mayor a 3 meses)","Contado|Persona física con actividad empresarial","Hola, "&amp;$B52&amp;", para continuar con el proceso de tu *"&amp;$D52&amp;"* por "&amp;$F52&amp;", estos son los documentos que necesitamos:"&amp;CHAR(10)&amp;CHAR(10)&amp;"- INE"&amp;CHAR(10)&amp;"- Comprobante de domicilio"&amp;CHAR(10)&amp;"- Constancia de situación fiscal (no mayor a 3 meses)","Contado|Persona moral","Hola, "&amp;$B52&amp;", para continuar con el proceso de tu *"&amp;$D52&amp;"* por "&amp;$F52&amp;",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Clientes.")&amp;CHAR(10)&amp;CHAR(10)&amp;Config!$B$1),IF(D52="","",SUBSTITUTE(SUBSTITUTE(INDEX('Catálogo Mensajes'!$D:$J,MATCH($D52,'Catálogo Mensajes'!$B:$B,0),MATCH($H52,'Catálogo Mensajes'!$D$4:$J$4,0)),"{NOMBRE}",$B52),"{PROMO}",'Catálogo Mensajes'!$C$2)&amp;CHAR(10)&amp;CHAR(10)&amp;Config!$B$1))))),"")</f>
        <v/>
      </c>
      <c r="P52" s="13">
        <f>IF(OR(O52="",C52=""),"",HYPERLINK("https://wa.me/52"&amp;C52&amp;"?text="&amp;_xlfn.ENCODEURL(O52),"Enviar mensaje"))</f>
        <v/>
      </c>
      <c r="Q52" s="13">
        <f>IF(OR(I52="",L52="Realizado",L52="Cancelado"),"",SUMPRODUCT(($I$2:$I$151&lt;I52)*($I$2:$I$151&gt;=DATE(Calendario!$C$3,Calendario!$C$2,1))*($I$2:$I$151&lt;DATE(Calendario!$C$3,Calendario!$C$2+1,1))*($L$2:$L$151&lt;&gt;"Realizado")*($L$2:$L$151&lt;&gt;"Cancelado"))+SUMPRODUCT(($I$2:$I$151=I52)*(ROW($I$2:$I$151)&lt;=ROW())*($I$2:$I$151&gt;=DATE(Calendario!$C$3,Calendario!$C$2,1))*($I$2:$I$151&lt;DATE(Calendario!$C$3,Calendario!$C$2+1,1))*($L$2:$L$151&lt;&gt;"Realizado")*($L$2:$L$151&lt;&gt;"Cancelado")))</f>
        <v/>
      </c>
    </row>
    <row r="53" ht="15" customHeight="1" s="1">
      <c r="A53" s="13">
        <f>IF(B53="","",ROW()-1)</f>
        <v/>
      </c>
      <c r="B53" s="14" t="n"/>
      <c r="C53" s="13">
        <f>IFERROR(INDEX(Clientes!$C:$C,MATCH(B53,Clientes!$B:$B,0)),"")</f>
        <v/>
      </c>
      <c r="D53" s="14">
        <f>IFERROR(INDEX(Clientes!$D:$D,MATCH(B53,Clientes!$B:$B,0)),"")</f>
        <v/>
      </c>
      <c r="E53" s="14">
        <f>IFERROR(INDEX(Clientes!$M:$M,MATCH(B53,Clientes!$B:$B,0)),"")</f>
        <v/>
      </c>
      <c r="F53" s="14">
        <f>IFERROR(INDEX(Clientes!$F:$F,MATCH(B53,Clientes!$B:$B,0)),"")</f>
        <v/>
      </c>
      <c r="G53" s="14">
        <f>IFERROR(INDEX(Clientes!$G:$G,MATCH(B53,Clientes!$B:$B,0)),"")</f>
        <v/>
      </c>
      <c r="H53" s="14" t="n"/>
      <c r="I53" s="15" t="n"/>
      <c r="J53" s="16" t="n"/>
      <c r="K53" s="14" t="n"/>
      <c r="L53" s="14" t="n"/>
      <c r="M53" s="13">
        <f>IF(I53="","",I53-TODAY())</f>
        <v/>
      </c>
      <c r="N53" s="14" t="n"/>
      <c r="O53" s="14">
        <f>IFERROR(IF(B53="","",IF(H53="","",IF(H53="Otro (mensaje libre)","",IF(H53="Requisitos (Crédito/Contado)",IF(OR(F53="",G53=""),"Indica primero el Método de Compra y el Tipo de Persona del cliente en la pestaña Clientes.",_xlfn.SWITCH($F53&amp;"|"&amp;$G53,"Crédito|Persona física","Hola, "&amp;$B53&amp;", para continuar con el proceso de tu *"&amp;$D53&amp;"* por "&amp;$F53&amp;",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"&amp;$B53&amp;", para continuar con el proceso de tu *"&amp;$D53&amp;"* por "&amp;$F53&amp;",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"&amp;$B53&amp;", para continuar con el proceso de tu *"&amp;$D53&amp;"* por "&amp;$F53&amp;",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"&amp;$B53&amp;", para continuar con el proceso de tu *"&amp;$D53&amp;"* por "&amp;$F53&amp;", estos son los documentos que necesitamos:"&amp;CHAR(10)&amp;CHAR(10)&amp;"- INE"&amp;CHAR(10)&amp;"- Comprobante de domicilio"&amp;CHAR(10)&amp;"- Constancia de situación fiscal (no mayor a 3 meses)","Contado|Persona física con actividad empresarial","Hola, "&amp;$B53&amp;", para continuar con el proceso de tu *"&amp;$D53&amp;"* por "&amp;$F53&amp;", estos son los documentos que necesitamos:"&amp;CHAR(10)&amp;CHAR(10)&amp;"- INE"&amp;CHAR(10)&amp;"- Comprobante de domicilio"&amp;CHAR(10)&amp;"- Constancia de situación fiscal (no mayor a 3 meses)","Contado|Persona moral","Hola, "&amp;$B53&amp;", para continuar con el proceso de tu *"&amp;$D53&amp;"* por "&amp;$F53&amp;",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Clientes.")&amp;CHAR(10)&amp;CHAR(10)&amp;Config!$B$1),IF(D53="","",SUBSTITUTE(SUBSTITUTE(INDEX('Catálogo Mensajes'!$D:$J,MATCH($D53,'Catálogo Mensajes'!$B:$B,0),MATCH($H53,'Catálogo Mensajes'!$D$4:$J$4,0)),"{NOMBRE}",$B53),"{PROMO}",'Catálogo Mensajes'!$C$2)&amp;CHAR(10)&amp;CHAR(10)&amp;Config!$B$1))))),"")</f>
        <v/>
      </c>
      <c r="P53" s="13">
        <f>IF(OR(O53="",C53=""),"",HYPERLINK("https://wa.me/52"&amp;C53&amp;"?text="&amp;_xlfn.ENCODEURL(O53),"Enviar mensaje"))</f>
        <v/>
      </c>
      <c r="Q53" s="13">
        <f>IF(OR(I53="",L53="Realizado",L53="Cancelado"),"",SUMPRODUCT(($I$2:$I$151&lt;I53)*($I$2:$I$151&gt;=DATE(Calendario!$C$3,Calendario!$C$2,1))*($I$2:$I$151&lt;DATE(Calendario!$C$3,Calendario!$C$2+1,1))*($L$2:$L$151&lt;&gt;"Realizado")*($L$2:$L$151&lt;&gt;"Cancelado"))+SUMPRODUCT(($I$2:$I$151=I53)*(ROW($I$2:$I$151)&lt;=ROW())*($I$2:$I$151&gt;=DATE(Calendario!$C$3,Calendario!$C$2,1))*($I$2:$I$151&lt;DATE(Calendario!$C$3,Calendario!$C$2+1,1))*($L$2:$L$151&lt;&gt;"Realizado")*($L$2:$L$151&lt;&gt;"Cancelado")))</f>
        <v/>
      </c>
    </row>
    <row r="54" ht="15" customHeight="1" s="1">
      <c r="A54" s="13">
        <f>IF(B54="","",ROW()-1)</f>
        <v/>
      </c>
      <c r="B54" s="14" t="n"/>
      <c r="C54" s="13">
        <f>IFERROR(INDEX(Clientes!$C:$C,MATCH(B54,Clientes!$B:$B,0)),"")</f>
        <v/>
      </c>
      <c r="D54" s="14">
        <f>IFERROR(INDEX(Clientes!$D:$D,MATCH(B54,Clientes!$B:$B,0)),"")</f>
        <v/>
      </c>
      <c r="E54" s="14">
        <f>IFERROR(INDEX(Clientes!$M:$M,MATCH(B54,Clientes!$B:$B,0)),"")</f>
        <v/>
      </c>
      <c r="F54" s="14">
        <f>IFERROR(INDEX(Clientes!$F:$F,MATCH(B54,Clientes!$B:$B,0)),"")</f>
        <v/>
      </c>
      <c r="G54" s="14">
        <f>IFERROR(INDEX(Clientes!$G:$G,MATCH(B54,Clientes!$B:$B,0)),"")</f>
        <v/>
      </c>
      <c r="H54" s="14" t="n"/>
      <c r="I54" s="15" t="n"/>
      <c r="J54" s="16" t="n"/>
      <c r="K54" s="14" t="n"/>
      <c r="L54" s="14" t="n"/>
      <c r="M54" s="13">
        <f>IF(I54="","",I54-TODAY())</f>
        <v/>
      </c>
      <c r="N54" s="14" t="n"/>
      <c r="O54" s="14">
        <f>IFERROR(IF(B54="","",IF(H54="","",IF(H54="Otro (mensaje libre)","",IF(H54="Requisitos (Crédito/Contado)",IF(OR(F54="",G54=""),"Indica primero el Método de Compra y el Tipo de Persona del cliente en la pestaña Clientes.",_xlfn.SWITCH($F54&amp;"|"&amp;$G54,"Crédito|Persona física","Hola, "&amp;$B54&amp;", para continuar con el proceso de tu *"&amp;$D54&amp;"* por "&amp;$F54&amp;",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"&amp;$B54&amp;", para continuar con el proceso de tu *"&amp;$D54&amp;"* por "&amp;$F54&amp;",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"&amp;$B54&amp;", para continuar con el proceso de tu *"&amp;$D54&amp;"* por "&amp;$F54&amp;",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"&amp;$B54&amp;", para continuar con el proceso de tu *"&amp;$D54&amp;"* por "&amp;$F54&amp;", estos son los documentos que necesitamos:"&amp;CHAR(10)&amp;CHAR(10)&amp;"- INE"&amp;CHAR(10)&amp;"- Comprobante de domicilio"&amp;CHAR(10)&amp;"- Constancia de situación fiscal (no mayor a 3 meses)","Contado|Persona física con actividad empresarial","Hola, "&amp;$B54&amp;", para continuar con el proceso de tu *"&amp;$D54&amp;"* por "&amp;$F54&amp;", estos son los documentos que necesitamos:"&amp;CHAR(10)&amp;CHAR(10)&amp;"- INE"&amp;CHAR(10)&amp;"- Comprobante de domicilio"&amp;CHAR(10)&amp;"- Constancia de situación fiscal (no mayor a 3 meses)","Contado|Persona moral","Hola, "&amp;$B54&amp;", para continuar con el proceso de tu *"&amp;$D54&amp;"* por "&amp;$F54&amp;",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Clientes.")&amp;CHAR(10)&amp;CHAR(10)&amp;Config!$B$1),IF(D54="","",SUBSTITUTE(SUBSTITUTE(INDEX('Catálogo Mensajes'!$D:$J,MATCH($D54,'Catálogo Mensajes'!$B:$B,0),MATCH($H54,'Catálogo Mensajes'!$D$4:$J$4,0)),"{NOMBRE}",$B54),"{PROMO}",'Catálogo Mensajes'!$C$2)&amp;CHAR(10)&amp;CHAR(10)&amp;Config!$B$1))))),"")</f>
        <v/>
      </c>
      <c r="P54" s="13">
        <f>IF(OR(O54="",C54=""),"",HYPERLINK("https://wa.me/52"&amp;C54&amp;"?text="&amp;_xlfn.ENCODEURL(O54),"Enviar mensaje"))</f>
        <v/>
      </c>
      <c r="Q54" s="13">
        <f>IF(OR(I54="",L54="Realizado",L54="Cancelado"),"",SUMPRODUCT(($I$2:$I$151&lt;I54)*($I$2:$I$151&gt;=DATE(Calendario!$C$3,Calendario!$C$2,1))*($I$2:$I$151&lt;DATE(Calendario!$C$3,Calendario!$C$2+1,1))*($L$2:$L$151&lt;&gt;"Realizado")*($L$2:$L$151&lt;&gt;"Cancelado"))+SUMPRODUCT(($I$2:$I$151=I54)*(ROW($I$2:$I$151)&lt;=ROW())*($I$2:$I$151&gt;=DATE(Calendario!$C$3,Calendario!$C$2,1))*($I$2:$I$151&lt;DATE(Calendario!$C$3,Calendario!$C$2+1,1))*($L$2:$L$151&lt;&gt;"Realizado")*($L$2:$L$151&lt;&gt;"Cancelado")))</f>
        <v/>
      </c>
    </row>
    <row r="55" ht="15" customHeight="1" s="1">
      <c r="A55" s="13">
        <f>IF(B55="","",ROW()-1)</f>
        <v/>
      </c>
      <c r="B55" s="14" t="n"/>
      <c r="C55" s="13">
        <f>IFERROR(INDEX(Clientes!$C:$C,MATCH(B55,Clientes!$B:$B,0)),"")</f>
        <v/>
      </c>
      <c r="D55" s="14">
        <f>IFERROR(INDEX(Clientes!$D:$D,MATCH(B55,Clientes!$B:$B,0)),"")</f>
        <v/>
      </c>
      <c r="E55" s="14">
        <f>IFERROR(INDEX(Clientes!$M:$M,MATCH(B55,Clientes!$B:$B,0)),"")</f>
        <v/>
      </c>
      <c r="F55" s="14">
        <f>IFERROR(INDEX(Clientes!$F:$F,MATCH(B55,Clientes!$B:$B,0)),"")</f>
        <v/>
      </c>
      <c r="G55" s="14">
        <f>IFERROR(INDEX(Clientes!$G:$G,MATCH(B55,Clientes!$B:$B,0)),"")</f>
        <v/>
      </c>
      <c r="H55" s="14" t="n"/>
      <c r="I55" s="15" t="n"/>
      <c r="J55" s="16" t="n"/>
      <c r="K55" s="14" t="n"/>
      <c r="L55" s="14" t="n"/>
      <c r="M55" s="13">
        <f>IF(I55="","",I55-TODAY())</f>
        <v/>
      </c>
      <c r="N55" s="14" t="n"/>
      <c r="O55" s="14">
        <f>IFERROR(IF(B55="","",IF(H55="","",IF(H55="Otro (mensaje libre)","",IF(H55="Requisitos (Crédito/Contado)",IF(OR(F55="",G55=""),"Indica primero el Método de Compra y el Tipo de Persona del cliente en la pestaña Clientes.",_xlfn.SWITCH($F55&amp;"|"&amp;$G55,"Crédito|Persona física","Hola, "&amp;$B55&amp;", para continuar con el proceso de tu *"&amp;$D55&amp;"* por "&amp;$F55&amp;",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"&amp;$B55&amp;", para continuar con el proceso de tu *"&amp;$D55&amp;"* por "&amp;$F55&amp;",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"&amp;$B55&amp;", para continuar con el proceso de tu *"&amp;$D55&amp;"* por "&amp;$F55&amp;",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"&amp;$B55&amp;", para continuar con el proceso de tu *"&amp;$D55&amp;"* por "&amp;$F55&amp;", estos son los documentos que necesitamos:"&amp;CHAR(10)&amp;CHAR(10)&amp;"- INE"&amp;CHAR(10)&amp;"- Comprobante de domicilio"&amp;CHAR(10)&amp;"- Constancia de situación fiscal (no mayor a 3 meses)","Contado|Persona física con actividad empresarial","Hola, "&amp;$B55&amp;", para continuar con el proceso de tu *"&amp;$D55&amp;"* por "&amp;$F55&amp;", estos son los documentos que necesitamos:"&amp;CHAR(10)&amp;CHAR(10)&amp;"- INE"&amp;CHAR(10)&amp;"- Comprobante de domicilio"&amp;CHAR(10)&amp;"- Constancia de situación fiscal (no mayor a 3 meses)","Contado|Persona moral","Hola, "&amp;$B55&amp;", para continuar con el proceso de tu *"&amp;$D55&amp;"* por "&amp;$F55&amp;",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Clientes.")&amp;CHAR(10)&amp;CHAR(10)&amp;Config!$B$1),IF(D55="","",SUBSTITUTE(SUBSTITUTE(INDEX('Catálogo Mensajes'!$D:$J,MATCH($D55,'Catálogo Mensajes'!$B:$B,0),MATCH($H55,'Catálogo Mensajes'!$D$4:$J$4,0)),"{NOMBRE}",$B55),"{PROMO}",'Catálogo Mensajes'!$C$2)&amp;CHAR(10)&amp;CHAR(10)&amp;Config!$B$1))))),"")</f>
        <v/>
      </c>
      <c r="P55" s="13">
        <f>IF(OR(O55="",C55=""),"",HYPERLINK("https://wa.me/52"&amp;C55&amp;"?text="&amp;_xlfn.ENCODEURL(O55),"Enviar mensaje"))</f>
        <v/>
      </c>
      <c r="Q55" s="13">
        <f>IF(OR(I55="",L55="Realizado",L55="Cancelado"),"",SUMPRODUCT(($I$2:$I$151&lt;I55)*($I$2:$I$151&gt;=DATE(Calendario!$C$3,Calendario!$C$2,1))*($I$2:$I$151&lt;DATE(Calendario!$C$3,Calendario!$C$2+1,1))*($L$2:$L$151&lt;&gt;"Realizado")*($L$2:$L$151&lt;&gt;"Cancelado"))+SUMPRODUCT(($I$2:$I$151=I55)*(ROW($I$2:$I$151)&lt;=ROW())*($I$2:$I$151&gt;=DATE(Calendario!$C$3,Calendario!$C$2,1))*($I$2:$I$151&lt;DATE(Calendario!$C$3,Calendario!$C$2+1,1))*($L$2:$L$151&lt;&gt;"Realizado")*($L$2:$L$151&lt;&gt;"Cancelado")))</f>
        <v/>
      </c>
    </row>
    <row r="56" ht="15" customHeight="1" s="1">
      <c r="A56" s="13">
        <f>IF(B56="","",ROW()-1)</f>
        <v/>
      </c>
      <c r="B56" s="14" t="n"/>
      <c r="C56" s="13">
        <f>IFERROR(INDEX(Clientes!$C:$C,MATCH(B56,Clientes!$B:$B,0)),"")</f>
        <v/>
      </c>
      <c r="D56" s="14">
        <f>IFERROR(INDEX(Clientes!$D:$D,MATCH(B56,Clientes!$B:$B,0)),"")</f>
        <v/>
      </c>
      <c r="E56" s="14">
        <f>IFERROR(INDEX(Clientes!$M:$M,MATCH(B56,Clientes!$B:$B,0)),"")</f>
        <v/>
      </c>
      <c r="F56" s="14">
        <f>IFERROR(INDEX(Clientes!$F:$F,MATCH(B56,Clientes!$B:$B,0)),"")</f>
        <v/>
      </c>
      <c r="G56" s="14">
        <f>IFERROR(INDEX(Clientes!$G:$G,MATCH(B56,Clientes!$B:$B,0)),"")</f>
        <v/>
      </c>
      <c r="H56" s="14" t="n"/>
      <c r="I56" s="15" t="n"/>
      <c r="J56" s="16" t="n"/>
      <c r="K56" s="14" t="n"/>
      <c r="L56" s="14" t="n"/>
      <c r="M56" s="13">
        <f>IF(I56="","",I56-TODAY())</f>
        <v/>
      </c>
      <c r="N56" s="14" t="n"/>
      <c r="O56" s="14">
        <f>IFERROR(IF(B56="","",IF(H56="","",IF(H56="Otro (mensaje libre)","",IF(H56="Requisitos (Crédito/Contado)",IF(OR(F56="",G56=""),"Indica primero el Método de Compra y el Tipo de Persona del cliente en la pestaña Clientes.",_xlfn.SWITCH($F56&amp;"|"&amp;$G56,"Crédito|Persona física","Hola, "&amp;$B56&amp;", para continuar con el proceso de tu *"&amp;$D56&amp;"* por "&amp;$F56&amp;",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"&amp;$B56&amp;", para continuar con el proceso de tu *"&amp;$D56&amp;"* por "&amp;$F56&amp;",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"&amp;$B56&amp;", para continuar con el proceso de tu *"&amp;$D56&amp;"* por "&amp;$F56&amp;",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"&amp;$B56&amp;", para continuar con el proceso de tu *"&amp;$D56&amp;"* por "&amp;$F56&amp;", estos son los documentos que necesitamos:"&amp;CHAR(10)&amp;CHAR(10)&amp;"- INE"&amp;CHAR(10)&amp;"- Comprobante de domicilio"&amp;CHAR(10)&amp;"- Constancia de situación fiscal (no mayor a 3 meses)","Contado|Persona física con actividad empresarial","Hola, "&amp;$B56&amp;", para continuar con el proceso de tu *"&amp;$D56&amp;"* por "&amp;$F56&amp;", estos son los documentos que necesitamos:"&amp;CHAR(10)&amp;CHAR(10)&amp;"- INE"&amp;CHAR(10)&amp;"- Comprobante de domicilio"&amp;CHAR(10)&amp;"- Constancia de situación fiscal (no mayor a 3 meses)","Contado|Persona moral","Hola, "&amp;$B56&amp;", para continuar con el proceso de tu *"&amp;$D56&amp;"* por "&amp;$F56&amp;",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Clientes.")&amp;CHAR(10)&amp;CHAR(10)&amp;Config!$B$1),IF(D56="","",SUBSTITUTE(SUBSTITUTE(INDEX('Catálogo Mensajes'!$D:$J,MATCH($D56,'Catálogo Mensajes'!$B:$B,0),MATCH($H56,'Catálogo Mensajes'!$D$4:$J$4,0)),"{NOMBRE}",$B56),"{PROMO}",'Catálogo Mensajes'!$C$2)&amp;CHAR(10)&amp;CHAR(10)&amp;Config!$B$1))))),"")</f>
        <v/>
      </c>
      <c r="P56" s="13">
        <f>IF(OR(O56="",C56=""),"",HYPERLINK("https://wa.me/52"&amp;C56&amp;"?text="&amp;_xlfn.ENCODEURL(O56),"Enviar mensaje"))</f>
        <v/>
      </c>
      <c r="Q56" s="13">
        <f>IF(OR(I56="",L56="Realizado",L56="Cancelado"),"",SUMPRODUCT(($I$2:$I$151&lt;I56)*($I$2:$I$151&gt;=DATE(Calendario!$C$3,Calendario!$C$2,1))*($I$2:$I$151&lt;DATE(Calendario!$C$3,Calendario!$C$2+1,1))*($L$2:$L$151&lt;&gt;"Realizado")*($L$2:$L$151&lt;&gt;"Cancelado"))+SUMPRODUCT(($I$2:$I$151=I56)*(ROW($I$2:$I$151)&lt;=ROW())*($I$2:$I$151&gt;=DATE(Calendario!$C$3,Calendario!$C$2,1))*($I$2:$I$151&lt;DATE(Calendario!$C$3,Calendario!$C$2+1,1))*($L$2:$L$151&lt;&gt;"Realizado")*($L$2:$L$151&lt;&gt;"Cancelado")))</f>
        <v/>
      </c>
    </row>
    <row r="57" ht="15" customHeight="1" s="1">
      <c r="A57" s="13">
        <f>IF(B57="","",ROW()-1)</f>
        <v/>
      </c>
      <c r="B57" s="14" t="n"/>
      <c r="C57" s="13">
        <f>IFERROR(INDEX(Clientes!$C:$C,MATCH(B57,Clientes!$B:$B,0)),"")</f>
        <v/>
      </c>
      <c r="D57" s="14">
        <f>IFERROR(INDEX(Clientes!$D:$D,MATCH(B57,Clientes!$B:$B,0)),"")</f>
        <v/>
      </c>
      <c r="E57" s="14">
        <f>IFERROR(INDEX(Clientes!$M:$M,MATCH(B57,Clientes!$B:$B,0)),"")</f>
        <v/>
      </c>
      <c r="F57" s="14">
        <f>IFERROR(INDEX(Clientes!$F:$F,MATCH(B57,Clientes!$B:$B,0)),"")</f>
        <v/>
      </c>
      <c r="G57" s="14">
        <f>IFERROR(INDEX(Clientes!$G:$G,MATCH(B57,Clientes!$B:$B,0)),"")</f>
        <v/>
      </c>
      <c r="H57" s="14" t="n"/>
      <c r="I57" s="15" t="n"/>
      <c r="J57" s="16" t="n"/>
      <c r="K57" s="14" t="n"/>
      <c r="L57" s="14" t="n"/>
      <c r="M57" s="13">
        <f>IF(I57="","",I57-TODAY())</f>
        <v/>
      </c>
      <c r="N57" s="14" t="n"/>
      <c r="O57" s="14">
        <f>IFERROR(IF(B57="","",IF(H57="","",IF(H57="Otro (mensaje libre)","",IF(H57="Requisitos (Crédito/Contado)",IF(OR(F57="",G57=""),"Indica primero el Método de Compra y el Tipo de Persona del cliente en la pestaña Clientes.",_xlfn.SWITCH($F57&amp;"|"&amp;$G57,"Crédito|Persona física","Hola, "&amp;$B57&amp;", para continuar con el proceso de tu *"&amp;$D57&amp;"* por "&amp;$F57&amp;",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"&amp;$B57&amp;", para continuar con el proceso de tu *"&amp;$D57&amp;"* por "&amp;$F57&amp;",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"&amp;$B57&amp;", para continuar con el proceso de tu *"&amp;$D57&amp;"* por "&amp;$F57&amp;",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"&amp;$B57&amp;", para continuar con el proceso de tu *"&amp;$D57&amp;"* por "&amp;$F57&amp;", estos son los documentos que necesitamos:"&amp;CHAR(10)&amp;CHAR(10)&amp;"- INE"&amp;CHAR(10)&amp;"- Comprobante de domicilio"&amp;CHAR(10)&amp;"- Constancia de situación fiscal (no mayor a 3 meses)","Contado|Persona física con actividad empresarial","Hola, "&amp;$B57&amp;", para continuar con el proceso de tu *"&amp;$D57&amp;"* por "&amp;$F57&amp;", estos son los documentos que necesitamos:"&amp;CHAR(10)&amp;CHAR(10)&amp;"- INE"&amp;CHAR(10)&amp;"- Comprobante de domicilio"&amp;CHAR(10)&amp;"- Constancia de situación fiscal (no mayor a 3 meses)","Contado|Persona moral","Hola, "&amp;$B57&amp;", para continuar con el proceso de tu *"&amp;$D57&amp;"* por "&amp;$F57&amp;",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Clientes.")&amp;CHAR(10)&amp;CHAR(10)&amp;Config!$B$1),IF(D57="","",SUBSTITUTE(SUBSTITUTE(INDEX('Catálogo Mensajes'!$D:$J,MATCH($D57,'Catálogo Mensajes'!$B:$B,0),MATCH($H57,'Catálogo Mensajes'!$D$4:$J$4,0)),"{NOMBRE}",$B57),"{PROMO}",'Catálogo Mensajes'!$C$2)&amp;CHAR(10)&amp;CHAR(10)&amp;Config!$B$1))))),"")</f>
        <v/>
      </c>
      <c r="P57" s="13">
        <f>IF(OR(O57="",C57=""),"",HYPERLINK("https://wa.me/52"&amp;C57&amp;"?text="&amp;_xlfn.ENCODEURL(O57),"Enviar mensaje"))</f>
        <v/>
      </c>
      <c r="Q57" s="13">
        <f>IF(OR(I57="",L57="Realizado",L57="Cancelado"),"",SUMPRODUCT(($I$2:$I$151&lt;I57)*($I$2:$I$151&gt;=DATE(Calendario!$C$3,Calendario!$C$2,1))*($I$2:$I$151&lt;DATE(Calendario!$C$3,Calendario!$C$2+1,1))*($L$2:$L$151&lt;&gt;"Realizado")*($L$2:$L$151&lt;&gt;"Cancelado"))+SUMPRODUCT(($I$2:$I$151=I57)*(ROW($I$2:$I$151)&lt;=ROW())*($I$2:$I$151&gt;=DATE(Calendario!$C$3,Calendario!$C$2,1))*($I$2:$I$151&lt;DATE(Calendario!$C$3,Calendario!$C$2+1,1))*($L$2:$L$151&lt;&gt;"Realizado")*($L$2:$L$151&lt;&gt;"Cancelado")))</f>
        <v/>
      </c>
    </row>
    <row r="58" ht="15" customHeight="1" s="1">
      <c r="A58" s="13">
        <f>IF(B58="","",ROW()-1)</f>
        <v/>
      </c>
      <c r="B58" s="14" t="n"/>
      <c r="C58" s="13">
        <f>IFERROR(INDEX(Clientes!$C:$C,MATCH(B58,Clientes!$B:$B,0)),"")</f>
        <v/>
      </c>
      <c r="D58" s="14">
        <f>IFERROR(INDEX(Clientes!$D:$D,MATCH(B58,Clientes!$B:$B,0)),"")</f>
        <v/>
      </c>
      <c r="E58" s="14">
        <f>IFERROR(INDEX(Clientes!$M:$M,MATCH(B58,Clientes!$B:$B,0)),"")</f>
        <v/>
      </c>
      <c r="F58" s="14">
        <f>IFERROR(INDEX(Clientes!$F:$F,MATCH(B58,Clientes!$B:$B,0)),"")</f>
        <v/>
      </c>
      <c r="G58" s="14">
        <f>IFERROR(INDEX(Clientes!$G:$G,MATCH(B58,Clientes!$B:$B,0)),"")</f>
        <v/>
      </c>
      <c r="H58" s="14" t="n"/>
      <c r="I58" s="15" t="n"/>
      <c r="J58" s="16" t="n"/>
      <c r="K58" s="14" t="n"/>
      <c r="L58" s="14" t="n"/>
      <c r="M58" s="13">
        <f>IF(I58="","",I58-TODAY())</f>
        <v/>
      </c>
      <c r="N58" s="14" t="n"/>
      <c r="O58" s="14">
        <f>IFERROR(IF(B58="","",IF(H58="","",IF(H58="Otro (mensaje libre)","",IF(H58="Requisitos (Crédito/Contado)",IF(OR(F58="",G58=""),"Indica primero el Método de Compra y el Tipo de Persona del cliente en la pestaña Clientes.",_xlfn.SWITCH($F58&amp;"|"&amp;$G58,"Crédito|Persona física","Hola, "&amp;$B58&amp;", para continuar con el proceso de tu *"&amp;$D58&amp;"* por "&amp;$F58&amp;",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"&amp;$B58&amp;", para continuar con el proceso de tu *"&amp;$D58&amp;"* por "&amp;$F58&amp;",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"&amp;$B58&amp;", para continuar con el proceso de tu *"&amp;$D58&amp;"* por "&amp;$F58&amp;",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"&amp;$B58&amp;", para continuar con el proceso de tu *"&amp;$D58&amp;"* por "&amp;$F58&amp;", estos son los documentos que necesitamos:"&amp;CHAR(10)&amp;CHAR(10)&amp;"- INE"&amp;CHAR(10)&amp;"- Comprobante de domicilio"&amp;CHAR(10)&amp;"- Constancia de situación fiscal (no mayor a 3 meses)","Contado|Persona física con actividad empresarial","Hola, "&amp;$B58&amp;", para continuar con el proceso de tu *"&amp;$D58&amp;"* por "&amp;$F58&amp;", estos son los documentos que necesitamos:"&amp;CHAR(10)&amp;CHAR(10)&amp;"- INE"&amp;CHAR(10)&amp;"- Comprobante de domicilio"&amp;CHAR(10)&amp;"- Constancia de situación fiscal (no mayor a 3 meses)","Contado|Persona moral","Hola, "&amp;$B58&amp;", para continuar con el proceso de tu *"&amp;$D58&amp;"* por "&amp;$F58&amp;",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Clientes.")&amp;CHAR(10)&amp;CHAR(10)&amp;Config!$B$1),IF(D58="","",SUBSTITUTE(SUBSTITUTE(INDEX('Catálogo Mensajes'!$D:$J,MATCH($D58,'Catálogo Mensajes'!$B:$B,0),MATCH($H58,'Catálogo Mensajes'!$D$4:$J$4,0)),"{NOMBRE}",$B58),"{PROMO}",'Catálogo Mensajes'!$C$2)&amp;CHAR(10)&amp;CHAR(10)&amp;Config!$B$1))))),"")</f>
        <v/>
      </c>
      <c r="P58" s="13">
        <f>IF(OR(O58="",C58=""),"",HYPERLINK("https://wa.me/52"&amp;C58&amp;"?text="&amp;_xlfn.ENCODEURL(O58),"Enviar mensaje"))</f>
        <v/>
      </c>
      <c r="Q58" s="13">
        <f>IF(OR(I58="",L58="Realizado",L58="Cancelado"),"",SUMPRODUCT(($I$2:$I$151&lt;I58)*($I$2:$I$151&gt;=DATE(Calendario!$C$3,Calendario!$C$2,1))*($I$2:$I$151&lt;DATE(Calendario!$C$3,Calendario!$C$2+1,1))*($L$2:$L$151&lt;&gt;"Realizado")*($L$2:$L$151&lt;&gt;"Cancelado"))+SUMPRODUCT(($I$2:$I$151=I58)*(ROW($I$2:$I$151)&lt;=ROW())*($I$2:$I$151&gt;=DATE(Calendario!$C$3,Calendario!$C$2,1))*($I$2:$I$151&lt;DATE(Calendario!$C$3,Calendario!$C$2+1,1))*($L$2:$L$151&lt;&gt;"Realizado")*($L$2:$L$151&lt;&gt;"Cancelado")))</f>
        <v/>
      </c>
    </row>
    <row r="59" ht="15" customHeight="1" s="1">
      <c r="A59" s="13">
        <f>IF(B59="","",ROW()-1)</f>
        <v/>
      </c>
      <c r="B59" s="14" t="n"/>
      <c r="C59" s="13">
        <f>IFERROR(INDEX(Clientes!$C:$C,MATCH(B59,Clientes!$B:$B,0)),"")</f>
        <v/>
      </c>
      <c r="D59" s="14">
        <f>IFERROR(INDEX(Clientes!$D:$D,MATCH(B59,Clientes!$B:$B,0)),"")</f>
        <v/>
      </c>
      <c r="E59" s="14">
        <f>IFERROR(INDEX(Clientes!$M:$M,MATCH(B59,Clientes!$B:$B,0)),"")</f>
        <v/>
      </c>
      <c r="F59" s="14">
        <f>IFERROR(INDEX(Clientes!$F:$F,MATCH(B59,Clientes!$B:$B,0)),"")</f>
        <v/>
      </c>
      <c r="G59" s="14">
        <f>IFERROR(INDEX(Clientes!$G:$G,MATCH(B59,Clientes!$B:$B,0)),"")</f>
        <v/>
      </c>
      <c r="H59" s="14" t="n"/>
      <c r="I59" s="15" t="n"/>
      <c r="J59" s="16" t="n"/>
      <c r="K59" s="14" t="n"/>
      <c r="L59" s="14" t="n"/>
      <c r="M59" s="13">
        <f>IF(I59="","",I59-TODAY())</f>
        <v/>
      </c>
      <c r="N59" s="14" t="n"/>
      <c r="O59" s="14">
        <f>IFERROR(IF(B59="","",IF(H59="","",IF(H59="Otro (mensaje libre)","",IF(H59="Requisitos (Crédito/Contado)",IF(OR(F59="",G59=""),"Indica primero el Método de Compra y el Tipo de Persona del cliente en la pestaña Clientes.",_xlfn.SWITCH($F59&amp;"|"&amp;$G59,"Crédito|Persona física","Hola, "&amp;$B59&amp;", para continuar con el proceso de tu *"&amp;$D59&amp;"* por "&amp;$F59&amp;",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"&amp;$B59&amp;", para continuar con el proceso de tu *"&amp;$D59&amp;"* por "&amp;$F59&amp;",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"&amp;$B59&amp;", para continuar con el proceso de tu *"&amp;$D59&amp;"* por "&amp;$F59&amp;",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"&amp;$B59&amp;", para continuar con el proceso de tu *"&amp;$D59&amp;"* por "&amp;$F59&amp;", estos son los documentos que necesitamos:"&amp;CHAR(10)&amp;CHAR(10)&amp;"- INE"&amp;CHAR(10)&amp;"- Comprobante de domicilio"&amp;CHAR(10)&amp;"- Constancia de situación fiscal (no mayor a 3 meses)","Contado|Persona física con actividad empresarial","Hola, "&amp;$B59&amp;", para continuar con el proceso de tu *"&amp;$D59&amp;"* por "&amp;$F59&amp;", estos son los documentos que necesitamos:"&amp;CHAR(10)&amp;CHAR(10)&amp;"- INE"&amp;CHAR(10)&amp;"- Comprobante de domicilio"&amp;CHAR(10)&amp;"- Constancia de situación fiscal (no mayor a 3 meses)","Contado|Persona moral","Hola, "&amp;$B59&amp;", para continuar con el proceso de tu *"&amp;$D59&amp;"* por "&amp;$F59&amp;",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Clientes.")&amp;CHAR(10)&amp;CHAR(10)&amp;Config!$B$1),IF(D59="","",SUBSTITUTE(SUBSTITUTE(INDEX('Catálogo Mensajes'!$D:$J,MATCH($D59,'Catálogo Mensajes'!$B:$B,0),MATCH($H59,'Catálogo Mensajes'!$D$4:$J$4,0)),"{NOMBRE}",$B59),"{PROMO}",'Catálogo Mensajes'!$C$2)&amp;CHAR(10)&amp;CHAR(10)&amp;Config!$B$1))))),"")</f>
        <v/>
      </c>
      <c r="P59" s="13">
        <f>IF(OR(O59="",C59=""),"",HYPERLINK("https://wa.me/52"&amp;C59&amp;"?text="&amp;_xlfn.ENCODEURL(O59),"Enviar mensaje"))</f>
        <v/>
      </c>
      <c r="Q59" s="13">
        <f>IF(OR(I59="",L59="Realizado",L59="Cancelado"),"",SUMPRODUCT(($I$2:$I$151&lt;I59)*($I$2:$I$151&gt;=DATE(Calendario!$C$3,Calendario!$C$2,1))*($I$2:$I$151&lt;DATE(Calendario!$C$3,Calendario!$C$2+1,1))*($L$2:$L$151&lt;&gt;"Realizado")*($L$2:$L$151&lt;&gt;"Cancelado"))+SUMPRODUCT(($I$2:$I$151=I59)*(ROW($I$2:$I$151)&lt;=ROW())*($I$2:$I$151&gt;=DATE(Calendario!$C$3,Calendario!$C$2,1))*($I$2:$I$151&lt;DATE(Calendario!$C$3,Calendario!$C$2+1,1))*($L$2:$L$151&lt;&gt;"Realizado")*($L$2:$L$151&lt;&gt;"Cancelado")))</f>
        <v/>
      </c>
    </row>
    <row r="60" ht="15" customHeight="1" s="1">
      <c r="A60" s="13">
        <f>IF(B60="","",ROW()-1)</f>
        <v/>
      </c>
      <c r="B60" s="14" t="n"/>
      <c r="C60" s="13">
        <f>IFERROR(INDEX(Clientes!$C:$C,MATCH(B60,Clientes!$B:$B,0)),"")</f>
        <v/>
      </c>
      <c r="D60" s="14">
        <f>IFERROR(INDEX(Clientes!$D:$D,MATCH(B60,Clientes!$B:$B,0)),"")</f>
        <v/>
      </c>
      <c r="E60" s="14">
        <f>IFERROR(INDEX(Clientes!$M:$M,MATCH(B60,Clientes!$B:$B,0)),"")</f>
        <v/>
      </c>
      <c r="F60" s="14">
        <f>IFERROR(INDEX(Clientes!$F:$F,MATCH(B60,Clientes!$B:$B,0)),"")</f>
        <v/>
      </c>
      <c r="G60" s="14">
        <f>IFERROR(INDEX(Clientes!$G:$G,MATCH(B60,Clientes!$B:$B,0)),"")</f>
        <v/>
      </c>
      <c r="H60" s="14" t="n"/>
      <c r="I60" s="15" t="n"/>
      <c r="J60" s="16" t="n"/>
      <c r="K60" s="14" t="n"/>
      <c r="L60" s="14" t="n"/>
      <c r="M60" s="13">
        <f>IF(I60="","",I60-TODAY())</f>
        <v/>
      </c>
      <c r="N60" s="14" t="n"/>
      <c r="O60" s="14">
        <f>IFERROR(IF(B60="","",IF(H60="","",IF(H60="Otro (mensaje libre)","",IF(H60="Requisitos (Crédito/Contado)",IF(OR(F60="",G60=""),"Indica primero el Método de Compra y el Tipo de Persona del cliente en la pestaña Clientes.",_xlfn.SWITCH($F60&amp;"|"&amp;$G60,"Crédito|Persona física","Hola, "&amp;$B60&amp;", para continuar con el proceso de tu *"&amp;$D60&amp;"* por "&amp;$F60&amp;",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"&amp;$B60&amp;", para continuar con el proceso de tu *"&amp;$D60&amp;"* por "&amp;$F60&amp;",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"&amp;$B60&amp;", para continuar con el proceso de tu *"&amp;$D60&amp;"* por "&amp;$F60&amp;",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"&amp;$B60&amp;", para continuar con el proceso de tu *"&amp;$D60&amp;"* por "&amp;$F60&amp;", estos son los documentos que necesitamos:"&amp;CHAR(10)&amp;CHAR(10)&amp;"- INE"&amp;CHAR(10)&amp;"- Comprobante de domicilio"&amp;CHAR(10)&amp;"- Constancia de situación fiscal (no mayor a 3 meses)","Contado|Persona física con actividad empresarial","Hola, "&amp;$B60&amp;", para continuar con el proceso de tu *"&amp;$D60&amp;"* por "&amp;$F60&amp;", estos son los documentos que necesitamos:"&amp;CHAR(10)&amp;CHAR(10)&amp;"- INE"&amp;CHAR(10)&amp;"- Comprobante de domicilio"&amp;CHAR(10)&amp;"- Constancia de situación fiscal (no mayor a 3 meses)","Contado|Persona moral","Hola, "&amp;$B60&amp;", para continuar con el proceso de tu *"&amp;$D60&amp;"* por "&amp;$F60&amp;",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Clientes.")&amp;CHAR(10)&amp;CHAR(10)&amp;Config!$B$1),IF(D60="","",SUBSTITUTE(SUBSTITUTE(INDEX('Catálogo Mensajes'!$D:$J,MATCH($D60,'Catálogo Mensajes'!$B:$B,0),MATCH($H60,'Catálogo Mensajes'!$D$4:$J$4,0)),"{NOMBRE}",$B60),"{PROMO}",'Catálogo Mensajes'!$C$2)&amp;CHAR(10)&amp;CHAR(10)&amp;Config!$B$1))))),"")</f>
        <v/>
      </c>
      <c r="P60" s="13">
        <f>IF(OR(O60="",C60=""),"",HYPERLINK("https://wa.me/52"&amp;C60&amp;"?text="&amp;_xlfn.ENCODEURL(O60),"Enviar mensaje"))</f>
        <v/>
      </c>
      <c r="Q60" s="13">
        <f>IF(OR(I60="",L60="Realizado",L60="Cancelado"),"",SUMPRODUCT(($I$2:$I$151&lt;I60)*($I$2:$I$151&gt;=DATE(Calendario!$C$3,Calendario!$C$2,1))*($I$2:$I$151&lt;DATE(Calendario!$C$3,Calendario!$C$2+1,1))*($L$2:$L$151&lt;&gt;"Realizado")*($L$2:$L$151&lt;&gt;"Cancelado"))+SUMPRODUCT(($I$2:$I$151=I60)*(ROW($I$2:$I$151)&lt;=ROW())*($I$2:$I$151&gt;=DATE(Calendario!$C$3,Calendario!$C$2,1))*($I$2:$I$151&lt;DATE(Calendario!$C$3,Calendario!$C$2+1,1))*($L$2:$L$151&lt;&gt;"Realizado")*($L$2:$L$151&lt;&gt;"Cancelado")))</f>
        <v/>
      </c>
    </row>
    <row r="61" ht="15" customHeight="1" s="1">
      <c r="A61" s="13">
        <f>IF(B61="","",ROW()-1)</f>
        <v/>
      </c>
      <c r="B61" s="14" t="n"/>
      <c r="C61" s="13">
        <f>IFERROR(INDEX(Clientes!$C:$C,MATCH(B61,Clientes!$B:$B,0)),"")</f>
        <v/>
      </c>
      <c r="D61" s="14">
        <f>IFERROR(INDEX(Clientes!$D:$D,MATCH(B61,Clientes!$B:$B,0)),"")</f>
        <v/>
      </c>
      <c r="E61" s="14">
        <f>IFERROR(INDEX(Clientes!$M:$M,MATCH(B61,Clientes!$B:$B,0)),"")</f>
        <v/>
      </c>
      <c r="F61" s="14">
        <f>IFERROR(INDEX(Clientes!$F:$F,MATCH(B61,Clientes!$B:$B,0)),"")</f>
        <v/>
      </c>
      <c r="G61" s="14">
        <f>IFERROR(INDEX(Clientes!$G:$G,MATCH(B61,Clientes!$B:$B,0)),"")</f>
        <v/>
      </c>
      <c r="H61" s="14" t="n"/>
      <c r="I61" s="15" t="n"/>
      <c r="J61" s="16" t="n"/>
      <c r="K61" s="14" t="n"/>
      <c r="L61" s="14" t="n"/>
      <c r="M61" s="13">
        <f>IF(I61="","",I61-TODAY())</f>
        <v/>
      </c>
      <c r="N61" s="14" t="n"/>
      <c r="O61" s="14">
        <f>IFERROR(IF(B61="","",IF(H61="","",IF(H61="Otro (mensaje libre)","",IF(H61="Requisitos (Crédito/Contado)",IF(OR(F61="",G61=""),"Indica primero el Método de Compra y el Tipo de Persona del cliente en la pestaña Clientes.",_xlfn.SWITCH($F61&amp;"|"&amp;$G61,"Crédito|Persona física","Hola, "&amp;$B61&amp;", para continuar con el proceso de tu *"&amp;$D61&amp;"* por "&amp;$F61&amp;",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"&amp;$B61&amp;", para continuar con el proceso de tu *"&amp;$D61&amp;"* por "&amp;$F61&amp;",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"&amp;$B61&amp;", para continuar con el proceso de tu *"&amp;$D61&amp;"* por "&amp;$F61&amp;",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"&amp;$B61&amp;", para continuar con el proceso de tu *"&amp;$D61&amp;"* por "&amp;$F61&amp;", estos son los documentos que necesitamos:"&amp;CHAR(10)&amp;CHAR(10)&amp;"- INE"&amp;CHAR(10)&amp;"- Comprobante de domicilio"&amp;CHAR(10)&amp;"- Constancia de situación fiscal (no mayor a 3 meses)","Contado|Persona física con actividad empresarial","Hola, "&amp;$B61&amp;", para continuar con el proceso de tu *"&amp;$D61&amp;"* por "&amp;$F61&amp;", estos son los documentos que necesitamos:"&amp;CHAR(10)&amp;CHAR(10)&amp;"- INE"&amp;CHAR(10)&amp;"- Comprobante de domicilio"&amp;CHAR(10)&amp;"- Constancia de situación fiscal (no mayor a 3 meses)","Contado|Persona moral","Hola, "&amp;$B61&amp;", para continuar con el proceso de tu *"&amp;$D61&amp;"* por "&amp;$F61&amp;",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Clientes.")&amp;CHAR(10)&amp;CHAR(10)&amp;Config!$B$1),IF(D61="","",SUBSTITUTE(SUBSTITUTE(INDEX('Catálogo Mensajes'!$D:$J,MATCH($D61,'Catálogo Mensajes'!$B:$B,0),MATCH($H61,'Catálogo Mensajes'!$D$4:$J$4,0)),"{NOMBRE}",$B61),"{PROMO}",'Catálogo Mensajes'!$C$2)&amp;CHAR(10)&amp;CHAR(10)&amp;Config!$B$1))))),"")</f>
        <v/>
      </c>
      <c r="P61" s="13">
        <f>IF(OR(O61="",C61=""),"",HYPERLINK("https://wa.me/52"&amp;C61&amp;"?text="&amp;_xlfn.ENCODEURL(O61),"Enviar mensaje"))</f>
        <v/>
      </c>
      <c r="Q61" s="13">
        <f>IF(OR(I61="",L61="Realizado",L61="Cancelado"),"",SUMPRODUCT(($I$2:$I$151&lt;I61)*($I$2:$I$151&gt;=DATE(Calendario!$C$3,Calendario!$C$2,1))*($I$2:$I$151&lt;DATE(Calendario!$C$3,Calendario!$C$2+1,1))*($L$2:$L$151&lt;&gt;"Realizado")*($L$2:$L$151&lt;&gt;"Cancelado"))+SUMPRODUCT(($I$2:$I$151=I61)*(ROW($I$2:$I$151)&lt;=ROW())*($I$2:$I$151&gt;=DATE(Calendario!$C$3,Calendario!$C$2,1))*($I$2:$I$151&lt;DATE(Calendario!$C$3,Calendario!$C$2+1,1))*($L$2:$L$151&lt;&gt;"Realizado")*($L$2:$L$151&lt;&gt;"Cancelado")))</f>
        <v/>
      </c>
    </row>
    <row r="62" ht="15" customHeight="1" s="1">
      <c r="A62" s="13">
        <f>IF(B62="","",ROW()-1)</f>
        <v/>
      </c>
      <c r="B62" s="14" t="n"/>
      <c r="C62" s="13">
        <f>IFERROR(INDEX(Clientes!$C:$C,MATCH(B62,Clientes!$B:$B,0)),"")</f>
        <v/>
      </c>
      <c r="D62" s="14">
        <f>IFERROR(INDEX(Clientes!$D:$D,MATCH(B62,Clientes!$B:$B,0)),"")</f>
        <v/>
      </c>
      <c r="E62" s="14">
        <f>IFERROR(INDEX(Clientes!$M:$M,MATCH(B62,Clientes!$B:$B,0)),"")</f>
        <v/>
      </c>
      <c r="F62" s="14">
        <f>IFERROR(INDEX(Clientes!$F:$F,MATCH(B62,Clientes!$B:$B,0)),"")</f>
        <v/>
      </c>
      <c r="G62" s="14">
        <f>IFERROR(INDEX(Clientes!$G:$G,MATCH(B62,Clientes!$B:$B,0)),"")</f>
        <v/>
      </c>
      <c r="H62" s="14" t="n"/>
      <c r="I62" s="15" t="n"/>
      <c r="J62" s="16" t="n"/>
      <c r="K62" s="14" t="n"/>
      <c r="L62" s="14" t="n"/>
      <c r="M62" s="13">
        <f>IF(I62="","",I62-TODAY())</f>
        <v/>
      </c>
      <c r="N62" s="14" t="n"/>
      <c r="O62" s="14">
        <f>IFERROR(IF(B62="","",IF(H62="","",IF(H62="Otro (mensaje libre)","",IF(H62="Requisitos (Crédito/Contado)",IF(OR(F62="",G62=""),"Indica primero el Método de Compra y el Tipo de Persona del cliente en la pestaña Clientes.",_xlfn.SWITCH($F62&amp;"|"&amp;$G62,"Crédito|Persona física","Hola, "&amp;$B62&amp;", para continuar con el proceso de tu *"&amp;$D62&amp;"* por "&amp;$F62&amp;",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"&amp;$B62&amp;", para continuar con el proceso de tu *"&amp;$D62&amp;"* por "&amp;$F62&amp;",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"&amp;$B62&amp;", para continuar con el proceso de tu *"&amp;$D62&amp;"* por "&amp;$F62&amp;",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"&amp;$B62&amp;", para continuar con el proceso de tu *"&amp;$D62&amp;"* por "&amp;$F62&amp;", estos son los documentos que necesitamos:"&amp;CHAR(10)&amp;CHAR(10)&amp;"- INE"&amp;CHAR(10)&amp;"- Comprobante de domicilio"&amp;CHAR(10)&amp;"- Constancia de situación fiscal (no mayor a 3 meses)","Contado|Persona física con actividad empresarial","Hola, "&amp;$B62&amp;", para continuar con el proceso de tu *"&amp;$D62&amp;"* por "&amp;$F62&amp;", estos son los documentos que necesitamos:"&amp;CHAR(10)&amp;CHAR(10)&amp;"- INE"&amp;CHAR(10)&amp;"- Comprobante de domicilio"&amp;CHAR(10)&amp;"- Constancia de situación fiscal (no mayor a 3 meses)","Contado|Persona moral","Hola, "&amp;$B62&amp;", para continuar con el proceso de tu *"&amp;$D62&amp;"* por "&amp;$F62&amp;",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Clientes.")&amp;CHAR(10)&amp;CHAR(10)&amp;Config!$B$1),IF(D62="","",SUBSTITUTE(SUBSTITUTE(INDEX('Catálogo Mensajes'!$D:$J,MATCH($D62,'Catálogo Mensajes'!$B:$B,0),MATCH($H62,'Catálogo Mensajes'!$D$4:$J$4,0)),"{NOMBRE}",$B62),"{PROMO}",'Catálogo Mensajes'!$C$2)&amp;CHAR(10)&amp;CHAR(10)&amp;Config!$B$1))))),"")</f>
        <v/>
      </c>
      <c r="P62" s="13">
        <f>IF(OR(O62="",C62=""),"",HYPERLINK("https://wa.me/52"&amp;C62&amp;"?text="&amp;_xlfn.ENCODEURL(O62),"Enviar mensaje"))</f>
        <v/>
      </c>
      <c r="Q62" s="13">
        <f>IF(OR(I62="",L62="Realizado",L62="Cancelado"),"",SUMPRODUCT(($I$2:$I$151&lt;I62)*($I$2:$I$151&gt;=DATE(Calendario!$C$3,Calendario!$C$2,1))*($I$2:$I$151&lt;DATE(Calendario!$C$3,Calendario!$C$2+1,1))*($L$2:$L$151&lt;&gt;"Realizado")*($L$2:$L$151&lt;&gt;"Cancelado"))+SUMPRODUCT(($I$2:$I$151=I62)*(ROW($I$2:$I$151)&lt;=ROW())*($I$2:$I$151&gt;=DATE(Calendario!$C$3,Calendario!$C$2,1))*($I$2:$I$151&lt;DATE(Calendario!$C$3,Calendario!$C$2+1,1))*($L$2:$L$151&lt;&gt;"Realizado")*($L$2:$L$151&lt;&gt;"Cancelado")))</f>
        <v/>
      </c>
    </row>
    <row r="63" ht="15" customHeight="1" s="1">
      <c r="A63" s="13">
        <f>IF(B63="","",ROW()-1)</f>
        <v/>
      </c>
      <c r="B63" s="14" t="n"/>
      <c r="C63" s="13">
        <f>IFERROR(INDEX(Clientes!$C:$C,MATCH(B63,Clientes!$B:$B,0)),"")</f>
        <v/>
      </c>
      <c r="D63" s="14">
        <f>IFERROR(INDEX(Clientes!$D:$D,MATCH(B63,Clientes!$B:$B,0)),"")</f>
        <v/>
      </c>
      <c r="E63" s="14">
        <f>IFERROR(INDEX(Clientes!$M:$M,MATCH(B63,Clientes!$B:$B,0)),"")</f>
        <v/>
      </c>
      <c r="F63" s="14">
        <f>IFERROR(INDEX(Clientes!$F:$F,MATCH(B63,Clientes!$B:$B,0)),"")</f>
        <v/>
      </c>
      <c r="G63" s="14">
        <f>IFERROR(INDEX(Clientes!$G:$G,MATCH(B63,Clientes!$B:$B,0)),"")</f>
        <v/>
      </c>
      <c r="H63" s="14" t="n"/>
      <c r="I63" s="15" t="n"/>
      <c r="J63" s="16" t="n"/>
      <c r="K63" s="14" t="n"/>
      <c r="L63" s="14" t="n"/>
      <c r="M63" s="13">
        <f>IF(I63="","",I63-TODAY())</f>
        <v/>
      </c>
      <c r="N63" s="14" t="n"/>
      <c r="O63" s="14">
        <f>IFERROR(IF(B63="","",IF(H63="","",IF(H63="Otro (mensaje libre)","",IF(H63="Requisitos (Crédito/Contado)",IF(OR(F63="",G63=""),"Indica primero el Método de Compra y el Tipo de Persona del cliente en la pestaña Clientes.",_xlfn.SWITCH($F63&amp;"|"&amp;$G63,"Crédito|Persona física","Hola, "&amp;$B63&amp;", para continuar con el proceso de tu *"&amp;$D63&amp;"* por "&amp;$F63&amp;",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"&amp;$B63&amp;", para continuar con el proceso de tu *"&amp;$D63&amp;"* por "&amp;$F63&amp;",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"&amp;$B63&amp;", para continuar con el proceso de tu *"&amp;$D63&amp;"* por "&amp;$F63&amp;",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"&amp;$B63&amp;", para continuar con el proceso de tu *"&amp;$D63&amp;"* por "&amp;$F63&amp;", estos son los documentos que necesitamos:"&amp;CHAR(10)&amp;CHAR(10)&amp;"- INE"&amp;CHAR(10)&amp;"- Comprobante de domicilio"&amp;CHAR(10)&amp;"- Constancia de situación fiscal (no mayor a 3 meses)","Contado|Persona física con actividad empresarial","Hola, "&amp;$B63&amp;", para continuar con el proceso de tu *"&amp;$D63&amp;"* por "&amp;$F63&amp;", estos son los documentos que necesitamos:"&amp;CHAR(10)&amp;CHAR(10)&amp;"- INE"&amp;CHAR(10)&amp;"- Comprobante de domicilio"&amp;CHAR(10)&amp;"- Constancia de situación fiscal (no mayor a 3 meses)","Contado|Persona moral","Hola, "&amp;$B63&amp;", para continuar con el proceso de tu *"&amp;$D63&amp;"* por "&amp;$F63&amp;",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Clientes.")&amp;CHAR(10)&amp;CHAR(10)&amp;Config!$B$1),IF(D63="","",SUBSTITUTE(SUBSTITUTE(INDEX('Catálogo Mensajes'!$D:$J,MATCH($D63,'Catálogo Mensajes'!$B:$B,0),MATCH($H63,'Catálogo Mensajes'!$D$4:$J$4,0)),"{NOMBRE}",$B63),"{PROMO}",'Catálogo Mensajes'!$C$2)&amp;CHAR(10)&amp;CHAR(10)&amp;Config!$B$1))))),"")</f>
        <v/>
      </c>
      <c r="P63" s="13">
        <f>IF(OR(O63="",C63=""),"",HYPERLINK("https://wa.me/52"&amp;C63&amp;"?text="&amp;_xlfn.ENCODEURL(O63),"Enviar mensaje"))</f>
        <v/>
      </c>
      <c r="Q63" s="13">
        <f>IF(OR(I63="",L63="Realizado",L63="Cancelado"),"",SUMPRODUCT(($I$2:$I$151&lt;I63)*($I$2:$I$151&gt;=DATE(Calendario!$C$3,Calendario!$C$2,1))*($I$2:$I$151&lt;DATE(Calendario!$C$3,Calendario!$C$2+1,1))*($L$2:$L$151&lt;&gt;"Realizado")*($L$2:$L$151&lt;&gt;"Cancelado"))+SUMPRODUCT(($I$2:$I$151=I63)*(ROW($I$2:$I$151)&lt;=ROW())*($I$2:$I$151&gt;=DATE(Calendario!$C$3,Calendario!$C$2,1))*($I$2:$I$151&lt;DATE(Calendario!$C$3,Calendario!$C$2+1,1))*($L$2:$L$151&lt;&gt;"Realizado")*($L$2:$L$151&lt;&gt;"Cancelado")))</f>
        <v/>
      </c>
    </row>
    <row r="64" ht="15" customHeight="1" s="1">
      <c r="A64" s="13">
        <f>IF(B64="","",ROW()-1)</f>
        <v/>
      </c>
      <c r="B64" s="14" t="n"/>
      <c r="C64" s="13">
        <f>IFERROR(INDEX(Clientes!$C:$C,MATCH(B64,Clientes!$B:$B,0)),"")</f>
        <v/>
      </c>
      <c r="D64" s="14">
        <f>IFERROR(INDEX(Clientes!$D:$D,MATCH(B64,Clientes!$B:$B,0)),"")</f>
        <v/>
      </c>
      <c r="E64" s="14">
        <f>IFERROR(INDEX(Clientes!$M:$M,MATCH(B64,Clientes!$B:$B,0)),"")</f>
        <v/>
      </c>
      <c r="F64" s="14">
        <f>IFERROR(INDEX(Clientes!$F:$F,MATCH(B64,Clientes!$B:$B,0)),"")</f>
        <v/>
      </c>
      <c r="G64" s="14">
        <f>IFERROR(INDEX(Clientes!$G:$G,MATCH(B64,Clientes!$B:$B,0)),"")</f>
        <v/>
      </c>
      <c r="H64" s="14" t="n"/>
      <c r="I64" s="15" t="n"/>
      <c r="J64" s="16" t="n"/>
      <c r="K64" s="14" t="n"/>
      <c r="L64" s="14" t="n"/>
      <c r="M64" s="13">
        <f>IF(I64="","",I64-TODAY())</f>
        <v/>
      </c>
      <c r="N64" s="14" t="n"/>
      <c r="O64" s="14">
        <f>IFERROR(IF(B64="","",IF(H64="","",IF(H64="Otro (mensaje libre)","",IF(H64="Requisitos (Crédito/Contado)",IF(OR(F64="",G64=""),"Indica primero el Método de Compra y el Tipo de Persona del cliente en la pestaña Clientes.",_xlfn.SWITCH($F64&amp;"|"&amp;$G64,"Crédito|Persona física","Hola, "&amp;$B64&amp;", para continuar con el proceso de tu *"&amp;$D64&amp;"* por "&amp;$F64&amp;",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"&amp;$B64&amp;", para continuar con el proceso de tu *"&amp;$D64&amp;"* por "&amp;$F64&amp;",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"&amp;$B64&amp;", para continuar con el proceso de tu *"&amp;$D64&amp;"* por "&amp;$F64&amp;",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"&amp;$B64&amp;", para continuar con el proceso de tu *"&amp;$D64&amp;"* por "&amp;$F64&amp;", estos son los documentos que necesitamos:"&amp;CHAR(10)&amp;CHAR(10)&amp;"- INE"&amp;CHAR(10)&amp;"- Comprobante de domicilio"&amp;CHAR(10)&amp;"- Constancia de situación fiscal (no mayor a 3 meses)","Contado|Persona física con actividad empresarial","Hola, "&amp;$B64&amp;", para continuar con el proceso de tu *"&amp;$D64&amp;"* por "&amp;$F64&amp;", estos son los documentos que necesitamos:"&amp;CHAR(10)&amp;CHAR(10)&amp;"- INE"&amp;CHAR(10)&amp;"- Comprobante de domicilio"&amp;CHAR(10)&amp;"- Constancia de situación fiscal (no mayor a 3 meses)","Contado|Persona moral","Hola, "&amp;$B64&amp;", para continuar con el proceso de tu *"&amp;$D64&amp;"* por "&amp;$F64&amp;",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Clientes.")&amp;CHAR(10)&amp;CHAR(10)&amp;Config!$B$1),IF(D64="","",SUBSTITUTE(SUBSTITUTE(INDEX('Catálogo Mensajes'!$D:$J,MATCH($D64,'Catálogo Mensajes'!$B:$B,0),MATCH($H64,'Catálogo Mensajes'!$D$4:$J$4,0)),"{NOMBRE}",$B64),"{PROMO}",'Catálogo Mensajes'!$C$2)&amp;CHAR(10)&amp;CHAR(10)&amp;Config!$B$1))))),"")</f>
        <v/>
      </c>
      <c r="P64" s="13">
        <f>IF(OR(O64="",C64=""),"",HYPERLINK("https://wa.me/52"&amp;C64&amp;"?text="&amp;_xlfn.ENCODEURL(O64),"Enviar mensaje"))</f>
        <v/>
      </c>
      <c r="Q64" s="13">
        <f>IF(OR(I64="",L64="Realizado",L64="Cancelado"),"",SUMPRODUCT(($I$2:$I$151&lt;I64)*($I$2:$I$151&gt;=DATE(Calendario!$C$3,Calendario!$C$2,1))*($I$2:$I$151&lt;DATE(Calendario!$C$3,Calendario!$C$2+1,1))*($L$2:$L$151&lt;&gt;"Realizado")*($L$2:$L$151&lt;&gt;"Cancelado"))+SUMPRODUCT(($I$2:$I$151=I64)*(ROW($I$2:$I$151)&lt;=ROW())*($I$2:$I$151&gt;=DATE(Calendario!$C$3,Calendario!$C$2,1))*($I$2:$I$151&lt;DATE(Calendario!$C$3,Calendario!$C$2+1,1))*($L$2:$L$151&lt;&gt;"Realizado")*($L$2:$L$151&lt;&gt;"Cancelado")))</f>
        <v/>
      </c>
    </row>
    <row r="65" ht="15" customHeight="1" s="1">
      <c r="A65" s="13">
        <f>IF(B65="","",ROW()-1)</f>
        <v/>
      </c>
      <c r="B65" s="14" t="n"/>
      <c r="C65" s="13">
        <f>IFERROR(INDEX(Clientes!$C:$C,MATCH(B65,Clientes!$B:$B,0)),"")</f>
        <v/>
      </c>
      <c r="D65" s="14">
        <f>IFERROR(INDEX(Clientes!$D:$D,MATCH(B65,Clientes!$B:$B,0)),"")</f>
        <v/>
      </c>
      <c r="E65" s="14">
        <f>IFERROR(INDEX(Clientes!$M:$M,MATCH(B65,Clientes!$B:$B,0)),"")</f>
        <v/>
      </c>
      <c r="F65" s="14">
        <f>IFERROR(INDEX(Clientes!$F:$F,MATCH(B65,Clientes!$B:$B,0)),"")</f>
        <v/>
      </c>
      <c r="G65" s="14">
        <f>IFERROR(INDEX(Clientes!$G:$G,MATCH(B65,Clientes!$B:$B,0)),"")</f>
        <v/>
      </c>
      <c r="H65" s="14" t="n"/>
      <c r="I65" s="15" t="n"/>
      <c r="J65" s="16" t="n"/>
      <c r="K65" s="14" t="n"/>
      <c r="L65" s="14" t="n"/>
      <c r="M65" s="13">
        <f>IF(I65="","",I65-TODAY())</f>
        <v/>
      </c>
      <c r="N65" s="14" t="n"/>
      <c r="O65" s="14">
        <f>IFERROR(IF(B65="","",IF(H65="","",IF(H65="Otro (mensaje libre)","",IF(H65="Requisitos (Crédito/Contado)",IF(OR(F65="",G65=""),"Indica primero el Método de Compra y el Tipo de Persona del cliente en la pestaña Clientes.",_xlfn.SWITCH($F65&amp;"|"&amp;$G65,"Crédito|Persona física","Hola, "&amp;$B65&amp;", para continuar con el proceso de tu *"&amp;$D65&amp;"* por "&amp;$F65&amp;",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"&amp;$B65&amp;", para continuar con el proceso de tu *"&amp;$D65&amp;"* por "&amp;$F65&amp;",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"&amp;$B65&amp;", para continuar con el proceso de tu *"&amp;$D65&amp;"* por "&amp;$F65&amp;",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"&amp;$B65&amp;", para continuar con el proceso de tu *"&amp;$D65&amp;"* por "&amp;$F65&amp;", estos son los documentos que necesitamos:"&amp;CHAR(10)&amp;CHAR(10)&amp;"- INE"&amp;CHAR(10)&amp;"- Comprobante de domicilio"&amp;CHAR(10)&amp;"- Constancia de situación fiscal (no mayor a 3 meses)","Contado|Persona física con actividad empresarial","Hola, "&amp;$B65&amp;", para continuar con el proceso de tu *"&amp;$D65&amp;"* por "&amp;$F65&amp;", estos son los documentos que necesitamos:"&amp;CHAR(10)&amp;CHAR(10)&amp;"- INE"&amp;CHAR(10)&amp;"- Comprobante de domicilio"&amp;CHAR(10)&amp;"- Constancia de situación fiscal (no mayor a 3 meses)","Contado|Persona moral","Hola, "&amp;$B65&amp;", para continuar con el proceso de tu *"&amp;$D65&amp;"* por "&amp;$F65&amp;",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Clientes.")&amp;CHAR(10)&amp;CHAR(10)&amp;Config!$B$1),IF(D65="","",SUBSTITUTE(SUBSTITUTE(INDEX('Catálogo Mensajes'!$D:$J,MATCH($D65,'Catálogo Mensajes'!$B:$B,0),MATCH($H65,'Catálogo Mensajes'!$D$4:$J$4,0)),"{NOMBRE}",$B65),"{PROMO}",'Catálogo Mensajes'!$C$2)&amp;CHAR(10)&amp;CHAR(10)&amp;Config!$B$1))))),"")</f>
        <v/>
      </c>
      <c r="P65" s="13">
        <f>IF(OR(O65="",C65=""),"",HYPERLINK("https://wa.me/52"&amp;C65&amp;"?text="&amp;_xlfn.ENCODEURL(O65),"Enviar mensaje"))</f>
        <v/>
      </c>
      <c r="Q65" s="13">
        <f>IF(OR(I65="",L65="Realizado",L65="Cancelado"),"",SUMPRODUCT(($I$2:$I$151&lt;I65)*($I$2:$I$151&gt;=DATE(Calendario!$C$3,Calendario!$C$2,1))*($I$2:$I$151&lt;DATE(Calendario!$C$3,Calendario!$C$2+1,1))*($L$2:$L$151&lt;&gt;"Realizado")*($L$2:$L$151&lt;&gt;"Cancelado"))+SUMPRODUCT(($I$2:$I$151=I65)*(ROW($I$2:$I$151)&lt;=ROW())*($I$2:$I$151&gt;=DATE(Calendario!$C$3,Calendario!$C$2,1))*($I$2:$I$151&lt;DATE(Calendario!$C$3,Calendario!$C$2+1,1))*($L$2:$L$151&lt;&gt;"Realizado")*($L$2:$L$151&lt;&gt;"Cancelado")))</f>
        <v/>
      </c>
    </row>
    <row r="66" ht="15" customHeight="1" s="1">
      <c r="A66" s="13">
        <f>IF(B66="","",ROW()-1)</f>
        <v/>
      </c>
      <c r="B66" s="14" t="n"/>
      <c r="C66" s="13">
        <f>IFERROR(INDEX(Clientes!$C:$C,MATCH(B66,Clientes!$B:$B,0)),"")</f>
        <v/>
      </c>
      <c r="D66" s="14">
        <f>IFERROR(INDEX(Clientes!$D:$D,MATCH(B66,Clientes!$B:$B,0)),"")</f>
        <v/>
      </c>
      <c r="E66" s="14">
        <f>IFERROR(INDEX(Clientes!$M:$M,MATCH(B66,Clientes!$B:$B,0)),"")</f>
        <v/>
      </c>
      <c r="F66" s="14">
        <f>IFERROR(INDEX(Clientes!$F:$F,MATCH(B66,Clientes!$B:$B,0)),"")</f>
        <v/>
      </c>
      <c r="G66" s="14">
        <f>IFERROR(INDEX(Clientes!$G:$G,MATCH(B66,Clientes!$B:$B,0)),"")</f>
        <v/>
      </c>
      <c r="H66" s="14" t="n"/>
      <c r="I66" s="15" t="n"/>
      <c r="J66" s="16" t="n"/>
      <c r="K66" s="14" t="n"/>
      <c r="L66" s="14" t="n"/>
      <c r="M66" s="13">
        <f>IF(I66="","",I66-TODAY())</f>
        <v/>
      </c>
      <c r="N66" s="14" t="n"/>
      <c r="O66" s="14">
        <f>IFERROR(IF(B66="","",IF(H66="","",IF(H66="Otro (mensaje libre)","",IF(H66="Requisitos (Crédito/Contado)",IF(OR(F66="",G66=""),"Indica primero el Método de Compra y el Tipo de Persona del cliente en la pestaña Clientes.",_xlfn.SWITCH($F66&amp;"|"&amp;$G66,"Crédito|Persona física","Hola, "&amp;$B66&amp;", para continuar con el proceso de tu *"&amp;$D66&amp;"* por "&amp;$F66&amp;",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"&amp;$B66&amp;", para continuar con el proceso de tu *"&amp;$D66&amp;"* por "&amp;$F66&amp;",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"&amp;$B66&amp;", para continuar con el proceso de tu *"&amp;$D66&amp;"* por "&amp;$F66&amp;",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"&amp;$B66&amp;", para continuar con el proceso de tu *"&amp;$D66&amp;"* por "&amp;$F66&amp;", estos son los documentos que necesitamos:"&amp;CHAR(10)&amp;CHAR(10)&amp;"- INE"&amp;CHAR(10)&amp;"- Comprobante de domicilio"&amp;CHAR(10)&amp;"- Constancia de situación fiscal (no mayor a 3 meses)","Contado|Persona física con actividad empresarial","Hola, "&amp;$B66&amp;", para continuar con el proceso de tu *"&amp;$D66&amp;"* por "&amp;$F66&amp;", estos son los documentos que necesitamos:"&amp;CHAR(10)&amp;CHAR(10)&amp;"- INE"&amp;CHAR(10)&amp;"- Comprobante de domicilio"&amp;CHAR(10)&amp;"- Constancia de situación fiscal (no mayor a 3 meses)","Contado|Persona moral","Hola, "&amp;$B66&amp;", para continuar con el proceso de tu *"&amp;$D66&amp;"* por "&amp;$F66&amp;",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Clientes.")&amp;CHAR(10)&amp;CHAR(10)&amp;Config!$B$1),IF(D66="","",SUBSTITUTE(SUBSTITUTE(INDEX('Catálogo Mensajes'!$D:$J,MATCH($D66,'Catálogo Mensajes'!$B:$B,0),MATCH($H66,'Catálogo Mensajes'!$D$4:$J$4,0)),"{NOMBRE}",$B66),"{PROMO}",'Catálogo Mensajes'!$C$2)&amp;CHAR(10)&amp;CHAR(10)&amp;Config!$B$1))))),"")</f>
        <v/>
      </c>
      <c r="P66" s="13">
        <f>IF(OR(O66="",C66=""),"",HYPERLINK("https://wa.me/52"&amp;C66&amp;"?text="&amp;_xlfn.ENCODEURL(O66),"Enviar mensaje"))</f>
        <v/>
      </c>
      <c r="Q66" s="13">
        <f>IF(OR(I66="",L66="Realizado",L66="Cancelado"),"",SUMPRODUCT(($I$2:$I$151&lt;I66)*($I$2:$I$151&gt;=DATE(Calendario!$C$3,Calendario!$C$2,1))*($I$2:$I$151&lt;DATE(Calendario!$C$3,Calendario!$C$2+1,1))*($L$2:$L$151&lt;&gt;"Realizado")*($L$2:$L$151&lt;&gt;"Cancelado"))+SUMPRODUCT(($I$2:$I$151=I66)*(ROW($I$2:$I$151)&lt;=ROW())*($I$2:$I$151&gt;=DATE(Calendario!$C$3,Calendario!$C$2,1))*($I$2:$I$151&lt;DATE(Calendario!$C$3,Calendario!$C$2+1,1))*($L$2:$L$151&lt;&gt;"Realizado")*($L$2:$L$151&lt;&gt;"Cancelado")))</f>
        <v/>
      </c>
    </row>
    <row r="67" ht="15" customHeight="1" s="1">
      <c r="A67" s="13">
        <f>IF(B67="","",ROW()-1)</f>
        <v/>
      </c>
      <c r="B67" s="14" t="n"/>
      <c r="C67" s="13">
        <f>IFERROR(INDEX(Clientes!$C:$C,MATCH(B67,Clientes!$B:$B,0)),"")</f>
        <v/>
      </c>
      <c r="D67" s="14">
        <f>IFERROR(INDEX(Clientes!$D:$D,MATCH(B67,Clientes!$B:$B,0)),"")</f>
        <v/>
      </c>
      <c r="E67" s="14">
        <f>IFERROR(INDEX(Clientes!$M:$M,MATCH(B67,Clientes!$B:$B,0)),"")</f>
        <v/>
      </c>
      <c r="F67" s="14">
        <f>IFERROR(INDEX(Clientes!$F:$F,MATCH(B67,Clientes!$B:$B,0)),"")</f>
        <v/>
      </c>
      <c r="G67" s="14">
        <f>IFERROR(INDEX(Clientes!$G:$G,MATCH(B67,Clientes!$B:$B,0)),"")</f>
        <v/>
      </c>
      <c r="H67" s="14" t="n"/>
      <c r="I67" s="15" t="n"/>
      <c r="J67" s="16" t="n"/>
      <c r="K67" s="14" t="n"/>
      <c r="L67" s="14" t="n"/>
      <c r="M67" s="13">
        <f>IF(I67="","",I67-TODAY())</f>
        <v/>
      </c>
      <c r="N67" s="14" t="n"/>
      <c r="O67" s="14">
        <f>IFERROR(IF(B67="","",IF(H67="","",IF(H67="Otro (mensaje libre)","",IF(H67="Requisitos (Crédito/Contado)",IF(OR(F67="",G67=""),"Indica primero el Método de Compra y el Tipo de Persona del cliente en la pestaña Clientes.",_xlfn.SWITCH($F67&amp;"|"&amp;$G67,"Crédito|Persona física","Hola, "&amp;$B67&amp;", para continuar con el proceso de tu *"&amp;$D67&amp;"* por "&amp;$F67&amp;",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"&amp;$B67&amp;", para continuar con el proceso de tu *"&amp;$D67&amp;"* por "&amp;$F67&amp;",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"&amp;$B67&amp;", para continuar con el proceso de tu *"&amp;$D67&amp;"* por "&amp;$F67&amp;",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"&amp;$B67&amp;", para continuar con el proceso de tu *"&amp;$D67&amp;"* por "&amp;$F67&amp;", estos son los documentos que necesitamos:"&amp;CHAR(10)&amp;CHAR(10)&amp;"- INE"&amp;CHAR(10)&amp;"- Comprobante de domicilio"&amp;CHAR(10)&amp;"- Constancia de situación fiscal (no mayor a 3 meses)","Contado|Persona física con actividad empresarial","Hola, "&amp;$B67&amp;", para continuar con el proceso de tu *"&amp;$D67&amp;"* por "&amp;$F67&amp;", estos son los documentos que necesitamos:"&amp;CHAR(10)&amp;CHAR(10)&amp;"- INE"&amp;CHAR(10)&amp;"- Comprobante de domicilio"&amp;CHAR(10)&amp;"- Constancia de situación fiscal (no mayor a 3 meses)","Contado|Persona moral","Hola, "&amp;$B67&amp;", para continuar con el proceso de tu *"&amp;$D67&amp;"* por "&amp;$F67&amp;",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Clientes.")&amp;CHAR(10)&amp;CHAR(10)&amp;Config!$B$1),IF(D67="","",SUBSTITUTE(SUBSTITUTE(INDEX('Catálogo Mensajes'!$D:$J,MATCH($D67,'Catálogo Mensajes'!$B:$B,0),MATCH($H67,'Catálogo Mensajes'!$D$4:$J$4,0)),"{NOMBRE}",$B67),"{PROMO}",'Catálogo Mensajes'!$C$2)&amp;CHAR(10)&amp;CHAR(10)&amp;Config!$B$1))))),"")</f>
        <v/>
      </c>
      <c r="P67" s="13">
        <f>IF(OR(O67="",C67=""),"",HYPERLINK("https://wa.me/52"&amp;C67&amp;"?text="&amp;_xlfn.ENCODEURL(O67),"Enviar mensaje"))</f>
        <v/>
      </c>
      <c r="Q67" s="13">
        <f>IF(OR(I67="",L67="Realizado",L67="Cancelado"),"",SUMPRODUCT(($I$2:$I$151&lt;I67)*($I$2:$I$151&gt;=DATE(Calendario!$C$3,Calendario!$C$2,1))*($I$2:$I$151&lt;DATE(Calendario!$C$3,Calendario!$C$2+1,1))*($L$2:$L$151&lt;&gt;"Realizado")*($L$2:$L$151&lt;&gt;"Cancelado"))+SUMPRODUCT(($I$2:$I$151=I67)*(ROW($I$2:$I$151)&lt;=ROW())*($I$2:$I$151&gt;=DATE(Calendario!$C$3,Calendario!$C$2,1))*($I$2:$I$151&lt;DATE(Calendario!$C$3,Calendario!$C$2+1,1))*($L$2:$L$151&lt;&gt;"Realizado")*($L$2:$L$151&lt;&gt;"Cancelado")))</f>
        <v/>
      </c>
    </row>
    <row r="68" ht="15" customHeight="1" s="1">
      <c r="A68" s="13">
        <f>IF(B68="","",ROW()-1)</f>
        <v/>
      </c>
      <c r="B68" s="14" t="n"/>
      <c r="C68" s="13">
        <f>IFERROR(INDEX(Clientes!$C:$C,MATCH(B68,Clientes!$B:$B,0)),"")</f>
        <v/>
      </c>
      <c r="D68" s="14">
        <f>IFERROR(INDEX(Clientes!$D:$D,MATCH(B68,Clientes!$B:$B,0)),"")</f>
        <v/>
      </c>
      <c r="E68" s="14">
        <f>IFERROR(INDEX(Clientes!$M:$M,MATCH(B68,Clientes!$B:$B,0)),"")</f>
        <v/>
      </c>
      <c r="F68" s="14">
        <f>IFERROR(INDEX(Clientes!$F:$F,MATCH(B68,Clientes!$B:$B,0)),"")</f>
        <v/>
      </c>
      <c r="G68" s="14">
        <f>IFERROR(INDEX(Clientes!$G:$G,MATCH(B68,Clientes!$B:$B,0)),"")</f>
        <v/>
      </c>
      <c r="H68" s="14" t="n"/>
      <c r="I68" s="15" t="n"/>
      <c r="J68" s="16" t="n"/>
      <c r="K68" s="14" t="n"/>
      <c r="L68" s="14" t="n"/>
      <c r="M68" s="13">
        <f>IF(I68="","",I68-TODAY())</f>
        <v/>
      </c>
      <c r="N68" s="14" t="n"/>
      <c r="O68" s="14">
        <f>IFERROR(IF(B68="","",IF(H68="","",IF(H68="Otro (mensaje libre)","",IF(H68="Requisitos (Crédito/Contado)",IF(OR(F68="",G68=""),"Indica primero el Método de Compra y el Tipo de Persona del cliente en la pestaña Clientes.",_xlfn.SWITCH($F68&amp;"|"&amp;$G68,"Crédito|Persona física","Hola, "&amp;$B68&amp;", para continuar con el proceso de tu *"&amp;$D68&amp;"* por "&amp;$F68&amp;",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"&amp;$B68&amp;", para continuar con el proceso de tu *"&amp;$D68&amp;"* por "&amp;$F68&amp;",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"&amp;$B68&amp;", para continuar con el proceso de tu *"&amp;$D68&amp;"* por "&amp;$F68&amp;",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"&amp;$B68&amp;", para continuar con el proceso de tu *"&amp;$D68&amp;"* por "&amp;$F68&amp;", estos son los documentos que necesitamos:"&amp;CHAR(10)&amp;CHAR(10)&amp;"- INE"&amp;CHAR(10)&amp;"- Comprobante de domicilio"&amp;CHAR(10)&amp;"- Constancia de situación fiscal (no mayor a 3 meses)","Contado|Persona física con actividad empresarial","Hola, "&amp;$B68&amp;", para continuar con el proceso de tu *"&amp;$D68&amp;"* por "&amp;$F68&amp;", estos son los documentos que necesitamos:"&amp;CHAR(10)&amp;CHAR(10)&amp;"- INE"&amp;CHAR(10)&amp;"- Comprobante de domicilio"&amp;CHAR(10)&amp;"- Constancia de situación fiscal (no mayor a 3 meses)","Contado|Persona moral","Hola, "&amp;$B68&amp;", para continuar con el proceso de tu *"&amp;$D68&amp;"* por "&amp;$F68&amp;",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Clientes.")&amp;CHAR(10)&amp;CHAR(10)&amp;Config!$B$1),IF(D68="","",SUBSTITUTE(SUBSTITUTE(INDEX('Catálogo Mensajes'!$D:$J,MATCH($D68,'Catálogo Mensajes'!$B:$B,0),MATCH($H68,'Catálogo Mensajes'!$D$4:$J$4,0)),"{NOMBRE}",$B68),"{PROMO}",'Catálogo Mensajes'!$C$2)&amp;CHAR(10)&amp;CHAR(10)&amp;Config!$B$1))))),"")</f>
        <v/>
      </c>
      <c r="P68" s="13">
        <f>IF(OR(O68="",C68=""),"",HYPERLINK("https://wa.me/52"&amp;C68&amp;"?text="&amp;_xlfn.ENCODEURL(O68),"Enviar mensaje"))</f>
        <v/>
      </c>
      <c r="Q68" s="13">
        <f>IF(OR(I68="",L68="Realizado",L68="Cancelado"),"",SUMPRODUCT(($I$2:$I$151&lt;I68)*($I$2:$I$151&gt;=DATE(Calendario!$C$3,Calendario!$C$2,1))*($I$2:$I$151&lt;DATE(Calendario!$C$3,Calendario!$C$2+1,1))*($L$2:$L$151&lt;&gt;"Realizado")*($L$2:$L$151&lt;&gt;"Cancelado"))+SUMPRODUCT(($I$2:$I$151=I68)*(ROW($I$2:$I$151)&lt;=ROW())*($I$2:$I$151&gt;=DATE(Calendario!$C$3,Calendario!$C$2,1))*($I$2:$I$151&lt;DATE(Calendario!$C$3,Calendario!$C$2+1,1))*($L$2:$L$151&lt;&gt;"Realizado")*($L$2:$L$151&lt;&gt;"Cancelado")))</f>
        <v/>
      </c>
    </row>
    <row r="69" ht="15" customHeight="1" s="1">
      <c r="A69" s="13">
        <f>IF(B69="","",ROW()-1)</f>
        <v/>
      </c>
      <c r="B69" s="14" t="n"/>
      <c r="C69" s="13">
        <f>IFERROR(INDEX(Clientes!$C:$C,MATCH(B69,Clientes!$B:$B,0)),"")</f>
        <v/>
      </c>
      <c r="D69" s="14">
        <f>IFERROR(INDEX(Clientes!$D:$D,MATCH(B69,Clientes!$B:$B,0)),"")</f>
        <v/>
      </c>
      <c r="E69" s="14">
        <f>IFERROR(INDEX(Clientes!$M:$M,MATCH(B69,Clientes!$B:$B,0)),"")</f>
        <v/>
      </c>
      <c r="F69" s="14">
        <f>IFERROR(INDEX(Clientes!$F:$F,MATCH(B69,Clientes!$B:$B,0)),"")</f>
        <v/>
      </c>
      <c r="G69" s="14">
        <f>IFERROR(INDEX(Clientes!$G:$G,MATCH(B69,Clientes!$B:$B,0)),"")</f>
        <v/>
      </c>
      <c r="H69" s="14" t="n"/>
      <c r="I69" s="15" t="n"/>
      <c r="J69" s="16" t="n"/>
      <c r="K69" s="14" t="n"/>
      <c r="L69" s="14" t="n"/>
      <c r="M69" s="13">
        <f>IF(I69="","",I69-TODAY())</f>
        <v/>
      </c>
      <c r="N69" s="14" t="n"/>
      <c r="O69" s="14">
        <f>IFERROR(IF(B69="","",IF(H69="","",IF(H69="Otro (mensaje libre)","",IF(H69="Requisitos (Crédito/Contado)",IF(OR(F69="",G69=""),"Indica primero el Método de Compra y el Tipo de Persona del cliente en la pestaña Clientes.",_xlfn.SWITCH($F69&amp;"|"&amp;$G69,"Crédito|Persona física","Hola, "&amp;$B69&amp;", para continuar con el proceso de tu *"&amp;$D69&amp;"* por "&amp;$F69&amp;",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"&amp;$B69&amp;", para continuar con el proceso de tu *"&amp;$D69&amp;"* por "&amp;$F69&amp;",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"&amp;$B69&amp;", para continuar con el proceso de tu *"&amp;$D69&amp;"* por "&amp;$F69&amp;",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"&amp;$B69&amp;", para continuar con el proceso de tu *"&amp;$D69&amp;"* por "&amp;$F69&amp;", estos son los documentos que necesitamos:"&amp;CHAR(10)&amp;CHAR(10)&amp;"- INE"&amp;CHAR(10)&amp;"- Comprobante de domicilio"&amp;CHAR(10)&amp;"- Constancia de situación fiscal (no mayor a 3 meses)","Contado|Persona física con actividad empresarial","Hola, "&amp;$B69&amp;", para continuar con el proceso de tu *"&amp;$D69&amp;"* por "&amp;$F69&amp;", estos son los documentos que necesitamos:"&amp;CHAR(10)&amp;CHAR(10)&amp;"- INE"&amp;CHAR(10)&amp;"- Comprobante de domicilio"&amp;CHAR(10)&amp;"- Constancia de situación fiscal (no mayor a 3 meses)","Contado|Persona moral","Hola, "&amp;$B69&amp;", para continuar con el proceso de tu *"&amp;$D69&amp;"* por "&amp;$F69&amp;",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Clientes.")&amp;CHAR(10)&amp;CHAR(10)&amp;Config!$B$1),IF(D69="","",SUBSTITUTE(SUBSTITUTE(INDEX('Catálogo Mensajes'!$D:$J,MATCH($D69,'Catálogo Mensajes'!$B:$B,0),MATCH($H69,'Catálogo Mensajes'!$D$4:$J$4,0)),"{NOMBRE}",$B69),"{PROMO}",'Catálogo Mensajes'!$C$2)&amp;CHAR(10)&amp;CHAR(10)&amp;Config!$B$1))))),"")</f>
        <v/>
      </c>
      <c r="P69" s="13">
        <f>IF(OR(O69="",C69=""),"",HYPERLINK("https://wa.me/52"&amp;C69&amp;"?text="&amp;_xlfn.ENCODEURL(O69),"Enviar mensaje"))</f>
        <v/>
      </c>
      <c r="Q69" s="13">
        <f>IF(OR(I69="",L69="Realizado",L69="Cancelado"),"",SUMPRODUCT(($I$2:$I$151&lt;I69)*($I$2:$I$151&gt;=DATE(Calendario!$C$3,Calendario!$C$2,1))*($I$2:$I$151&lt;DATE(Calendario!$C$3,Calendario!$C$2+1,1))*($L$2:$L$151&lt;&gt;"Realizado")*($L$2:$L$151&lt;&gt;"Cancelado"))+SUMPRODUCT(($I$2:$I$151=I69)*(ROW($I$2:$I$151)&lt;=ROW())*($I$2:$I$151&gt;=DATE(Calendario!$C$3,Calendario!$C$2,1))*($I$2:$I$151&lt;DATE(Calendario!$C$3,Calendario!$C$2+1,1))*($L$2:$L$151&lt;&gt;"Realizado")*($L$2:$L$151&lt;&gt;"Cancelado")))</f>
        <v/>
      </c>
    </row>
    <row r="70" ht="15" customHeight="1" s="1">
      <c r="A70" s="13">
        <f>IF(B70="","",ROW()-1)</f>
        <v/>
      </c>
      <c r="B70" s="14" t="n"/>
      <c r="C70" s="13">
        <f>IFERROR(INDEX(Clientes!$C:$C,MATCH(B70,Clientes!$B:$B,0)),"")</f>
        <v/>
      </c>
      <c r="D70" s="14">
        <f>IFERROR(INDEX(Clientes!$D:$D,MATCH(B70,Clientes!$B:$B,0)),"")</f>
        <v/>
      </c>
      <c r="E70" s="14">
        <f>IFERROR(INDEX(Clientes!$M:$M,MATCH(B70,Clientes!$B:$B,0)),"")</f>
        <v/>
      </c>
      <c r="F70" s="14">
        <f>IFERROR(INDEX(Clientes!$F:$F,MATCH(B70,Clientes!$B:$B,0)),"")</f>
        <v/>
      </c>
      <c r="G70" s="14">
        <f>IFERROR(INDEX(Clientes!$G:$G,MATCH(B70,Clientes!$B:$B,0)),"")</f>
        <v/>
      </c>
      <c r="H70" s="14" t="n"/>
      <c r="I70" s="15" t="n"/>
      <c r="J70" s="16" t="n"/>
      <c r="K70" s="14" t="n"/>
      <c r="L70" s="14" t="n"/>
      <c r="M70" s="13">
        <f>IF(I70="","",I70-TODAY())</f>
        <v/>
      </c>
      <c r="N70" s="14" t="n"/>
      <c r="O70" s="14">
        <f>IFERROR(IF(B70="","",IF(H70="","",IF(H70="Otro (mensaje libre)","",IF(H70="Requisitos (Crédito/Contado)",IF(OR(F70="",G70=""),"Indica primero el Método de Compra y el Tipo de Persona del cliente en la pestaña Clientes.",_xlfn.SWITCH($F70&amp;"|"&amp;$G70,"Crédito|Persona física","Hola, "&amp;$B70&amp;", para continuar con el proceso de tu *"&amp;$D70&amp;"* por "&amp;$F70&amp;",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"&amp;$B70&amp;", para continuar con el proceso de tu *"&amp;$D70&amp;"* por "&amp;$F70&amp;",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"&amp;$B70&amp;", para continuar con el proceso de tu *"&amp;$D70&amp;"* por "&amp;$F70&amp;",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"&amp;$B70&amp;", para continuar con el proceso de tu *"&amp;$D70&amp;"* por "&amp;$F70&amp;", estos son los documentos que necesitamos:"&amp;CHAR(10)&amp;CHAR(10)&amp;"- INE"&amp;CHAR(10)&amp;"- Comprobante de domicilio"&amp;CHAR(10)&amp;"- Constancia de situación fiscal (no mayor a 3 meses)","Contado|Persona física con actividad empresarial","Hola, "&amp;$B70&amp;", para continuar con el proceso de tu *"&amp;$D70&amp;"* por "&amp;$F70&amp;", estos son los documentos que necesitamos:"&amp;CHAR(10)&amp;CHAR(10)&amp;"- INE"&amp;CHAR(10)&amp;"- Comprobante de domicilio"&amp;CHAR(10)&amp;"- Constancia de situación fiscal (no mayor a 3 meses)","Contado|Persona moral","Hola, "&amp;$B70&amp;", para continuar con el proceso de tu *"&amp;$D70&amp;"* por "&amp;$F70&amp;",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Clientes.")&amp;CHAR(10)&amp;CHAR(10)&amp;Config!$B$1),IF(D70="","",SUBSTITUTE(SUBSTITUTE(INDEX('Catálogo Mensajes'!$D:$J,MATCH($D70,'Catálogo Mensajes'!$B:$B,0),MATCH($H70,'Catálogo Mensajes'!$D$4:$J$4,0)),"{NOMBRE}",$B70),"{PROMO}",'Catálogo Mensajes'!$C$2)&amp;CHAR(10)&amp;CHAR(10)&amp;Config!$B$1))))),"")</f>
        <v/>
      </c>
      <c r="P70" s="13">
        <f>IF(OR(O70="",C70=""),"",HYPERLINK("https://wa.me/52"&amp;C70&amp;"?text="&amp;_xlfn.ENCODEURL(O70),"Enviar mensaje"))</f>
        <v/>
      </c>
      <c r="Q70" s="13">
        <f>IF(OR(I70="",L70="Realizado",L70="Cancelado"),"",SUMPRODUCT(($I$2:$I$151&lt;I70)*($I$2:$I$151&gt;=DATE(Calendario!$C$3,Calendario!$C$2,1))*($I$2:$I$151&lt;DATE(Calendario!$C$3,Calendario!$C$2+1,1))*($L$2:$L$151&lt;&gt;"Realizado")*($L$2:$L$151&lt;&gt;"Cancelado"))+SUMPRODUCT(($I$2:$I$151=I70)*(ROW($I$2:$I$151)&lt;=ROW())*($I$2:$I$151&gt;=DATE(Calendario!$C$3,Calendario!$C$2,1))*($I$2:$I$151&lt;DATE(Calendario!$C$3,Calendario!$C$2+1,1))*($L$2:$L$151&lt;&gt;"Realizado")*($L$2:$L$151&lt;&gt;"Cancelado")))</f>
        <v/>
      </c>
    </row>
    <row r="71" ht="15" customHeight="1" s="1">
      <c r="A71" s="13">
        <f>IF(B71="","",ROW()-1)</f>
        <v/>
      </c>
      <c r="B71" s="14" t="n"/>
      <c r="C71" s="13">
        <f>IFERROR(INDEX(Clientes!$C:$C,MATCH(B71,Clientes!$B:$B,0)),"")</f>
        <v/>
      </c>
      <c r="D71" s="14">
        <f>IFERROR(INDEX(Clientes!$D:$D,MATCH(B71,Clientes!$B:$B,0)),"")</f>
        <v/>
      </c>
      <c r="E71" s="14">
        <f>IFERROR(INDEX(Clientes!$M:$M,MATCH(B71,Clientes!$B:$B,0)),"")</f>
        <v/>
      </c>
      <c r="F71" s="14">
        <f>IFERROR(INDEX(Clientes!$F:$F,MATCH(B71,Clientes!$B:$B,0)),"")</f>
        <v/>
      </c>
      <c r="G71" s="14">
        <f>IFERROR(INDEX(Clientes!$G:$G,MATCH(B71,Clientes!$B:$B,0)),"")</f>
        <v/>
      </c>
      <c r="H71" s="14" t="n"/>
      <c r="I71" s="15" t="n"/>
      <c r="J71" s="16" t="n"/>
      <c r="K71" s="14" t="n"/>
      <c r="L71" s="14" t="n"/>
      <c r="M71" s="13">
        <f>IF(I71="","",I71-TODAY())</f>
        <v/>
      </c>
      <c r="N71" s="14" t="n"/>
      <c r="O71" s="14">
        <f>IFERROR(IF(B71="","",IF(H71="","",IF(H71="Otro (mensaje libre)","",IF(H71="Requisitos (Crédito/Contado)",IF(OR(F71="",G71=""),"Indica primero el Método de Compra y el Tipo de Persona del cliente en la pestaña Clientes.",_xlfn.SWITCH($F71&amp;"|"&amp;$G71,"Crédito|Persona física","Hola, "&amp;$B71&amp;", para continuar con el proceso de tu *"&amp;$D71&amp;"* por "&amp;$F71&amp;",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"&amp;$B71&amp;", para continuar con el proceso de tu *"&amp;$D71&amp;"* por "&amp;$F71&amp;",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"&amp;$B71&amp;", para continuar con el proceso de tu *"&amp;$D71&amp;"* por "&amp;$F71&amp;",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"&amp;$B71&amp;", para continuar con el proceso de tu *"&amp;$D71&amp;"* por "&amp;$F71&amp;", estos son los documentos que necesitamos:"&amp;CHAR(10)&amp;CHAR(10)&amp;"- INE"&amp;CHAR(10)&amp;"- Comprobante de domicilio"&amp;CHAR(10)&amp;"- Constancia de situación fiscal (no mayor a 3 meses)","Contado|Persona física con actividad empresarial","Hola, "&amp;$B71&amp;", para continuar con el proceso de tu *"&amp;$D71&amp;"* por "&amp;$F71&amp;", estos son los documentos que necesitamos:"&amp;CHAR(10)&amp;CHAR(10)&amp;"- INE"&amp;CHAR(10)&amp;"- Comprobante de domicilio"&amp;CHAR(10)&amp;"- Constancia de situación fiscal (no mayor a 3 meses)","Contado|Persona moral","Hola, "&amp;$B71&amp;", para continuar con el proceso de tu *"&amp;$D71&amp;"* por "&amp;$F71&amp;",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Clientes.")&amp;CHAR(10)&amp;CHAR(10)&amp;Config!$B$1),IF(D71="","",SUBSTITUTE(SUBSTITUTE(INDEX('Catálogo Mensajes'!$D:$J,MATCH($D71,'Catálogo Mensajes'!$B:$B,0),MATCH($H71,'Catálogo Mensajes'!$D$4:$J$4,0)),"{NOMBRE}",$B71),"{PROMO}",'Catálogo Mensajes'!$C$2)&amp;CHAR(10)&amp;CHAR(10)&amp;Config!$B$1))))),"")</f>
        <v/>
      </c>
      <c r="P71" s="13">
        <f>IF(OR(O71="",C71=""),"",HYPERLINK("https://wa.me/52"&amp;C71&amp;"?text="&amp;_xlfn.ENCODEURL(O71),"Enviar mensaje"))</f>
        <v/>
      </c>
      <c r="Q71" s="13">
        <f>IF(OR(I71="",L71="Realizado",L71="Cancelado"),"",SUMPRODUCT(($I$2:$I$151&lt;I71)*($I$2:$I$151&gt;=DATE(Calendario!$C$3,Calendario!$C$2,1))*($I$2:$I$151&lt;DATE(Calendario!$C$3,Calendario!$C$2+1,1))*($L$2:$L$151&lt;&gt;"Realizado")*($L$2:$L$151&lt;&gt;"Cancelado"))+SUMPRODUCT(($I$2:$I$151=I71)*(ROW($I$2:$I$151)&lt;=ROW())*($I$2:$I$151&gt;=DATE(Calendario!$C$3,Calendario!$C$2,1))*($I$2:$I$151&lt;DATE(Calendario!$C$3,Calendario!$C$2+1,1))*($L$2:$L$151&lt;&gt;"Realizado")*($L$2:$L$151&lt;&gt;"Cancelado")))</f>
        <v/>
      </c>
    </row>
    <row r="72" ht="15" customHeight="1" s="1">
      <c r="A72" s="13">
        <f>IF(B72="","",ROW()-1)</f>
        <v/>
      </c>
      <c r="B72" s="14" t="n"/>
      <c r="C72" s="13">
        <f>IFERROR(INDEX(Clientes!$C:$C,MATCH(B72,Clientes!$B:$B,0)),"")</f>
        <v/>
      </c>
      <c r="D72" s="14">
        <f>IFERROR(INDEX(Clientes!$D:$D,MATCH(B72,Clientes!$B:$B,0)),"")</f>
        <v/>
      </c>
      <c r="E72" s="14">
        <f>IFERROR(INDEX(Clientes!$M:$M,MATCH(B72,Clientes!$B:$B,0)),"")</f>
        <v/>
      </c>
      <c r="F72" s="14">
        <f>IFERROR(INDEX(Clientes!$F:$F,MATCH(B72,Clientes!$B:$B,0)),"")</f>
        <v/>
      </c>
      <c r="G72" s="14">
        <f>IFERROR(INDEX(Clientes!$G:$G,MATCH(B72,Clientes!$B:$B,0)),"")</f>
        <v/>
      </c>
      <c r="H72" s="14" t="n"/>
      <c r="I72" s="15" t="n"/>
      <c r="J72" s="16" t="n"/>
      <c r="K72" s="14" t="n"/>
      <c r="L72" s="14" t="n"/>
      <c r="M72" s="13">
        <f>IF(I72="","",I72-TODAY())</f>
        <v/>
      </c>
      <c r="N72" s="14" t="n"/>
      <c r="O72" s="14">
        <f>IFERROR(IF(B72="","",IF(H72="","",IF(H72="Otro (mensaje libre)","",IF(H72="Requisitos (Crédito/Contado)",IF(OR(F72="",G72=""),"Indica primero el Método de Compra y el Tipo de Persona del cliente en la pestaña Clientes.",_xlfn.SWITCH($F72&amp;"|"&amp;$G72,"Crédito|Persona física","Hola, "&amp;$B72&amp;", para continuar con el proceso de tu *"&amp;$D72&amp;"* por "&amp;$F72&amp;",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"&amp;$B72&amp;", para continuar con el proceso de tu *"&amp;$D72&amp;"* por "&amp;$F72&amp;",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"&amp;$B72&amp;", para continuar con el proceso de tu *"&amp;$D72&amp;"* por "&amp;$F72&amp;",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"&amp;$B72&amp;", para continuar con el proceso de tu *"&amp;$D72&amp;"* por "&amp;$F72&amp;", estos son los documentos que necesitamos:"&amp;CHAR(10)&amp;CHAR(10)&amp;"- INE"&amp;CHAR(10)&amp;"- Comprobante de domicilio"&amp;CHAR(10)&amp;"- Constancia de situación fiscal (no mayor a 3 meses)","Contado|Persona física con actividad empresarial","Hola, "&amp;$B72&amp;", para continuar con el proceso de tu *"&amp;$D72&amp;"* por "&amp;$F72&amp;", estos son los documentos que necesitamos:"&amp;CHAR(10)&amp;CHAR(10)&amp;"- INE"&amp;CHAR(10)&amp;"- Comprobante de domicilio"&amp;CHAR(10)&amp;"- Constancia de situación fiscal (no mayor a 3 meses)","Contado|Persona moral","Hola, "&amp;$B72&amp;", para continuar con el proceso de tu *"&amp;$D72&amp;"* por "&amp;$F72&amp;",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Clientes.")&amp;CHAR(10)&amp;CHAR(10)&amp;Config!$B$1),IF(D72="","",SUBSTITUTE(SUBSTITUTE(INDEX('Catálogo Mensajes'!$D:$J,MATCH($D72,'Catálogo Mensajes'!$B:$B,0),MATCH($H72,'Catálogo Mensajes'!$D$4:$J$4,0)),"{NOMBRE}",$B72),"{PROMO}",'Catálogo Mensajes'!$C$2)&amp;CHAR(10)&amp;CHAR(10)&amp;Config!$B$1))))),"")</f>
        <v/>
      </c>
      <c r="P72" s="13">
        <f>IF(OR(O72="",C72=""),"",HYPERLINK("https://wa.me/52"&amp;C72&amp;"?text="&amp;_xlfn.ENCODEURL(O72),"Enviar mensaje"))</f>
        <v/>
      </c>
      <c r="Q72" s="13">
        <f>IF(OR(I72="",L72="Realizado",L72="Cancelado"),"",SUMPRODUCT(($I$2:$I$151&lt;I72)*($I$2:$I$151&gt;=DATE(Calendario!$C$3,Calendario!$C$2,1))*($I$2:$I$151&lt;DATE(Calendario!$C$3,Calendario!$C$2+1,1))*($L$2:$L$151&lt;&gt;"Realizado")*($L$2:$L$151&lt;&gt;"Cancelado"))+SUMPRODUCT(($I$2:$I$151=I72)*(ROW($I$2:$I$151)&lt;=ROW())*($I$2:$I$151&gt;=DATE(Calendario!$C$3,Calendario!$C$2,1))*($I$2:$I$151&lt;DATE(Calendario!$C$3,Calendario!$C$2+1,1))*($L$2:$L$151&lt;&gt;"Realizado")*($L$2:$L$151&lt;&gt;"Cancelado")))</f>
        <v/>
      </c>
    </row>
    <row r="73" ht="15" customHeight="1" s="1">
      <c r="A73" s="13">
        <f>IF(B73="","",ROW()-1)</f>
        <v/>
      </c>
      <c r="B73" s="14" t="n"/>
      <c r="C73" s="13">
        <f>IFERROR(INDEX(Clientes!$C:$C,MATCH(B73,Clientes!$B:$B,0)),"")</f>
        <v/>
      </c>
      <c r="D73" s="14">
        <f>IFERROR(INDEX(Clientes!$D:$D,MATCH(B73,Clientes!$B:$B,0)),"")</f>
        <v/>
      </c>
      <c r="E73" s="14">
        <f>IFERROR(INDEX(Clientes!$M:$M,MATCH(B73,Clientes!$B:$B,0)),"")</f>
        <v/>
      </c>
      <c r="F73" s="14">
        <f>IFERROR(INDEX(Clientes!$F:$F,MATCH(B73,Clientes!$B:$B,0)),"")</f>
        <v/>
      </c>
      <c r="G73" s="14">
        <f>IFERROR(INDEX(Clientes!$G:$G,MATCH(B73,Clientes!$B:$B,0)),"")</f>
        <v/>
      </c>
      <c r="H73" s="14" t="n"/>
      <c r="I73" s="15" t="n"/>
      <c r="J73" s="16" t="n"/>
      <c r="K73" s="14" t="n"/>
      <c r="L73" s="14" t="n"/>
      <c r="M73" s="13">
        <f>IF(I73="","",I73-TODAY())</f>
        <v/>
      </c>
      <c r="N73" s="14" t="n"/>
      <c r="O73" s="14">
        <f>IFERROR(IF(B73="","",IF(H73="","",IF(H73="Otro (mensaje libre)","",IF(H73="Requisitos (Crédito/Contado)",IF(OR(F73="",G73=""),"Indica primero el Método de Compra y el Tipo de Persona del cliente en la pestaña Clientes.",_xlfn.SWITCH($F73&amp;"|"&amp;$G73,"Crédito|Persona física","Hola, "&amp;$B73&amp;", para continuar con el proceso de tu *"&amp;$D73&amp;"* por "&amp;$F73&amp;",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"&amp;$B73&amp;", para continuar con el proceso de tu *"&amp;$D73&amp;"* por "&amp;$F73&amp;",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"&amp;$B73&amp;", para continuar con el proceso de tu *"&amp;$D73&amp;"* por "&amp;$F73&amp;",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"&amp;$B73&amp;", para continuar con el proceso de tu *"&amp;$D73&amp;"* por "&amp;$F73&amp;", estos son los documentos que necesitamos:"&amp;CHAR(10)&amp;CHAR(10)&amp;"- INE"&amp;CHAR(10)&amp;"- Comprobante de domicilio"&amp;CHAR(10)&amp;"- Constancia de situación fiscal (no mayor a 3 meses)","Contado|Persona física con actividad empresarial","Hola, "&amp;$B73&amp;", para continuar con el proceso de tu *"&amp;$D73&amp;"* por "&amp;$F73&amp;", estos son los documentos que necesitamos:"&amp;CHAR(10)&amp;CHAR(10)&amp;"- INE"&amp;CHAR(10)&amp;"- Comprobante de domicilio"&amp;CHAR(10)&amp;"- Constancia de situación fiscal (no mayor a 3 meses)","Contado|Persona moral","Hola, "&amp;$B73&amp;", para continuar con el proceso de tu *"&amp;$D73&amp;"* por "&amp;$F73&amp;",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Clientes.")&amp;CHAR(10)&amp;CHAR(10)&amp;Config!$B$1),IF(D73="","",SUBSTITUTE(SUBSTITUTE(INDEX('Catálogo Mensajes'!$D:$J,MATCH($D73,'Catálogo Mensajes'!$B:$B,0),MATCH($H73,'Catálogo Mensajes'!$D$4:$J$4,0)),"{NOMBRE}",$B73),"{PROMO}",'Catálogo Mensajes'!$C$2)&amp;CHAR(10)&amp;CHAR(10)&amp;Config!$B$1))))),"")</f>
        <v/>
      </c>
      <c r="P73" s="13">
        <f>IF(OR(O73="",C73=""),"",HYPERLINK("https://wa.me/52"&amp;C73&amp;"?text="&amp;_xlfn.ENCODEURL(O73),"Enviar mensaje"))</f>
        <v/>
      </c>
      <c r="Q73" s="13">
        <f>IF(OR(I73="",L73="Realizado",L73="Cancelado"),"",SUMPRODUCT(($I$2:$I$151&lt;I73)*($I$2:$I$151&gt;=DATE(Calendario!$C$3,Calendario!$C$2,1))*($I$2:$I$151&lt;DATE(Calendario!$C$3,Calendario!$C$2+1,1))*($L$2:$L$151&lt;&gt;"Realizado")*($L$2:$L$151&lt;&gt;"Cancelado"))+SUMPRODUCT(($I$2:$I$151=I73)*(ROW($I$2:$I$151)&lt;=ROW())*($I$2:$I$151&gt;=DATE(Calendario!$C$3,Calendario!$C$2,1))*($I$2:$I$151&lt;DATE(Calendario!$C$3,Calendario!$C$2+1,1))*($L$2:$L$151&lt;&gt;"Realizado")*($L$2:$L$151&lt;&gt;"Cancelado")))</f>
        <v/>
      </c>
    </row>
    <row r="74" ht="15" customHeight="1" s="1">
      <c r="A74" s="13">
        <f>IF(B74="","",ROW()-1)</f>
        <v/>
      </c>
      <c r="B74" s="14" t="n"/>
      <c r="C74" s="13">
        <f>IFERROR(INDEX(Clientes!$C:$C,MATCH(B74,Clientes!$B:$B,0)),"")</f>
        <v/>
      </c>
      <c r="D74" s="14">
        <f>IFERROR(INDEX(Clientes!$D:$D,MATCH(B74,Clientes!$B:$B,0)),"")</f>
        <v/>
      </c>
      <c r="E74" s="14">
        <f>IFERROR(INDEX(Clientes!$M:$M,MATCH(B74,Clientes!$B:$B,0)),"")</f>
        <v/>
      </c>
      <c r="F74" s="14">
        <f>IFERROR(INDEX(Clientes!$F:$F,MATCH(B74,Clientes!$B:$B,0)),"")</f>
        <v/>
      </c>
      <c r="G74" s="14">
        <f>IFERROR(INDEX(Clientes!$G:$G,MATCH(B74,Clientes!$B:$B,0)),"")</f>
        <v/>
      </c>
      <c r="H74" s="14" t="n"/>
      <c r="I74" s="15" t="n"/>
      <c r="J74" s="16" t="n"/>
      <c r="K74" s="14" t="n"/>
      <c r="L74" s="14" t="n"/>
      <c r="M74" s="13">
        <f>IF(I74="","",I74-TODAY())</f>
        <v/>
      </c>
      <c r="N74" s="14" t="n"/>
      <c r="O74" s="14">
        <f>IFERROR(IF(B74="","",IF(H74="","",IF(H74="Otro (mensaje libre)","",IF(H74="Requisitos (Crédito/Contado)",IF(OR(F74="",G74=""),"Indica primero el Método de Compra y el Tipo de Persona del cliente en la pestaña Clientes.",_xlfn.SWITCH($F74&amp;"|"&amp;$G74,"Crédito|Persona física","Hola, "&amp;$B74&amp;", para continuar con el proceso de tu *"&amp;$D74&amp;"* por "&amp;$F74&amp;",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"&amp;$B74&amp;", para continuar con el proceso de tu *"&amp;$D74&amp;"* por "&amp;$F74&amp;",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"&amp;$B74&amp;", para continuar con el proceso de tu *"&amp;$D74&amp;"* por "&amp;$F74&amp;",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"&amp;$B74&amp;", para continuar con el proceso de tu *"&amp;$D74&amp;"* por "&amp;$F74&amp;", estos son los documentos que necesitamos:"&amp;CHAR(10)&amp;CHAR(10)&amp;"- INE"&amp;CHAR(10)&amp;"- Comprobante de domicilio"&amp;CHAR(10)&amp;"- Constancia de situación fiscal (no mayor a 3 meses)","Contado|Persona física con actividad empresarial","Hola, "&amp;$B74&amp;", para continuar con el proceso de tu *"&amp;$D74&amp;"* por "&amp;$F74&amp;", estos son los documentos que necesitamos:"&amp;CHAR(10)&amp;CHAR(10)&amp;"- INE"&amp;CHAR(10)&amp;"- Comprobante de domicilio"&amp;CHAR(10)&amp;"- Constancia de situación fiscal (no mayor a 3 meses)","Contado|Persona moral","Hola, "&amp;$B74&amp;", para continuar con el proceso de tu *"&amp;$D74&amp;"* por "&amp;$F74&amp;",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Clientes.")&amp;CHAR(10)&amp;CHAR(10)&amp;Config!$B$1),IF(D74="","",SUBSTITUTE(SUBSTITUTE(INDEX('Catálogo Mensajes'!$D:$J,MATCH($D74,'Catálogo Mensajes'!$B:$B,0),MATCH($H74,'Catálogo Mensajes'!$D$4:$J$4,0)),"{NOMBRE}",$B74),"{PROMO}",'Catálogo Mensajes'!$C$2)&amp;CHAR(10)&amp;CHAR(10)&amp;Config!$B$1))))),"")</f>
        <v/>
      </c>
      <c r="P74" s="13">
        <f>IF(OR(O74="",C74=""),"",HYPERLINK("https://wa.me/52"&amp;C74&amp;"?text="&amp;_xlfn.ENCODEURL(O74),"Enviar mensaje"))</f>
        <v/>
      </c>
      <c r="Q74" s="13">
        <f>IF(OR(I74="",L74="Realizado",L74="Cancelado"),"",SUMPRODUCT(($I$2:$I$151&lt;I74)*($I$2:$I$151&gt;=DATE(Calendario!$C$3,Calendario!$C$2,1))*($I$2:$I$151&lt;DATE(Calendario!$C$3,Calendario!$C$2+1,1))*($L$2:$L$151&lt;&gt;"Realizado")*($L$2:$L$151&lt;&gt;"Cancelado"))+SUMPRODUCT(($I$2:$I$151=I74)*(ROW($I$2:$I$151)&lt;=ROW())*($I$2:$I$151&gt;=DATE(Calendario!$C$3,Calendario!$C$2,1))*($I$2:$I$151&lt;DATE(Calendario!$C$3,Calendario!$C$2+1,1))*($L$2:$L$151&lt;&gt;"Realizado")*($L$2:$L$151&lt;&gt;"Cancelado")))</f>
        <v/>
      </c>
    </row>
    <row r="75" ht="15" customHeight="1" s="1">
      <c r="A75" s="13">
        <f>IF(B75="","",ROW()-1)</f>
        <v/>
      </c>
      <c r="B75" s="14" t="n"/>
      <c r="C75" s="13">
        <f>IFERROR(INDEX(Clientes!$C:$C,MATCH(B75,Clientes!$B:$B,0)),"")</f>
        <v/>
      </c>
      <c r="D75" s="14">
        <f>IFERROR(INDEX(Clientes!$D:$D,MATCH(B75,Clientes!$B:$B,0)),"")</f>
        <v/>
      </c>
      <c r="E75" s="14">
        <f>IFERROR(INDEX(Clientes!$M:$M,MATCH(B75,Clientes!$B:$B,0)),"")</f>
        <v/>
      </c>
      <c r="F75" s="14">
        <f>IFERROR(INDEX(Clientes!$F:$F,MATCH(B75,Clientes!$B:$B,0)),"")</f>
        <v/>
      </c>
      <c r="G75" s="14">
        <f>IFERROR(INDEX(Clientes!$G:$G,MATCH(B75,Clientes!$B:$B,0)),"")</f>
        <v/>
      </c>
      <c r="H75" s="14" t="n"/>
      <c r="I75" s="15" t="n"/>
      <c r="J75" s="16" t="n"/>
      <c r="K75" s="14" t="n"/>
      <c r="L75" s="14" t="n"/>
      <c r="M75" s="13">
        <f>IF(I75="","",I75-TODAY())</f>
        <v/>
      </c>
      <c r="N75" s="14" t="n"/>
      <c r="O75" s="14">
        <f>IFERROR(IF(B75="","",IF(H75="","",IF(H75="Otro (mensaje libre)","",IF(H75="Requisitos (Crédito/Contado)",IF(OR(F75="",G75=""),"Indica primero el Método de Compra y el Tipo de Persona del cliente en la pestaña Clientes.",_xlfn.SWITCH($F75&amp;"|"&amp;$G75,"Crédito|Persona física","Hola, "&amp;$B75&amp;", para continuar con el proceso de tu *"&amp;$D75&amp;"* por "&amp;$F75&amp;",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"&amp;$B75&amp;", para continuar con el proceso de tu *"&amp;$D75&amp;"* por "&amp;$F75&amp;",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"&amp;$B75&amp;", para continuar con el proceso de tu *"&amp;$D75&amp;"* por "&amp;$F75&amp;",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"&amp;$B75&amp;", para continuar con el proceso de tu *"&amp;$D75&amp;"* por "&amp;$F75&amp;", estos son los documentos que necesitamos:"&amp;CHAR(10)&amp;CHAR(10)&amp;"- INE"&amp;CHAR(10)&amp;"- Comprobante de domicilio"&amp;CHAR(10)&amp;"- Constancia de situación fiscal (no mayor a 3 meses)","Contado|Persona física con actividad empresarial","Hola, "&amp;$B75&amp;", para continuar con el proceso de tu *"&amp;$D75&amp;"* por "&amp;$F75&amp;", estos son los documentos que necesitamos:"&amp;CHAR(10)&amp;CHAR(10)&amp;"- INE"&amp;CHAR(10)&amp;"- Comprobante de domicilio"&amp;CHAR(10)&amp;"- Constancia de situación fiscal (no mayor a 3 meses)","Contado|Persona moral","Hola, "&amp;$B75&amp;", para continuar con el proceso de tu *"&amp;$D75&amp;"* por "&amp;$F75&amp;",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Clientes.")&amp;CHAR(10)&amp;CHAR(10)&amp;Config!$B$1),IF(D75="","",SUBSTITUTE(SUBSTITUTE(INDEX('Catálogo Mensajes'!$D:$J,MATCH($D75,'Catálogo Mensajes'!$B:$B,0),MATCH($H75,'Catálogo Mensajes'!$D$4:$J$4,0)),"{NOMBRE}",$B75),"{PROMO}",'Catálogo Mensajes'!$C$2)&amp;CHAR(10)&amp;CHAR(10)&amp;Config!$B$1))))),"")</f>
        <v/>
      </c>
      <c r="P75" s="13">
        <f>IF(OR(O75="",C75=""),"",HYPERLINK("https://wa.me/52"&amp;C75&amp;"?text="&amp;_xlfn.ENCODEURL(O75),"Enviar mensaje"))</f>
        <v/>
      </c>
      <c r="Q75" s="13">
        <f>IF(OR(I75="",L75="Realizado",L75="Cancelado"),"",SUMPRODUCT(($I$2:$I$151&lt;I75)*($I$2:$I$151&gt;=DATE(Calendario!$C$3,Calendario!$C$2,1))*($I$2:$I$151&lt;DATE(Calendario!$C$3,Calendario!$C$2+1,1))*($L$2:$L$151&lt;&gt;"Realizado")*($L$2:$L$151&lt;&gt;"Cancelado"))+SUMPRODUCT(($I$2:$I$151=I75)*(ROW($I$2:$I$151)&lt;=ROW())*($I$2:$I$151&gt;=DATE(Calendario!$C$3,Calendario!$C$2,1))*($I$2:$I$151&lt;DATE(Calendario!$C$3,Calendario!$C$2+1,1))*($L$2:$L$151&lt;&gt;"Realizado")*($L$2:$L$151&lt;&gt;"Cancelado")))</f>
        <v/>
      </c>
    </row>
    <row r="76" ht="15" customHeight="1" s="1">
      <c r="A76" s="13">
        <f>IF(B76="","",ROW()-1)</f>
        <v/>
      </c>
      <c r="B76" s="14" t="n"/>
      <c r="C76" s="13">
        <f>IFERROR(INDEX(Clientes!$C:$C,MATCH(B76,Clientes!$B:$B,0)),"")</f>
        <v/>
      </c>
      <c r="D76" s="14">
        <f>IFERROR(INDEX(Clientes!$D:$D,MATCH(B76,Clientes!$B:$B,0)),"")</f>
        <v/>
      </c>
      <c r="E76" s="14">
        <f>IFERROR(INDEX(Clientes!$M:$M,MATCH(B76,Clientes!$B:$B,0)),"")</f>
        <v/>
      </c>
      <c r="F76" s="14">
        <f>IFERROR(INDEX(Clientes!$F:$F,MATCH(B76,Clientes!$B:$B,0)),"")</f>
        <v/>
      </c>
      <c r="G76" s="14">
        <f>IFERROR(INDEX(Clientes!$G:$G,MATCH(B76,Clientes!$B:$B,0)),"")</f>
        <v/>
      </c>
      <c r="H76" s="14" t="n"/>
      <c r="I76" s="15" t="n"/>
      <c r="J76" s="16" t="n"/>
      <c r="K76" s="14" t="n"/>
      <c r="L76" s="14" t="n"/>
      <c r="M76" s="13">
        <f>IF(I76="","",I76-TODAY())</f>
        <v/>
      </c>
      <c r="N76" s="14" t="n"/>
      <c r="O76" s="14">
        <f>IFERROR(IF(B76="","",IF(H76="","",IF(H76="Otro (mensaje libre)","",IF(H76="Requisitos (Crédito/Contado)",IF(OR(F76="",G76=""),"Indica primero el Método de Compra y el Tipo de Persona del cliente en la pestaña Clientes.",_xlfn.SWITCH($F76&amp;"|"&amp;$G76,"Crédito|Persona física","Hola, "&amp;$B76&amp;", para continuar con el proceso de tu *"&amp;$D76&amp;"* por "&amp;$F76&amp;",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"&amp;$B76&amp;", para continuar con el proceso de tu *"&amp;$D76&amp;"* por "&amp;$F76&amp;",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"&amp;$B76&amp;", para continuar con el proceso de tu *"&amp;$D76&amp;"* por "&amp;$F76&amp;",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"&amp;$B76&amp;", para continuar con el proceso de tu *"&amp;$D76&amp;"* por "&amp;$F76&amp;", estos son los documentos que necesitamos:"&amp;CHAR(10)&amp;CHAR(10)&amp;"- INE"&amp;CHAR(10)&amp;"- Comprobante de domicilio"&amp;CHAR(10)&amp;"- Constancia de situación fiscal (no mayor a 3 meses)","Contado|Persona física con actividad empresarial","Hola, "&amp;$B76&amp;", para continuar con el proceso de tu *"&amp;$D76&amp;"* por "&amp;$F76&amp;", estos son los documentos que necesitamos:"&amp;CHAR(10)&amp;CHAR(10)&amp;"- INE"&amp;CHAR(10)&amp;"- Comprobante de domicilio"&amp;CHAR(10)&amp;"- Constancia de situación fiscal (no mayor a 3 meses)","Contado|Persona moral","Hola, "&amp;$B76&amp;", para continuar con el proceso de tu *"&amp;$D76&amp;"* por "&amp;$F76&amp;",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Clientes.")&amp;CHAR(10)&amp;CHAR(10)&amp;Config!$B$1),IF(D76="","",SUBSTITUTE(SUBSTITUTE(INDEX('Catálogo Mensajes'!$D:$J,MATCH($D76,'Catálogo Mensajes'!$B:$B,0),MATCH($H76,'Catálogo Mensajes'!$D$4:$J$4,0)),"{NOMBRE}",$B76),"{PROMO}",'Catálogo Mensajes'!$C$2)&amp;CHAR(10)&amp;CHAR(10)&amp;Config!$B$1))))),"")</f>
        <v/>
      </c>
      <c r="P76" s="13">
        <f>IF(OR(O76="",C76=""),"",HYPERLINK("https://wa.me/52"&amp;C76&amp;"?text="&amp;_xlfn.ENCODEURL(O76),"Enviar mensaje"))</f>
        <v/>
      </c>
      <c r="Q76" s="13">
        <f>IF(OR(I76="",L76="Realizado",L76="Cancelado"),"",SUMPRODUCT(($I$2:$I$151&lt;I76)*($I$2:$I$151&gt;=DATE(Calendario!$C$3,Calendario!$C$2,1))*($I$2:$I$151&lt;DATE(Calendario!$C$3,Calendario!$C$2+1,1))*($L$2:$L$151&lt;&gt;"Realizado")*($L$2:$L$151&lt;&gt;"Cancelado"))+SUMPRODUCT(($I$2:$I$151=I76)*(ROW($I$2:$I$151)&lt;=ROW())*($I$2:$I$151&gt;=DATE(Calendario!$C$3,Calendario!$C$2,1))*($I$2:$I$151&lt;DATE(Calendario!$C$3,Calendario!$C$2+1,1))*($L$2:$L$151&lt;&gt;"Realizado")*($L$2:$L$151&lt;&gt;"Cancelado")))</f>
        <v/>
      </c>
    </row>
    <row r="77" ht="15" customHeight="1" s="1">
      <c r="A77" s="13">
        <f>IF(B77="","",ROW()-1)</f>
        <v/>
      </c>
      <c r="B77" s="14" t="n"/>
      <c r="C77" s="13">
        <f>IFERROR(INDEX(Clientes!$C:$C,MATCH(B77,Clientes!$B:$B,0)),"")</f>
        <v/>
      </c>
      <c r="D77" s="14">
        <f>IFERROR(INDEX(Clientes!$D:$D,MATCH(B77,Clientes!$B:$B,0)),"")</f>
        <v/>
      </c>
      <c r="E77" s="14">
        <f>IFERROR(INDEX(Clientes!$M:$M,MATCH(B77,Clientes!$B:$B,0)),"")</f>
        <v/>
      </c>
      <c r="F77" s="14">
        <f>IFERROR(INDEX(Clientes!$F:$F,MATCH(B77,Clientes!$B:$B,0)),"")</f>
        <v/>
      </c>
      <c r="G77" s="14">
        <f>IFERROR(INDEX(Clientes!$G:$G,MATCH(B77,Clientes!$B:$B,0)),"")</f>
        <v/>
      </c>
      <c r="H77" s="14" t="n"/>
      <c r="I77" s="15" t="n"/>
      <c r="J77" s="16" t="n"/>
      <c r="K77" s="14" t="n"/>
      <c r="L77" s="14" t="n"/>
      <c r="M77" s="13">
        <f>IF(I77="","",I77-TODAY())</f>
        <v/>
      </c>
      <c r="N77" s="14" t="n"/>
      <c r="O77" s="14">
        <f>IFERROR(IF(B77="","",IF(H77="","",IF(H77="Otro (mensaje libre)","",IF(H77="Requisitos (Crédito/Contado)",IF(OR(F77="",G77=""),"Indica primero el Método de Compra y el Tipo de Persona del cliente en la pestaña Clientes.",_xlfn.SWITCH($F77&amp;"|"&amp;$G77,"Crédito|Persona física","Hola, "&amp;$B77&amp;", para continuar con el proceso de tu *"&amp;$D77&amp;"* por "&amp;$F77&amp;",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"&amp;$B77&amp;", para continuar con el proceso de tu *"&amp;$D77&amp;"* por "&amp;$F77&amp;",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"&amp;$B77&amp;", para continuar con el proceso de tu *"&amp;$D77&amp;"* por "&amp;$F77&amp;",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"&amp;$B77&amp;", para continuar con el proceso de tu *"&amp;$D77&amp;"* por "&amp;$F77&amp;", estos son los documentos que necesitamos:"&amp;CHAR(10)&amp;CHAR(10)&amp;"- INE"&amp;CHAR(10)&amp;"- Comprobante de domicilio"&amp;CHAR(10)&amp;"- Constancia de situación fiscal (no mayor a 3 meses)","Contado|Persona física con actividad empresarial","Hola, "&amp;$B77&amp;", para continuar con el proceso de tu *"&amp;$D77&amp;"* por "&amp;$F77&amp;", estos son los documentos que necesitamos:"&amp;CHAR(10)&amp;CHAR(10)&amp;"- INE"&amp;CHAR(10)&amp;"- Comprobante de domicilio"&amp;CHAR(10)&amp;"- Constancia de situación fiscal (no mayor a 3 meses)","Contado|Persona moral","Hola, "&amp;$B77&amp;", para continuar con el proceso de tu *"&amp;$D77&amp;"* por "&amp;$F77&amp;",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Clientes.")&amp;CHAR(10)&amp;CHAR(10)&amp;Config!$B$1),IF(D77="","",SUBSTITUTE(SUBSTITUTE(INDEX('Catálogo Mensajes'!$D:$J,MATCH($D77,'Catálogo Mensajes'!$B:$B,0),MATCH($H77,'Catálogo Mensajes'!$D$4:$J$4,0)),"{NOMBRE}",$B77),"{PROMO}",'Catálogo Mensajes'!$C$2)&amp;CHAR(10)&amp;CHAR(10)&amp;Config!$B$1))))),"")</f>
        <v/>
      </c>
      <c r="P77" s="13">
        <f>IF(OR(O77="",C77=""),"",HYPERLINK("https://wa.me/52"&amp;C77&amp;"?text="&amp;_xlfn.ENCODEURL(O77),"Enviar mensaje"))</f>
        <v/>
      </c>
      <c r="Q77" s="13">
        <f>IF(OR(I77="",L77="Realizado",L77="Cancelado"),"",SUMPRODUCT(($I$2:$I$151&lt;I77)*($I$2:$I$151&gt;=DATE(Calendario!$C$3,Calendario!$C$2,1))*($I$2:$I$151&lt;DATE(Calendario!$C$3,Calendario!$C$2+1,1))*($L$2:$L$151&lt;&gt;"Realizado")*($L$2:$L$151&lt;&gt;"Cancelado"))+SUMPRODUCT(($I$2:$I$151=I77)*(ROW($I$2:$I$151)&lt;=ROW())*($I$2:$I$151&gt;=DATE(Calendario!$C$3,Calendario!$C$2,1))*($I$2:$I$151&lt;DATE(Calendario!$C$3,Calendario!$C$2+1,1))*($L$2:$L$151&lt;&gt;"Realizado")*($L$2:$L$151&lt;&gt;"Cancelado")))</f>
        <v/>
      </c>
    </row>
    <row r="78" ht="15" customHeight="1" s="1">
      <c r="A78" s="13">
        <f>IF(B78="","",ROW()-1)</f>
        <v/>
      </c>
      <c r="B78" s="14" t="n"/>
      <c r="C78" s="13">
        <f>IFERROR(INDEX(Clientes!$C:$C,MATCH(B78,Clientes!$B:$B,0)),"")</f>
        <v/>
      </c>
      <c r="D78" s="14">
        <f>IFERROR(INDEX(Clientes!$D:$D,MATCH(B78,Clientes!$B:$B,0)),"")</f>
        <v/>
      </c>
      <c r="E78" s="14">
        <f>IFERROR(INDEX(Clientes!$M:$M,MATCH(B78,Clientes!$B:$B,0)),"")</f>
        <v/>
      </c>
      <c r="F78" s="14">
        <f>IFERROR(INDEX(Clientes!$F:$F,MATCH(B78,Clientes!$B:$B,0)),"")</f>
        <v/>
      </c>
      <c r="G78" s="14">
        <f>IFERROR(INDEX(Clientes!$G:$G,MATCH(B78,Clientes!$B:$B,0)),"")</f>
        <v/>
      </c>
      <c r="H78" s="14" t="n"/>
      <c r="I78" s="15" t="n"/>
      <c r="J78" s="16" t="n"/>
      <c r="K78" s="14" t="n"/>
      <c r="L78" s="14" t="n"/>
      <c r="M78" s="13">
        <f>IF(I78="","",I78-TODAY())</f>
        <v/>
      </c>
      <c r="N78" s="14" t="n"/>
      <c r="O78" s="14">
        <f>IFERROR(IF(B78="","",IF(H78="","",IF(H78="Otro (mensaje libre)","",IF(H78="Requisitos (Crédito/Contado)",IF(OR(F78="",G78=""),"Indica primero el Método de Compra y el Tipo de Persona del cliente en la pestaña Clientes.",_xlfn.SWITCH($F78&amp;"|"&amp;$G78,"Crédito|Persona física","Hola, "&amp;$B78&amp;", para continuar con el proceso de tu *"&amp;$D78&amp;"* por "&amp;$F78&amp;",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"&amp;$B78&amp;", para continuar con el proceso de tu *"&amp;$D78&amp;"* por "&amp;$F78&amp;",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"&amp;$B78&amp;", para continuar con el proceso de tu *"&amp;$D78&amp;"* por "&amp;$F78&amp;",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"&amp;$B78&amp;", para continuar con el proceso de tu *"&amp;$D78&amp;"* por "&amp;$F78&amp;", estos son los documentos que necesitamos:"&amp;CHAR(10)&amp;CHAR(10)&amp;"- INE"&amp;CHAR(10)&amp;"- Comprobante de domicilio"&amp;CHAR(10)&amp;"- Constancia de situación fiscal (no mayor a 3 meses)","Contado|Persona física con actividad empresarial","Hola, "&amp;$B78&amp;", para continuar con el proceso de tu *"&amp;$D78&amp;"* por "&amp;$F78&amp;", estos son los documentos que necesitamos:"&amp;CHAR(10)&amp;CHAR(10)&amp;"- INE"&amp;CHAR(10)&amp;"- Comprobante de domicilio"&amp;CHAR(10)&amp;"- Constancia de situación fiscal (no mayor a 3 meses)","Contado|Persona moral","Hola, "&amp;$B78&amp;", para continuar con el proceso de tu *"&amp;$D78&amp;"* por "&amp;$F78&amp;",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Clientes.")&amp;CHAR(10)&amp;CHAR(10)&amp;Config!$B$1),IF(D78="","",SUBSTITUTE(SUBSTITUTE(INDEX('Catálogo Mensajes'!$D:$J,MATCH($D78,'Catálogo Mensajes'!$B:$B,0),MATCH($H78,'Catálogo Mensajes'!$D$4:$J$4,0)),"{NOMBRE}",$B78),"{PROMO}",'Catálogo Mensajes'!$C$2)&amp;CHAR(10)&amp;CHAR(10)&amp;Config!$B$1))))),"")</f>
        <v/>
      </c>
      <c r="P78" s="13">
        <f>IF(OR(O78="",C78=""),"",HYPERLINK("https://wa.me/52"&amp;C78&amp;"?text="&amp;_xlfn.ENCODEURL(O78),"Enviar mensaje"))</f>
        <v/>
      </c>
      <c r="Q78" s="13">
        <f>IF(OR(I78="",L78="Realizado",L78="Cancelado"),"",SUMPRODUCT(($I$2:$I$151&lt;I78)*($I$2:$I$151&gt;=DATE(Calendario!$C$3,Calendario!$C$2,1))*($I$2:$I$151&lt;DATE(Calendario!$C$3,Calendario!$C$2+1,1))*($L$2:$L$151&lt;&gt;"Realizado")*($L$2:$L$151&lt;&gt;"Cancelado"))+SUMPRODUCT(($I$2:$I$151=I78)*(ROW($I$2:$I$151)&lt;=ROW())*($I$2:$I$151&gt;=DATE(Calendario!$C$3,Calendario!$C$2,1))*($I$2:$I$151&lt;DATE(Calendario!$C$3,Calendario!$C$2+1,1))*($L$2:$L$151&lt;&gt;"Realizado")*($L$2:$L$151&lt;&gt;"Cancelado")))</f>
        <v/>
      </c>
    </row>
    <row r="79" ht="15" customHeight="1" s="1">
      <c r="A79" s="13">
        <f>IF(B79="","",ROW()-1)</f>
        <v/>
      </c>
      <c r="B79" s="14" t="n"/>
      <c r="C79" s="13">
        <f>IFERROR(INDEX(Clientes!$C:$C,MATCH(B79,Clientes!$B:$B,0)),"")</f>
        <v/>
      </c>
      <c r="D79" s="14">
        <f>IFERROR(INDEX(Clientes!$D:$D,MATCH(B79,Clientes!$B:$B,0)),"")</f>
        <v/>
      </c>
      <c r="E79" s="14">
        <f>IFERROR(INDEX(Clientes!$M:$M,MATCH(B79,Clientes!$B:$B,0)),"")</f>
        <v/>
      </c>
      <c r="F79" s="14">
        <f>IFERROR(INDEX(Clientes!$F:$F,MATCH(B79,Clientes!$B:$B,0)),"")</f>
        <v/>
      </c>
      <c r="G79" s="14">
        <f>IFERROR(INDEX(Clientes!$G:$G,MATCH(B79,Clientes!$B:$B,0)),"")</f>
        <v/>
      </c>
      <c r="H79" s="14" t="n"/>
      <c r="I79" s="15" t="n"/>
      <c r="J79" s="16" t="n"/>
      <c r="K79" s="14" t="n"/>
      <c r="L79" s="14" t="n"/>
      <c r="M79" s="13">
        <f>IF(I79="","",I79-TODAY())</f>
        <v/>
      </c>
      <c r="N79" s="14" t="n"/>
      <c r="O79" s="14">
        <f>IFERROR(IF(B79="","",IF(H79="","",IF(H79="Otro (mensaje libre)","",IF(H79="Requisitos (Crédito/Contado)",IF(OR(F79="",G79=""),"Indica primero el Método de Compra y el Tipo de Persona del cliente en la pestaña Clientes.",_xlfn.SWITCH($F79&amp;"|"&amp;$G79,"Crédito|Persona física","Hola, "&amp;$B79&amp;", para continuar con el proceso de tu *"&amp;$D79&amp;"* por "&amp;$F79&amp;",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"&amp;$B79&amp;", para continuar con el proceso de tu *"&amp;$D79&amp;"* por "&amp;$F79&amp;",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"&amp;$B79&amp;", para continuar con el proceso de tu *"&amp;$D79&amp;"* por "&amp;$F79&amp;",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"&amp;$B79&amp;", para continuar con el proceso de tu *"&amp;$D79&amp;"* por "&amp;$F79&amp;", estos son los documentos que necesitamos:"&amp;CHAR(10)&amp;CHAR(10)&amp;"- INE"&amp;CHAR(10)&amp;"- Comprobante de domicilio"&amp;CHAR(10)&amp;"- Constancia de situación fiscal (no mayor a 3 meses)","Contado|Persona física con actividad empresarial","Hola, "&amp;$B79&amp;", para continuar con el proceso de tu *"&amp;$D79&amp;"* por "&amp;$F79&amp;", estos son los documentos que necesitamos:"&amp;CHAR(10)&amp;CHAR(10)&amp;"- INE"&amp;CHAR(10)&amp;"- Comprobante de domicilio"&amp;CHAR(10)&amp;"- Constancia de situación fiscal (no mayor a 3 meses)","Contado|Persona moral","Hola, "&amp;$B79&amp;", para continuar con el proceso de tu *"&amp;$D79&amp;"* por "&amp;$F79&amp;",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Clientes.")&amp;CHAR(10)&amp;CHAR(10)&amp;Config!$B$1),IF(D79="","",SUBSTITUTE(SUBSTITUTE(INDEX('Catálogo Mensajes'!$D:$J,MATCH($D79,'Catálogo Mensajes'!$B:$B,0),MATCH($H79,'Catálogo Mensajes'!$D$4:$J$4,0)),"{NOMBRE}",$B79),"{PROMO}",'Catálogo Mensajes'!$C$2)&amp;CHAR(10)&amp;CHAR(10)&amp;Config!$B$1))))),"")</f>
        <v/>
      </c>
      <c r="P79" s="13">
        <f>IF(OR(O79="",C79=""),"",HYPERLINK("https://wa.me/52"&amp;C79&amp;"?text="&amp;_xlfn.ENCODEURL(O79),"Enviar mensaje"))</f>
        <v/>
      </c>
      <c r="Q79" s="13">
        <f>IF(OR(I79="",L79="Realizado",L79="Cancelado"),"",SUMPRODUCT(($I$2:$I$151&lt;I79)*($I$2:$I$151&gt;=DATE(Calendario!$C$3,Calendario!$C$2,1))*($I$2:$I$151&lt;DATE(Calendario!$C$3,Calendario!$C$2+1,1))*($L$2:$L$151&lt;&gt;"Realizado")*($L$2:$L$151&lt;&gt;"Cancelado"))+SUMPRODUCT(($I$2:$I$151=I79)*(ROW($I$2:$I$151)&lt;=ROW())*($I$2:$I$151&gt;=DATE(Calendario!$C$3,Calendario!$C$2,1))*($I$2:$I$151&lt;DATE(Calendario!$C$3,Calendario!$C$2+1,1))*($L$2:$L$151&lt;&gt;"Realizado")*($L$2:$L$151&lt;&gt;"Cancelado")))</f>
        <v/>
      </c>
    </row>
    <row r="80" ht="15" customHeight="1" s="1">
      <c r="A80" s="13">
        <f>IF(B80="","",ROW()-1)</f>
        <v/>
      </c>
      <c r="B80" s="14" t="n"/>
      <c r="C80" s="13">
        <f>IFERROR(INDEX(Clientes!$C:$C,MATCH(B80,Clientes!$B:$B,0)),"")</f>
        <v/>
      </c>
      <c r="D80" s="14">
        <f>IFERROR(INDEX(Clientes!$D:$D,MATCH(B80,Clientes!$B:$B,0)),"")</f>
        <v/>
      </c>
      <c r="E80" s="14">
        <f>IFERROR(INDEX(Clientes!$M:$M,MATCH(B80,Clientes!$B:$B,0)),"")</f>
        <v/>
      </c>
      <c r="F80" s="14">
        <f>IFERROR(INDEX(Clientes!$F:$F,MATCH(B80,Clientes!$B:$B,0)),"")</f>
        <v/>
      </c>
      <c r="G80" s="14">
        <f>IFERROR(INDEX(Clientes!$G:$G,MATCH(B80,Clientes!$B:$B,0)),"")</f>
        <v/>
      </c>
      <c r="H80" s="14" t="n"/>
      <c r="I80" s="15" t="n"/>
      <c r="J80" s="16" t="n"/>
      <c r="K80" s="14" t="n"/>
      <c r="L80" s="14" t="n"/>
      <c r="M80" s="13">
        <f>IF(I80="","",I80-TODAY())</f>
        <v/>
      </c>
      <c r="N80" s="14" t="n"/>
      <c r="O80" s="14">
        <f>IFERROR(IF(B80="","",IF(H80="","",IF(H80="Otro (mensaje libre)","",IF(H80="Requisitos (Crédito/Contado)",IF(OR(F80="",G80=""),"Indica primero el Método de Compra y el Tipo de Persona del cliente en la pestaña Clientes.",_xlfn.SWITCH($F80&amp;"|"&amp;$G80,"Crédito|Persona física","Hola, "&amp;$B80&amp;", para continuar con el proceso de tu *"&amp;$D80&amp;"* por "&amp;$F80&amp;",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"&amp;$B80&amp;", para continuar con el proceso de tu *"&amp;$D80&amp;"* por "&amp;$F80&amp;",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"&amp;$B80&amp;", para continuar con el proceso de tu *"&amp;$D80&amp;"* por "&amp;$F80&amp;",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"&amp;$B80&amp;", para continuar con el proceso de tu *"&amp;$D80&amp;"* por "&amp;$F80&amp;", estos son los documentos que necesitamos:"&amp;CHAR(10)&amp;CHAR(10)&amp;"- INE"&amp;CHAR(10)&amp;"- Comprobante de domicilio"&amp;CHAR(10)&amp;"- Constancia de situación fiscal (no mayor a 3 meses)","Contado|Persona física con actividad empresarial","Hola, "&amp;$B80&amp;", para continuar con el proceso de tu *"&amp;$D80&amp;"* por "&amp;$F80&amp;", estos son los documentos que necesitamos:"&amp;CHAR(10)&amp;CHAR(10)&amp;"- INE"&amp;CHAR(10)&amp;"- Comprobante de domicilio"&amp;CHAR(10)&amp;"- Constancia de situación fiscal (no mayor a 3 meses)","Contado|Persona moral","Hola, "&amp;$B80&amp;", para continuar con el proceso de tu *"&amp;$D80&amp;"* por "&amp;$F80&amp;",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Clientes.")&amp;CHAR(10)&amp;CHAR(10)&amp;Config!$B$1),IF(D80="","",SUBSTITUTE(SUBSTITUTE(INDEX('Catálogo Mensajes'!$D:$J,MATCH($D80,'Catálogo Mensajes'!$B:$B,0),MATCH($H80,'Catálogo Mensajes'!$D$4:$J$4,0)),"{NOMBRE}",$B80),"{PROMO}",'Catálogo Mensajes'!$C$2)&amp;CHAR(10)&amp;CHAR(10)&amp;Config!$B$1))))),"")</f>
        <v/>
      </c>
      <c r="P80" s="13">
        <f>IF(OR(O80="",C80=""),"",HYPERLINK("https://wa.me/52"&amp;C80&amp;"?text="&amp;_xlfn.ENCODEURL(O80),"Enviar mensaje"))</f>
        <v/>
      </c>
      <c r="Q80" s="13">
        <f>IF(OR(I80="",L80="Realizado",L80="Cancelado"),"",SUMPRODUCT(($I$2:$I$151&lt;I80)*($I$2:$I$151&gt;=DATE(Calendario!$C$3,Calendario!$C$2,1))*($I$2:$I$151&lt;DATE(Calendario!$C$3,Calendario!$C$2+1,1))*($L$2:$L$151&lt;&gt;"Realizado")*($L$2:$L$151&lt;&gt;"Cancelado"))+SUMPRODUCT(($I$2:$I$151=I80)*(ROW($I$2:$I$151)&lt;=ROW())*($I$2:$I$151&gt;=DATE(Calendario!$C$3,Calendario!$C$2,1))*($I$2:$I$151&lt;DATE(Calendario!$C$3,Calendario!$C$2+1,1))*($L$2:$L$151&lt;&gt;"Realizado")*($L$2:$L$151&lt;&gt;"Cancelado")))</f>
        <v/>
      </c>
    </row>
    <row r="81" ht="15" customHeight="1" s="1">
      <c r="A81" s="13">
        <f>IF(B81="","",ROW()-1)</f>
        <v/>
      </c>
      <c r="B81" s="14" t="n"/>
      <c r="C81" s="13">
        <f>IFERROR(INDEX(Clientes!$C:$C,MATCH(B81,Clientes!$B:$B,0)),"")</f>
        <v/>
      </c>
      <c r="D81" s="14">
        <f>IFERROR(INDEX(Clientes!$D:$D,MATCH(B81,Clientes!$B:$B,0)),"")</f>
        <v/>
      </c>
      <c r="E81" s="14">
        <f>IFERROR(INDEX(Clientes!$M:$M,MATCH(B81,Clientes!$B:$B,0)),"")</f>
        <v/>
      </c>
      <c r="F81" s="14">
        <f>IFERROR(INDEX(Clientes!$F:$F,MATCH(B81,Clientes!$B:$B,0)),"")</f>
        <v/>
      </c>
      <c r="G81" s="14">
        <f>IFERROR(INDEX(Clientes!$G:$G,MATCH(B81,Clientes!$B:$B,0)),"")</f>
        <v/>
      </c>
      <c r="H81" s="14" t="n"/>
      <c r="I81" s="15" t="n"/>
      <c r="J81" s="16" t="n"/>
      <c r="K81" s="14" t="n"/>
      <c r="L81" s="14" t="n"/>
      <c r="M81" s="13">
        <f>IF(I81="","",I81-TODAY())</f>
        <v/>
      </c>
      <c r="N81" s="14" t="n"/>
      <c r="O81" s="14">
        <f>IFERROR(IF(B81="","",IF(H81="","",IF(H81="Otro (mensaje libre)","",IF(H81="Requisitos (Crédito/Contado)",IF(OR(F81="",G81=""),"Indica primero el Método de Compra y el Tipo de Persona del cliente en la pestaña Clientes.",_xlfn.SWITCH($F81&amp;"|"&amp;$G81,"Crédito|Persona física","Hola, "&amp;$B81&amp;", para continuar con el proceso de tu *"&amp;$D81&amp;"* por "&amp;$F81&amp;",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"&amp;$B81&amp;", para continuar con el proceso de tu *"&amp;$D81&amp;"* por "&amp;$F81&amp;",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"&amp;$B81&amp;", para continuar con el proceso de tu *"&amp;$D81&amp;"* por "&amp;$F81&amp;",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"&amp;$B81&amp;", para continuar con el proceso de tu *"&amp;$D81&amp;"* por "&amp;$F81&amp;", estos son los documentos que necesitamos:"&amp;CHAR(10)&amp;CHAR(10)&amp;"- INE"&amp;CHAR(10)&amp;"- Comprobante de domicilio"&amp;CHAR(10)&amp;"- Constancia de situación fiscal (no mayor a 3 meses)","Contado|Persona física con actividad empresarial","Hola, "&amp;$B81&amp;", para continuar con el proceso de tu *"&amp;$D81&amp;"* por "&amp;$F81&amp;", estos son los documentos que necesitamos:"&amp;CHAR(10)&amp;CHAR(10)&amp;"- INE"&amp;CHAR(10)&amp;"- Comprobante de domicilio"&amp;CHAR(10)&amp;"- Constancia de situación fiscal (no mayor a 3 meses)","Contado|Persona moral","Hola, "&amp;$B81&amp;", para continuar con el proceso de tu *"&amp;$D81&amp;"* por "&amp;$F81&amp;",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Clientes.")&amp;CHAR(10)&amp;CHAR(10)&amp;Config!$B$1),IF(D81="","",SUBSTITUTE(SUBSTITUTE(INDEX('Catálogo Mensajes'!$D:$J,MATCH($D81,'Catálogo Mensajes'!$B:$B,0),MATCH($H81,'Catálogo Mensajes'!$D$4:$J$4,0)),"{NOMBRE}",$B81),"{PROMO}",'Catálogo Mensajes'!$C$2)&amp;CHAR(10)&amp;CHAR(10)&amp;Config!$B$1))))),"")</f>
        <v/>
      </c>
      <c r="P81" s="13">
        <f>IF(OR(O81="",C81=""),"",HYPERLINK("https://wa.me/52"&amp;C81&amp;"?text="&amp;_xlfn.ENCODEURL(O81),"Enviar mensaje"))</f>
        <v/>
      </c>
      <c r="Q81" s="13">
        <f>IF(OR(I81="",L81="Realizado",L81="Cancelado"),"",SUMPRODUCT(($I$2:$I$151&lt;I81)*($I$2:$I$151&gt;=DATE(Calendario!$C$3,Calendario!$C$2,1))*($I$2:$I$151&lt;DATE(Calendario!$C$3,Calendario!$C$2+1,1))*($L$2:$L$151&lt;&gt;"Realizado")*($L$2:$L$151&lt;&gt;"Cancelado"))+SUMPRODUCT(($I$2:$I$151=I81)*(ROW($I$2:$I$151)&lt;=ROW())*($I$2:$I$151&gt;=DATE(Calendario!$C$3,Calendario!$C$2,1))*($I$2:$I$151&lt;DATE(Calendario!$C$3,Calendario!$C$2+1,1))*($L$2:$L$151&lt;&gt;"Realizado")*($L$2:$L$151&lt;&gt;"Cancelado")))</f>
        <v/>
      </c>
    </row>
    <row r="82" ht="15" customHeight="1" s="1">
      <c r="A82" s="13">
        <f>IF(B82="","",ROW()-1)</f>
        <v/>
      </c>
      <c r="B82" s="14" t="n"/>
      <c r="C82" s="13">
        <f>IFERROR(INDEX(Clientes!$C:$C,MATCH(B82,Clientes!$B:$B,0)),"")</f>
        <v/>
      </c>
      <c r="D82" s="14">
        <f>IFERROR(INDEX(Clientes!$D:$D,MATCH(B82,Clientes!$B:$B,0)),"")</f>
        <v/>
      </c>
      <c r="E82" s="14">
        <f>IFERROR(INDEX(Clientes!$M:$M,MATCH(B82,Clientes!$B:$B,0)),"")</f>
        <v/>
      </c>
      <c r="F82" s="14">
        <f>IFERROR(INDEX(Clientes!$F:$F,MATCH(B82,Clientes!$B:$B,0)),"")</f>
        <v/>
      </c>
      <c r="G82" s="14">
        <f>IFERROR(INDEX(Clientes!$G:$G,MATCH(B82,Clientes!$B:$B,0)),"")</f>
        <v/>
      </c>
      <c r="H82" s="14" t="n"/>
      <c r="I82" s="15" t="n"/>
      <c r="J82" s="16" t="n"/>
      <c r="K82" s="14" t="n"/>
      <c r="L82" s="14" t="n"/>
      <c r="M82" s="13">
        <f>IF(I82="","",I82-TODAY())</f>
        <v/>
      </c>
      <c r="N82" s="14" t="n"/>
      <c r="O82" s="14">
        <f>IFERROR(IF(B82="","",IF(H82="","",IF(H82="Otro (mensaje libre)","",IF(H82="Requisitos (Crédito/Contado)",IF(OR(F82="",G82=""),"Indica primero el Método de Compra y el Tipo de Persona del cliente en la pestaña Clientes.",_xlfn.SWITCH($F82&amp;"|"&amp;$G82,"Crédito|Persona física","Hola, "&amp;$B82&amp;", para continuar con el proceso de tu *"&amp;$D82&amp;"* por "&amp;$F82&amp;",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"&amp;$B82&amp;", para continuar con el proceso de tu *"&amp;$D82&amp;"* por "&amp;$F82&amp;",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"&amp;$B82&amp;", para continuar con el proceso de tu *"&amp;$D82&amp;"* por "&amp;$F82&amp;",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"&amp;$B82&amp;", para continuar con el proceso de tu *"&amp;$D82&amp;"* por "&amp;$F82&amp;", estos son los documentos que necesitamos:"&amp;CHAR(10)&amp;CHAR(10)&amp;"- INE"&amp;CHAR(10)&amp;"- Comprobante de domicilio"&amp;CHAR(10)&amp;"- Constancia de situación fiscal (no mayor a 3 meses)","Contado|Persona física con actividad empresarial","Hola, "&amp;$B82&amp;", para continuar con el proceso de tu *"&amp;$D82&amp;"* por "&amp;$F82&amp;", estos son los documentos que necesitamos:"&amp;CHAR(10)&amp;CHAR(10)&amp;"- INE"&amp;CHAR(10)&amp;"- Comprobante de domicilio"&amp;CHAR(10)&amp;"- Constancia de situación fiscal (no mayor a 3 meses)","Contado|Persona moral","Hola, "&amp;$B82&amp;", para continuar con el proceso de tu *"&amp;$D82&amp;"* por "&amp;$F82&amp;",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Clientes.")&amp;CHAR(10)&amp;CHAR(10)&amp;Config!$B$1),IF(D82="","",SUBSTITUTE(SUBSTITUTE(INDEX('Catálogo Mensajes'!$D:$J,MATCH($D82,'Catálogo Mensajes'!$B:$B,0),MATCH($H82,'Catálogo Mensajes'!$D$4:$J$4,0)),"{NOMBRE}",$B82),"{PROMO}",'Catálogo Mensajes'!$C$2)&amp;CHAR(10)&amp;CHAR(10)&amp;Config!$B$1))))),"")</f>
        <v/>
      </c>
      <c r="P82" s="13">
        <f>IF(OR(O82="",C82=""),"",HYPERLINK("https://wa.me/52"&amp;C82&amp;"?text="&amp;_xlfn.ENCODEURL(O82),"Enviar mensaje"))</f>
        <v/>
      </c>
      <c r="Q82" s="13">
        <f>IF(OR(I82="",L82="Realizado",L82="Cancelado"),"",SUMPRODUCT(($I$2:$I$151&lt;I82)*($I$2:$I$151&gt;=DATE(Calendario!$C$3,Calendario!$C$2,1))*($I$2:$I$151&lt;DATE(Calendario!$C$3,Calendario!$C$2+1,1))*($L$2:$L$151&lt;&gt;"Realizado")*($L$2:$L$151&lt;&gt;"Cancelado"))+SUMPRODUCT(($I$2:$I$151=I82)*(ROW($I$2:$I$151)&lt;=ROW())*($I$2:$I$151&gt;=DATE(Calendario!$C$3,Calendario!$C$2,1))*($I$2:$I$151&lt;DATE(Calendario!$C$3,Calendario!$C$2+1,1))*($L$2:$L$151&lt;&gt;"Realizado")*($L$2:$L$151&lt;&gt;"Cancelado")))</f>
        <v/>
      </c>
    </row>
    <row r="83" ht="15" customHeight="1" s="1">
      <c r="A83" s="13">
        <f>IF(B83="","",ROW()-1)</f>
        <v/>
      </c>
      <c r="B83" s="14" t="n"/>
      <c r="C83" s="13">
        <f>IFERROR(INDEX(Clientes!$C:$C,MATCH(B83,Clientes!$B:$B,0)),"")</f>
        <v/>
      </c>
      <c r="D83" s="14">
        <f>IFERROR(INDEX(Clientes!$D:$D,MATCH(B83,Clientes!$B:$B,0)),"")</f>
        <v/>
      </c>
      <c r="E83" s="14">
        <f>IFERROR(INDEX(Clientes!$M:$M,MATCH(B83,Clientes!$B:$B,0)),"")</f>
        <v/>
      </c>
      <c r="F83" s="14">
        <f>IFERROR(INDEX(Clientes!$F:$F,MATCH(B83,Clientes!$B:$B,0)),"")</f>
        <v/>
      </c>
      <c r="G83" s="14">
        <f>IFERROR(INDEX(Clientes!$G:$G,MATCH(B83,Clientes!$B:$B,0)),"")</f>
        <v/>
      </c>
      <c r="H83" s="14" t="n"/>
      <c r="I83" s="15" t="n"/>
      <c r="J83" s="16" t="n"/>
      <c r="K83" s="14" t="n"/>
      <c r="L83" s="14" t="n"/>
      <c r="M83" s="13">
        <f>IF(I83="","",I83-TODAY())</f>
        <v/>
      </c>
      <c r="N83" s="14" t="n"/>
      <c r="O83" s="14">
        <f>IFERROR(IF(B83="","",IF(H83="","",IF(H83="Otro (mensaje libre)","",IF(H83="Requisitos (Crédito/Contado)",IF(OR(F83="",G83=""),"Indica primero el Método de Compra y el Tipo de Persona del cliente en la pestaña Clientes.",_xlfn.SWITCH($F83&amp;"|"&amp;$G83,"Crédito|Persona física","Hola, "&amp;$B83&amp;", para continuar con el proceso de tu *"&amp;$D83&amp;"* por "&amp;$F83&amp;",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"&amp;$B83&amp;", para continuar con el proceso de tu *"&amp;$D83&amp;"* por "&amp;$F83&amp;",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"&amp;$B83&amp;", para continuar con el proceso de tu *"&amp;$D83&amp;"* por "&amp;$F83&amp;",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"&amp;$B83&amp;", para continuar con el proceso de tu *"&amp;$D83&amp;"* por "&amp;$F83&amp;", estos son los documentos que necesitamos:"&amp;CHAR(10)&amp;CHAR(10)&amp;"- INE"&amp;CHAR(10)&amp;"- Comprobante de domicilio"&amp;CHAR(10)&amp;"- Constancia de situación fiscal (no mayor a 3 meses)","Contado|Persona física con actividad empresarial","Hola, "&amp;$B83&amp;", para continuar con el proceso de tu *"&amp;$D83&amp;"* por "&amp;$F83&amp;", estos son los documentos que necesitamos:"&amp;CHAR(10)&amp;CHAR(10)&amp;"- INE"&amp;CHAR(10)&amp;"- Comprobante de domicilio"&amp;CHAR(10)&amp;"- Constancia de situación fiscal (no mayor a 3 meses)","Contado|Persona moral","Hola, "&amp;$B83&amp;", para continuar con el proceso de tu *"&amp;$D83&amp;"* por "&amp;$F83&amp;",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Clientes.")&amp;CHAR(10)&amp;CHAR(10)&amp;Config!$B$1),IF(D83="","",SUBSTITUTE(SUBSTITUTE(INDEX('Catálogo Mensajes'!$D:$J,MATCH($D83,'Catálogo Mensajes'!$B:$B,0),MATCH($H83,'Catálogo Mensajes'!$D$4:$J$4,0)),"{NOMBRE}",$B83),"{PROMO}",'Catálogo Mensajes'!$C$2)&amp;CHAR(10)&amp;CHAR(10)&amp;Config!$B$1))))),"")</f>
        <v/>
      </c>
      <c r="P83" s="13">
        <f>IF(OR(O83="",C83=""),"",HYPERLINK("https://wa.me/52"&amp;C83&amp;"?text="&amp;_xlfn.ENCODEURL(O83),"Enviar mensaje"))</f>
        <v/>
      </c>
      <c r="Q83" s="13">
        <f>IF(OR(I83="",L83="Realizado",L83="Cancelado"),"",SUMPRODUCT(($I$2:$I$151&lt;I83)*($I$2:$I$151&gt;=DATE(Calendario!$C$3,Calendario!$C$2,1))*($I$2:$I$151&lt;DATE(Calendario!$C$3,Calendario!$C$2+1,1))*($L$2:$L$151&lt;&gt;"Realizado")*($L$2:$L$151&lt;&gt;"Cancelado"))+SUMPRODUCT(($I$2:$I$151=I83)*(ROW($I$2:$I$151)&lt;=ROW())*($I$2:$I$151&gt;=DATE(Calendario!$C$3,Calendario!$C$2,1))*($I$2:$I$151&lt;DATE(Calendario!$C$3,Calendario!$C$2+1,1))*($L$2:$L$151&lt;&gt;"Realizado")*($L$2:$L$151&lt;&gt;"Cancelado")))</f>
        <v/>
      </c>
    </row>
    <row r="84" ht="15" customHeight="1" s="1">
      <c r="A84" s="13">
        <f>IF(B84="","",ROW()-1)</f>
        <v/>
      </c>
      <c r="B84" s="14" t="n"/>
      <c r="C84" s="13">
        <f>IFERROR(INDEX(Clientes!$C:$C,MATCH(B84,Clientes!$B:$B,0)),"")</f>
        <v/>
      </c>
      <c r="D84" s="14">
        <f>IFERROR(INDEX(Clientes!$D:$D,MATCH(B84,Clientes!$B:$B,0)),"")</f>
        <v/>
      </c>
      <c r="E84" s="14">
        <f>IFERROR(INDEX(Clientes!$M:$M,MATCH(B84,Clientes!$B:$B,0)),"")</f>
        <v/>
      </c>
      <c r="F84" s="14">
        <f>IFERROR(INDEX(Clientes!$F:$F,MATCH(B84,Clientes!$B:$B,0)),"")</f>
        <v/>
      </c>
      <c r="G84" s="14">
        <f>IFERROR(INDEX(Clientes!$G:$G,MATCH(B84,Clientes!$B:$B,0)),"")</f>
        <v/>
      </c>
      <c r="H84" s="14" t="n"/>
      <c r="I84" s="15" t="n"/>
      <c r="J84" s="16" t="n"/>
      <c r="K84" s="14" t="n"/>
      <c r="L84" s="14" t="n"/>
      <c r="M84" s="13">
        <f>IF(I84="","",I84-TODAY())</f>
        <v/>
      </c>
      <c r="N84" s="14" t="n"/>
      <c r="O84" s="14">
        <f>IFERROR(IF(B84="","",IF(H84="","",IF(H84="Otro (mensaje libre)","",IF(H84="Requisitos (Crédito/Contado)",IF(OR(F84="",G84=""),"Indica primero el Método de Compra y el Tipo de Persona del cliente en la pestaña Clientes.",_xlfn.SWITCH($F84&amp;"|"&amp;$G84,"Crédito|Persona física","Hola, "&amp;$B84&amp;", para continuar con el proceso de tu *"&amp;$D84&amp;"* por "&amp;$F84&amp;",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"&amp;$B84&amp;", para continuar con el proceso de tu *"&amp;$D84&amp;"* por "&amp;$F84&amp;",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"&amp;$B84&amp;", para continuar con el proceso de tu *"&amp;$D84&amp;"* por "&amp;$F84&amp;",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"&amp;$B84&amp;", para continuar con el proceso de tu *"&amp;$D84&amp;"* por "&amp;$F84&amp;", estos son los documentos que necesitamos:"&amp;CHAR(10)&amp;CHAR(10)&amp;"- INE"&amp;CHAR(10)&amp;"- Comprobante de domicilio"&amp;CHAR(10)&amp;"- Constancia de situación fiscal (no mayor a 3 meses)","Contado|Persona física con actividad empresarial","Hola, "&amp;$B84&amp;", para continuar con el proceso de tu *"&amp;$D84&amp;"* por "&amp;$F84&amp;", estos son los documentos que necesitamos:"&amp;CHAR(10)&amp;CHAR(10)&amp;"- INE"&amp;CHAR(10)&amp;"- Comprobante de domicilio"&amp;CHAR(10)&amp;"- Constancia de situación fiscal (no mayor a 3 meses)","Contado|Persona moral","Hola, "&amp;$B84&amp;", para continuar con el proceso de tu *"&amp;$D84&amp;"* por "&amp;$F84&amp;",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Clientes.")&amp;CHAR(10)&amp;CHAR(10)&amp;Config!$B$1),IF(D84="","",SUBSTITUTE(SUBSTITUTE(INDEX('Catálogo Mensajes'!$D:$J,MATCH($D84,'Catálogo Mensajes'!$B:$B,0),MATCH($H84,'Catálogo Mensajes'!$D$4:$J$4,0)),"{NOMBRE}",$B84),"{PROMO}",'Catálogo Mensajes'!$C$2)&amp;CHAR(10)&amp;CHAR(10)&amp;Config!$B$1))))),"")</f>
        <v/>
      </c>
      <c r="P84" s="13">
        <f>IF(OR(O84="",C84=""),"",HYPERLINK("https://wa.me/52"&amp;C84&amp;"?text="&amp;_xlfn.ENCODEURL(O84),"Enviar mensaje"))</f>
        <v/>
      </c>
      <c r="Q84" s="13">
        <f>IF(OR(I84="",L84="Realizado",L84="Cancelado"),"",SUMPRODUCT(($I$2:$I$151&lt;I84)*($I$2:$I$151&gt;=DATE(Calendario!$C$3,Calendario!$C$2,1))*($I$2:$I$151&lt;DATE(Calendario!$C$3,Calendario!$C$2+1,1))*($L$2:$L$151&lt;&gt;"Realizado")*($L$2:$L$151&lt;&gt;"Cancelado"))+SUMPRODUCT(($I$2:$I$151=I84)*(ROW($I$2:$I$151)&lt;=ROW())*($I$2:$I$151&gt;=DATE(Calendario!$C$3,Calendario!$C$2,1))*($I$2:$I$151&lt;DATE(Calendario!$C$3,Calendario!$C$2+1,1))*($L$2:$L$151&lt;&gt;"Realizado")*($L$2:$L$151&lt;&gt;"Cancelado")))</f>
        <v/>
      </c>
    </row>
    <row r="85" ht="15" customHeight="1" s="1">
      <c r="A85" s="13">
        <f>IF(B85="","",ROW()-1)</f>
        <v/>
      </c>
      <c r="B85" s="14" t="n"/>
      <c r="C85" s="13">
        <f>IFERROR(INDEX(Clientes!$C:$C,MATCH(B85,Clientes!$B:$B,0)),"")</f>
        <v/>
      </c>
      <c r="D85" s="14">
        <f>IFERROR(INDEX(Clientes!$D:$D,MATCH(B85,Clientes!$B:$B,0)),"")</f>
        <v/>
      </c>
      <c r="E85" s="14">
        <f>IFERROR(INDEX(Clientes!$M:$M,MATCH(B85,Clientes!$B:$B,0)),"")</f>
        <v/>
      </c>
      <c r="F85" s="14">
        <f>IFERROR(INDEX(Clientes!$F:$F,MATCH(B85,Clientes!$B:$B,0)),"")</f>
        <v/>
      </c>
      <c r="G85" s="14">
        <f>IFERROR(INDEX(Clientes!$G:$G,MATCH(B85,Clientes!$B:$B,0)),"")</f>
        <v/>
      </c>
      <c r="H85" s="14" t="n"/>
      <c r="I85" s="15" t="n"/>
      <c r="J85" s="16" t="n"/>
      <c r="K85" s="14" t="n"/>
      <c r="L85" s="14" t="n"/>
      <c r="M85" s="13">
        <f>IF(I85="","",I85-TODAY())</f>
        <v/>
      </c>
      <c r="N85" s="14" t="n"/>
      <c r="O85" s="14">
        <f>IFERROR(IF(B85="","",IF(H85="","",IF(H85="Otro (mensaje libre)","",IF(H85="Requisitos (Crédito/Contado)",IF(OR(F85="",G85=""),"Indica primero el Método de Compra y el Tipo de Persona del cliente en la pestaña Clientes.",_xlfn.SWITCH($F85&amp;"|"&amp;$G85,"Crédito|Persona física","Hola, "&amp;$B85&amp;", para continuar con el proceso de tu *"&amp;$D85&amp;"* por "&amp;$F85&amp;",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"&amp;$B85&amp;", para continuar con el proceso de tu *"&amp;$D85&amp;"* por "&amp;$F85&amp;",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"&amp;$B85&amp;", para continuar con el proceso de tu *"&amp;$D85&amp;"* por "&amp;$F85&amp;",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"&amp;$B85&amp;", para continuar con el proceso de tu *"&amp;$D85&amp;"* por "&amp;$F85&amp;", estos son los documentos que necesitamos:"&amp;CHAR(10)&amp;CHAR(10)&amp;"- INE"&amp;CHAR(10)&amp;"- Comprobante de domicilio"&amp;CHAR(10)&amp;"- Constancia de situación fiscal (no mayor a 3 meses)","Contado|Persona física con actividad empresarial","Hola, "&amp;$B85&amp;", para continuar con el proceso de tu *"&amp;$D85&amp;"* por "&amp;$F85&amp;", estos son los documentos que necesitamos:"&amp;CHAR(10)&amp;CHAR(10)&amp;"- INE"&amp;CHAR(10)&amp;"- Comprobante de domicilio"&amp;CHAR(10)&amp;"- Constancia de situación fiscal (no mayor a 3 meses)","Contado|Persona moral","Hola, "&amp;$B85&amp;", para continuar con el proceso de tu *"&amp;$D85&amp;"* por "&amp;$F85&amp;",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Clientes.")&amp;CHAR(10)&amp;CHAR(10)&amp;Config!$B$1),IF(D85="","",SUBSTITUTE(SUBSTITUTE(INDEX('Catálogo Mensajes'!$D:$J,MATCH($D85,'Catálogo Mensajes'!$B:$B,0),MATCH($H85,'Catálogo Mensajes'!$D$4:$J$4,0)),"{NOMBRE}",$B85),"{PROMO}",'Catálogo Mensajes'!$C$2)&amp;CHAR(10)&amp;CHAR(10)&amp;Config!$B$1))))),"")</f>
        <v/>
      </c>
      <c r="P85" s="13">
        <f>IF(OR(O85="",C85=""),"",HYPERLINK("https://wa.me/52"&amp;C85&amp;"?text="&amp;_xlfn.ENCODEURL(O85),"Enviar mensaje"))</f>
        <v/>
      </c>
      <c r="Q85" s="13">
        <f>IF(OR(I85="",L85="Realizado",L85="Cancelado"),"",SUMPRODUCT(($I$2:$I$151&lt;I85)*($I$2:$I$151&gt;=DATE(Calendario!$C$3,Calendario!$C$2,1))*($I$2:$I$151&lt;DATE(Calendario!$C$3,Calendario!$C$2+1,1))*($L$2:$L$151&lt;&gt;"Realizado")*($L$2:$L$151&lt;&gt;"Cancelado"))+SUMPRODUCT(($I$2:$I$151=I85)*(ROW($I$2:$I$151)&lt;=ROW())*($I$2:$I$151&gt;=DATE(Calendario!$C$3,Calendario!$C$2,1))*($I$2:$I$151&lt;DATE(Calendario!$C$3,Calendario!$C$2+1,1))*($L$2:$L$151&lt;&gt;"Realizado")*($L$2:$L$151&lt;&gt;"Cancelado")))</f>
        <v/>
      </c>
    </row>
    <row r="86" ht="15" customHeight="1" s="1">
      <c r="A86" s="13">
        <f>IF(B86="","",ROW()-1)</f>
        <v/>
      </c>
      <c r="B86" s="14" t="n"/>
      <c r="C86" s="13">
        <f>IFERROR(INDEX(Clientes!$C:$C,MATCH(B86,Clientes!$B:$B,0)),"")</f>
        <v/>
      </c>
      <c r="D86" s="14">
        <f>IFERROR(INDEX(Clientes!$D:$D,MATCH(B86,Clientes!$B:$B,0)),"")</f>
        <v/>
      </c>
      <c r="E86" s="14">
        <f>IFERROR(INDEX(Clientes!$M:$M,MATCH(B86,Clientes!$B:$B,0)),"")</f>
        <v/>
      </c>
      <c r="F86" s="14">
        <f>IFERROR(INDEX(Clientes!$F:$F,MATCH(B86,Clientes!$B:$B,0)),"")</f>
        <v/>
      </c>
      <c r="G86" s="14">
        <f>IFERROR(INDEX(Clientes!$G:$G,MATCH(B86,Clientes!$B:$B,0)),"")</f>
        <v/>
      </c>
      <c r="H86" s="14" t="n"/>
      <c r="I86" s="15" t="n"/>
      <c r="J86" s="16" t="n"/>
      <c r="K86" s="14" t="n"/>
      <c r="L86" s="14" t="n"/>
      <c r="M86" s="13">
        <f>IF(I86="","",I86-TODAY())</f>
        <v/>
      </c>
      <c r="N86" s="14" t="n"/>
      <c r="O86" s="14">
        <f>IFERROR(IF(B86="","",IF(H86="","",IF(H86="Otro (mensaje libre)","",IF(H86="Requisitos (Crédito/Contado)",IF(OR(F86="",G86=""),"Indica primero el Método de Compra y el Tipo de Persona del cliente en la pestaña Clientes.",_xlfn.SWITCH($F86&amp;"|"&amp;$G86,"Crédito|Persona física","Hola, "&amp;$B86&amp;", para continuar con el proceso de tu *"&amp;$D86&amp;"* por "&amp;$F86&amp;",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"&amp;$B86&amp;", para continuar con el proceso de tu *"&amp;$D86&amp;"* por "&amp;$F86&amp;",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"&amp;$B86&amp;", para continuar con el proceso de tu *"&amp;$D86&amp;"* por "&amp;$F86&amp;",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"&amp;$B86&amp;", para continuar con el proceso de tu *"&amp;$D86&amp;"* por "&amp;$F86&amp;", estos son los documentos que necesitamos:"&amp;CHAR(10)&amp;CHAR(10)&amp;"- INE"&amp;CHAR(10)&amp;"- Comprobante de domicilio"&amp;CHAR(10)&amp;"- Constancia de situación fiscal (no mayor a 3 meses)","Contado|Persona física con actividad empresarial","Hola, "&amp;$B86&amp;", para continuar con el proceso de tu *"&amp;$D86&amp;"* por "&amp;$F86&amp;", estos son los documentos que necesitamos:"&amp;CHAR(10)&amp;CHAR(10)&amp;"- INE"&amp;CHAR(10)&amp;"- Comprobante de domicilio"&amp;CHAR(10)&amp;"- Constancia de situación fiscal (no mayor a 3 meses)","Contado|Persona moral","Hola, "&amp;$B86&amp;", para continuar con el proceso de tu *"&amp;$D86&amp;"* por "&amp;$F86&amp;",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Clientes.")&amp;CHAR(10)&amp;CHAR(10)&amp;Config!$B$1),IF(D86="","",SUBSTITUTE(SUBSTITUTE(INDEX('Catálogo Mensajes'!$D:$J,MATCH($D86,'Catálogo Mensajes'!$B:$B,0),MATCH($H86,'Catálogo Mensajes'!$D$4:$J$4,0)),"{NOMBRE}",$B86),"{PROMO}",'Catálogo Mensajes'!$C$2)&amp;CHAR(10)&amp;CHAR(10)&amp;Config!$B$1))))),"")</f>
        <v/>
      </c>
      <c r="P86" s="13">
        <f>IF(OR(O86="",C86=""),"",HYPERLINK("https://wa.me/52"&amp;C86&amp;"?text="&amp;_xlfn.ENCODEURL(O86),"Enviar mensaje"))</f>
        <v/>
      </c>
      <c r="Q86" s="13">
        <f>IF(OR(I86="",L86="Realizado",L86="Cancelado"),"",SUMPRODUCT(($I$2:$I$151&lt;I86)*($I$2:$I$151&gt;=DATE(Calendario!$C$3,Calendario!$C$2,1))*($I$2:$I$151&lt;DATE(Calendario!$C$3,Calendario!$C$2+1,1))*($L$2:$L$151&lt;&gt;"Realizado")*($L$2:$L$151&lt;&gt;"Cancelado"))+SUMPRODUCT(($I$2:$I$151=I86)*(ROW($I$2:$I$151)&lt;=ROW())*($I$2:$I$151&gt;=DATE(Calendario!$C$3,Calendario!$C$2,1))*($I$2:$I$151&lt;DATE(Calendario!$C$3,Calendario!$C$2+1,1))*($L$2:$L$151&lt;&gt;"Realizado")*($L$2:$L$151&lt;&gt;"Cancelado")))</f>
        <v/>
      </c>
    </row>
    <row r="87" ht="15" customHeight="1" s="1">
      <c r="A87" s="13">
        <f>IF(B87="","",ROW()-1)</f>
        <v/>
      </c>
      <c r="B87" s="14" t="n"/>
      <c r="C87" s="13">
        <f>IFERROR(INDEX(Clientes!$C:$C,MATCH(B87,Clientes!$B:$B,0)),"")</f>
        <v/>
      </c>
      <c r="D87" s="14">
        <f>IFERROR(INDEX(Clientes!$D:$D,MATCH(B87,Clientes!$B:$B,0)),"")</f>
        <v/>
      </c>
      <c r="E87" s="14">
        <f>IFERROR(INDEX(Clientes!$M:$M,MATCH(B87,Clientes!$B:$B,0)),"")</f>
        <v/>
      </c>
      <c r="F87" s="14">
        <f>IFERROR(INDEX(Clientes!$F:$F,MATCH(B87,Clientes!$B:$B,0)),"")</f>
        <v/>
      </c>
      <c r="G87" s="14">
        <f>IFERROR(INDEX(Clientes!$G:$G,MATCH(B87,Clientes!$B:$B,0)),"")</f>
        <v/>
      </c>
      <c r="H87" s="14" t="n"/>
      <c r="I87" s="15" t="n"/>
      <c r="J87" s="16" t="n"/>
      <c r="K87" s="14" t="n"/>
      <c r="L87" s="14" t="n"/>
      <c r="M87" s="13">
        <f>IF(I87="","",I87-TODAY())</f>
        <v/>
      </c>
      <c r="N87" s="14" t="n"/>
      <c r="O87" s="14">
        <f>IFERROR(IF(B87="","",IF(H87="","",IF(H87="Otro (mensaje libre)","",IF(H87="Requisitos (Crédito/Contado)",IF(OR(F87="",G87=""),"Indica primero el Método de Compra y el Tipo de Persona del cliente en la pestaña Clientes.",_xlfn.SWITCH($F87&amp;"|"&amp;$G87,"Crédito|Persona física","Hola, "&amp;$B87&amp;", para continuar con el proceso de tu *"&amp;$D87&amp;"* por "&amp;$F87&amp;",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"&amp;$B87&amp;", para continuar con el proceso de tu *"&amp;$D87&amp;"* por "&amp;$F87&amp;",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"&amp;$B87&amp;", para continuar con el proceso de tu *"&amp;$D87&amp;"* por "&amp;$F87&amp;",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"&amp;$B87&amp;", para continuar con el proceso de tu *"&amp;$D87&amp;"* por "&amp;$F87&amp;", estos son los documentos que necesitamos:"&amp;CHAR(10)&amp;CHAR(10)&amp;"- INE"&amp;CHAR(10)&amp;"- Comprobante de domicilio"&amp;CHAR(10)&amp;"- Constancia de situación fiscal (no mayor a 3 meses)","Contado|Persona física con actividad empresarial","Hola, "&amp;$B87&amp;", para continuar con el proceso de tu *"&amp;$D87&amp;"* por "&amp;$F87&amp;", estos son los documentos que necesitamos:"&amp;CHAR(10)&amp;CHAR(10)&amp;"- INE"&amp;CHAR(10)&amp;"- Comprobante de domicilio"&amp;CHAR(10)&amp;"- Constancia de situación fiscal (no mayor a 3 meses)","Contado|Persona moral","Hola, "&amp;$B87&amp;", para continuar con el proceso de tu *"&amp;$D87&amp;"* por "&amp;$F87&amp;",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Clientes.")&amp;CHAR(10)&amp;CHAR(10)&amp;Config!$B$1),IF(D87="","",SUBSTITUTE(SUBSTITUTE(INDEX('Catálogo Mensajes'!$D:$J,MATCH($D87,'Catálogo Mensajes'!$B:$B,0),MATCH($H87,'Catálogo Mensajes'!$D$4:$J$4,0)),"{NOMBRE}",$B87),"{PROMO}",'Catálogo Mensajes'!$C$2)&amp;CHAR(10)&amp;CHAR(10)&amp;Config!$B$1))))),"")</f>
        <v/>
      </c>
      <c r="P87" s="13">
        <f>IF(OR(O87="",C87=""),"",HYPERLINK("https://wa.me/52"&amp;C87&amp;"?text="&amp;_xlfn.ENCODEURL(O87),"Enviar mensaje"))</f>
        <v/>
      </c>
      <c r="Q87" s="13">
        <f>IF(OR(I87="",L87="Realizado",L87="Cancelado"),"",SUMPRODUCT(($I$2:$I$151&lt;I87)*($I$2:$I$151&gt;=DATE(Calendario!$C$3,Calendario!$C$2,1))*($I$2:$I$151&lt;DATE(Calendario!$C$3,Calendario!$C$2+1,1))*($L$2:$L$151&lt;&gt;"Realizado")*($L$2:$L$151&lt;&gt;"Cancelado"))+SUMPRODUCT(($I$2:$I$151=I87)*(ROW($I$2:$I$151)&lt;=ROW())*($I$2:$I$151&gt;=DATE(Calendario!$C$3,Calendario!$C$2,1))*($I$2:$I$151&lt;DATE(Calendario!$C$3,Calendario!$C$2+1,1))*($L$2:$L$151&lt;&gt;"Realizado")*($L$2:$L$151&lt;&gt;"Cancelado")))</f>
        <v/>
      </c>
    </row>
    <row r="88" ht="15" customHeight="1" s="1">
      <c r="A88" s="13">
        <f>IF(B88="","",ROW()-1)</f>
        <v/>
      </c>
      <c r="B88" s="14" t="n"/>
      <c r="C88" s="13">
        <f>IFERROR(INDEX(Clientes!$C:$C,MATCH(B88,Clientes!$B:$B,0)),"")</f>
        <v/>
      </c>
      <c r="D88" s="14">
        <f>IFERROR(INDEX(Clientes!$D:$D,MATCH(B88,Clientes!$B:$B,0)),"")</f>
        <v/>
      </c>
      <c r="E88" s="14">
        <f>IFERROR(INDEX(Clientes!$M:$M,MATCH(B88,Clientes!$B:$B,0)),"")</f>
        <v/>
      </c>
      <c r="F88" s="14">
        <f>IFERROR(INDEX(Clientes!$F:$F,MATCH(B88,Clientes!$B:$B,0)),"")</f>
        <v/>
      </c>
      <c r="G88" s="14">
        <f>IFERROR(INDEX(Clientes!$G:$G,MATCH(B88,Clientes!$B:$B,0)),"")</f>
        <v/>
      </c>
      <c r="H88" s="14" t="n"/>
      <c r="I88" s="15" t="n"/>
      <c r="J88" s="16" t="n"/>
      <c r="K88" s="14" t="n"/>
      <c r="L88" s="14" t="n"/>
      <c r="M88" s="13">
        <f>IF(I88="","",I88-TODAY())</f>
        <v/>
      </c>
      <c r="N88" s="14" t="n"/>
      <c r="O88" s="14">
        <f>IFERROR(IF(B88="","",IF(H88="","",IF(H88="Otro (mensaje libre)","",IF(H88="Requisitos (Crédito/Contado)",IF(OR(F88="",G88=""),"Indica primero el Método de Compra y el Tipo de Persona del cliente en la pestaña Clientes.",_xlfn.SWITCH($F88&amp;"|"&amp;$G88,"Crédito|Persona física","Hola, "&amp;$B88&amp;", para continuar con el proceso de tu *"&amp;$D88&amp;"* por "&amp;$F88&amp;",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"&amp;$B88&amp;", para continuar con el proceso de tu *"&amp;$D88&amp;"* por "&amp;$F88&amp;",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"&amp;$B88&amp;", para continuar con el proceso de tu *"&amp;$D88&amp;"* por "&amp;$F88&amp;",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"&amp;$B88&amp;", para continuar con el proceso de tu *"&amp;$D88&amp;"* por "&amp;$F88&amp;", estos son los documentos que necesitamos:"&amp;CHAR(10)&amp;CHAR(10)&amp;"- INE"&amp;CHAR(10)&amp;"- Comprobante de domicilio"&amp;CHAR(10)&amp;"- Constancia de situación fiscal (no mayor a 3 meses)","Contado|Persona física con actividad empresarial","Hola, "&amp;$B88&amp;", para continuar con el proceso de tu *"&amp;$D88&amp;"* por "&amp;$F88&amp;", estos son los documentos que necesitamos:"&amp;CHAR(10)&amp;CHAR(10)&amp;"- INE"&amp;CHAR(10)&amp;"- Comprobante de domicilio"&amp;CHAR(10)&amp;"- Constancia de situación fiscal (no mayor a 3 meses)","Contado|Persona moral","Hola, "&amp;$B88&amp;", para continuar con el proceso de tu *"&amp;$D88&amp;"* por "&amp;$F88&amp;",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Clientes.")&amp;CHAR(10)&amp;CHAR(10)&amp;Config!$B$1),IF(D88="","",SUBSTITUTE(SUBSTITUTE(INDEX('Catálogo Mensajes'!$D:$J,MATCH($D88,'Catálogo Mensajes'!$B:$B,0),MATCH($H88,'Catálogo Mensajes'!$D$4:$J$4,0)),"{NOMBRE}",$B88),"{PROMO}",'Catálogo Mensajes'!$C$2)&amp;CHAR(10)&amp;CHAR(10)&amp;Config!$B$1))))),"")</f>
        <v/>
      </c>
      <c r="P88" s="13">
        <f>IF(OR(O88="",C88=""),"",HYPERLINK("https://wa.me/52"&amp;C88&amp;"?text="&amp;_xlfn.ENCODEURL(O88),"Enviar mensaje"))</f>
        <v/>
      </c>
      <c r="Q88" s="13">
        <f>IF(OR(I88="",L88="Realizado",L88="Cancelado"),"",SUMPRODUCT(($I$2:$I$151&lt;I88)*($I$2:$I$151&gt;=DATE(Calendario!$C$3,Calendario!$C$2,1))*($I$2:$I$151&lt;DATE(Calendario!$C$3,Calendario!$C$2+1,1))*($L$2:$L$151&lt;&gt;"Realizado")*($L$2:$L$151&lt;&gt;"Cancelado"))+SUMPRODUCT(($I$2:$I$151=I88)*(ROW($I$2:$I$151)&lt;=ROW())*($I$2:$I$151&gt;=DATE(Calendario!$C$3,Calendario!$C$2,1))*($I$2:$I$151&lt;DATE(Calendario!$C$3,Calendario!$C$2+1,1))*($L$2:$L$151&lt;&gt;"Realizado")*($L$2:$L$151&lt;&gt;"Cancelado")))</f>
        <v/>
      </c>
    </row>
    <row r="89" ht="15" customHeight="1" s="1">
      <c r="A89" s="13">
        <f>IF(B89="","",ROW()-1)</f>
        <v/>
      </c>
      <c r="B89" s="14" t="n"/>
      <c r="C89" s="13">
        <f>IFERROR(INDEX(Clientes!$C:$C,MATCH(B89,Clientes!$B:$B,0)),"")</f>
        <v/>
      </c>
      <c r="D89" s="14">
        <f>IFERROR(INDEX(Clientes!$D:$D,MATCH(B89,Clientes!$B:$B,0)),"")</f>
        <v/>
      </c>
      <c r="E89" s="14">
        <f>IFERROR(INDEX(Clientes!$M:$M,MATCH(B89,Clientes!$B:$B,0)),"")</f>
        <v/>
      </c>
      <c r="F89" s="14">
        <f>IFERROR(INDEX(Clientes!$F:$F,MATCH(B89,Clientes!$B:$B,0)),"")</f>
        <v/>
      </c>
      <c r="G89" s="14">
        <f>IFERROR(INDEX(Clientes!$G:$G,MATCH(B89,Clientes!$B:$B,0)),"")</f>
        <v/>
      </c>
      <c r="H89" s="14" t="n"/>
      <c r="I89" s="15" t="n"/>
      <c r="J89" s="16" t="n"/>
      <c r="K89" s="14" t="n"/>
      <c r="L89" s="14" t="n"/>
      <c r="M89" s="13">
        <f>IF(I89="","",I89-TODAY())</f>
        <v/>
      </c>
      <c r="N89" s="14" t="n"/>
      <c r="O89" s="14">
        <f>IFERROR(IF(B89="","",IF(H89="","",IF(H89="Otro (mensaje libre)","",IF(H89="Requisitos (Crédito/Contado)",IF(OR(F89="",G89=""),"Indica primero el Método de Compra y el Tipo de Persona del cliente en la pestaña Clientes.",_xlfn.SWITCH($F89&amp;"|"&amp;$G89,"Crédito|Persona física","Hola, "&amp;$B89&amp;", para continuar con el proceso de tu *"&amp;$D89&amp;"* por "&amp;$F89&amp;",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"&amp;$B89&amp;", para continuar con el proceso de tu *"&amp;$D89&amp;"* por "&amp;$F89&amp;",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"&amp;$B89&amp;", para continuar con el proceso de tu *"&amp;$D89&amp;"* por "&amp;$F89&amp;",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"&amp;$B89&amp;", para continuar con el proceso de tu *"&amp;$D89&amp;"* por "&amp;$F89&amp;", estos son los documentos que necesitamos:"&amp;CHAR(10)&amp;CHAR(10)&amp;"- INE"&amp;CHAR(10)&amp;"- Comprobante de domicilio"&amp;CHAR(10)&amp;"- Constancia de situación fiscal (no mayor a 3 meses)","Contado|Persona física con actividad empresarial","Hola, "&amp;$B89&amp;", para continuar con el proceso de tu *"&amp;$D89&amp;"* por "&amp;$F89&amp;", estos son los documentos que necesitamos:"&amp;CHAR(10)&amp;CHAR(10)&amp;"- INE"&amp;CHAR(10)&amp;"- Comprobante de domicilio"&amp;CHAR(10)&amp;"- Constancia de situación fiscal (no mayor a 3 meses)","Contado|Persona moral","Hola, "&amp;$B89&amp;", para continuar con el proceso de tu *"&amp;$D89&amp;"* por "&amp;$F89&amp;",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Clientes.")&amp;CHAR(10)&amp;CHAR(10)&amp;Config!$B$1),IF(D89="","",SUBSTITUTE(SUBSTITUTE(INDEX('Catálogo Mensajes'!$D:$J,MATCH($D89,'Catálogo Mensajes'!$B:$B,0),MATCH($H89,'Catálogo Mensajes'!$D$4:$J$4,0)),"{NOMBRE}",$B89),"{PROMO}",'Catálogo Mensajes'!$C$2)&amp;CHAR(10)&amp;CHAR(10)&amp;Config!$B$1))))),"")</f>
        <v/>
      </c>
      <c r="P89" s="13">
        <f>IF(OR(O89="",C89=""),"",HYPERLINK("https://wa.me/52"&amp;C89&amp;"?text="&amp;_xlfn.ENCODEURL(O89),"Enviar mensaje"))</f>
        <v/>
      </c>
      <c r="Q89" s="13">
        <f>IF(OR(I89="",L89="Realizado",L89="Cancelado"),"",SUMPRODUCT(($I$2:$I$151&lt;I89)*($I$2:$I$151&gt;=DATE(Calendario!$C$3,Calendario!$C$2,1))*($I$2:$I$151&lt;DATE(Calendario!$C$3,Calendario!$C$2+1,1))*($L$2:$L$151&lt;&gt;"Realizado")*($L$2:$L$151&lt;&gt;"Cancelado"))+SUMPRODUCT(($I$2:$I$151=I89)*(ROW($I$2:$I$151)&lt;=ROW())*($I$2:$I$151&gt;=DATE(Calendario!$C$3,Calendario!$C$2,1))*($I$2:$I$151&lt;DATE(Calendario!$C$3,Calendario!$C$2+1,1))*($L$2:$L$151&lt;&gt;"Realizado")*($L$2:$L$151&lt;&gt;"Cancelado")))</f>
        <v/>
      </c>
    </row>
    <row r="90" ht="15" customHeight="1" s="1">
      <c r="A90" s="13">
        <f>IF(B90="","",ROW()-1)</f>
        <v/>
      </c>
      <c r="B90" s="14" t="n"/>
      <c r="C90" s="13">
        <f>IFERROR(INDEX(Clientes!$C:$C,MATCH(B90,Clientes!$B:$B,0)),"")</f>
        <v/>
      </c>
      <c r="D90" s="14">
        <f>IFERROR(INDEX(Clientes!$D:$D,MATCH(B90,Clientes!$B:$B,0)),"")</f>
        <v/>
      </c>
      <c r="E90" s="14">
        <f>IFERROR(INDEX(Clientes!$M:$M,MATCH(B90,Clientes!$B:$B,0)),"")</f>
        <v/>
      </c>
      <c r="F90" s="14">
        <f>IFERROR(INDEX(Clientes!$F:$F,MATCH(B90,Clientes!$B:$B,0)),"")</f>
        <v/>
      </c>
      <c r="G90" s="14">
        <f>IFERROR(INDEX(Clientes!$G:$G,MATCH(B90,Clientes!$B:$B,0)),"")</f>
        <v/>
      </c>
      <c r="H90" s="14" t="n"/>
      <c r="I90" s="15" t="n"/>
      <c r="J90" s="16" t="n"/>
      <c r="K90" s="14" t="n"/>
      <c r="L90" s="14" t="n"/>
      <c r="M90" s="13">
        <f>IF(I90="","",I90-TODAY())</f>
        <v/>
      </c>
      <c r="N90" s="14" t="n"/>
      <c r="O90" s="14">
        <f>IFERROR(IF(B90="","",IF(H90="","",IF(H90="Otro (mensaje libre)","",IF(H90="Requisitos (Crédito/Contado)",IF(OR(F90="",G90=""),"Indica primero el Método de Compra y el Tipo de Persona del cliente en la pestaña Clientes.",_xlfn.SWITCH($F90&amp;"|"&amp;$G90,"Crédito|Persona física","Hola, "&amp;$B90&amp;", para continuar con el proceso de tu *"&amp;$D90&amp;"* por "&amp;$F90&amp;",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"&amp;$B90&amp;", para continuar con el proceso de tu *"&amp;$D90&amp;"* por "&amp;$F90&amp;",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"&amp;$B90&amp;", para continuar con el proceso de tu *"&amp;$D90&amp;"* por "&amp;$F90&amp;",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"&amp;$B90&amp;", para continuar con el proceso de tu *"&amp;$D90&amp;"* por "&amp;$F90&amp;", estos son los documentos que necesitamos:"&amp;CHAR(10)&amp;CHAR(10)&amp;"- INE"&amp;CHAR(10)&amp;"- Comprobante de domicilio"&amp;CHAR(10)&amp;"- Constancia de situación fiscal (no mayor a 3 meses)","Contado|Persona física con actividad empresarial","Hola, "&amp;$B90&amp;", para continuar con el proceso de tu *"&amp;$D90&amp;"* por "&amp;$F90&amp;", estos son los documentos que necesitamos:"&amp;CHAR(10)&amp;CHAR(10)&amp;"- INE"&amp;CHAR(10)&amp;"- Comprobante de domicilio"&amp;CHAR(10)&amp;"- Constancia de situación fiscal (no mayor a 3 meses)","Contado|Persona moral","Hola, "&amp;$B90&amp;", para continuar con el proceso de tu *"&amp;$D90&amp;"* por "&amp;$F90&amp;",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Clientes.")&amp;CHAR(10)&amp;CHAR(10)&amp;Config!$B$1),IF(D90="","",SUBSTITUTE(SUBSTITUTE(INDEX('Catálogo Mensajes'!$D:$J,MATCH($D90,'Catálogo Mensajes'!$B:$B,0),MATCH($H90,'Catálogo Mensajes'!$D$4:$J$4,0)),"{NOMBRE}",$B90),"{PROMO}",'Catálogo Mensajes'!$C$2)&amp;CHAR(10)&amp;CHAR(10)&amp;Config!$B$1))))),"")</f>
        <v/>
      </c>
      <c r="P90" s="13">
        <f>IF(OR(O90="",C90=""),"",HYPERLINK("https://wa.me/52"&amp;C90&amp;"?text="&amp;_xlfn.ENCODEURL(O90),"Enviar mensaje"))</f>
        <v/>
      </c>
      <c r="Q90" s="13">
        <f>IF(OR(I90="",L90="Realizado",L90="Cancelado"),"",SUMPRODUCT(($I$2:$I$151&lt;I90)*($I$2:$I$151&gt;=DATE(Calendario!$C$3,Calendario!$C$2,1))*($I$2:$I$151&lt;DATE(Calendario!$C$3,Calendario!$C$2+1,1))*($L$2:$L$151&lt;&gt;"Realizado")*($L$2:$L$151&lt;&gt;"Cancelado"))+SUMPRODUCT(($I$2:$I$151=I90)*(ROW($I$2:$I$151)&lt;=ROW())*($I$2:$I$151&gt;=DATE(Calendario!$C$3,Calendario!$C$2,1))*($I$2:$I$151&lt;DATE(Calendario!$C$3,Calendario!$C$2+1,1))*($L$2:$L$151&lt;&gt;"Realizado")*($L$2:$L$151&lt;&gt;"Cancelado")))</f>
        <v/>
      </c>
    </row>
    <row r="91" ht="15" customHeight="1" s="1">
      <c r="A91" s="13">
        <f>IF(B91="","",ROW()-1)</f>
        <v/>
      </c>
      <c r="B91" s="14" t="n"/>
      <c r="C91" s="13">
        <f>IFERROR(INDEX(Clientes!$C:$C,MATCH(B91,Clientes!$B:$B,0)),"")</f>
        <v/>
      </c>
      <c r="D91" s="14">
        <f>IFERROR(INDEX(Clientes!$D:$D,MATCH(B91,Clientes!$B:$B,0)),"")</f>
        <v/>
      </c>
      <c r="E91" s="14">
        <f>IFERROR(INDEX(Clientes!$M:$M,MATCH(B91,Clientes!$B:$B,0)),"")</f>
        <v/>
      </c>
      <c r="F91" s="14">
        <f>IFERROR(INDEX(Clientes!$F:$F,MATCH(B91,Clientes!$B:$B,0)),"")</f>
        <v/>
      </c>
      <c r="G91" s="14">
        <f>IFERROR(INDEX(Clientes!$G:$G,MATCH(B91,Clientes!$B:$B,0)),"")</f>
        <v/>
      </c>
      <c r="H91" s="14" t="n"/>
      <c r="I91" s="15" t="n"/>
      <c r="J91" s="16" t="n"/>
      <c r="K91" s="14" t="n"/>
      <c r="L91" s="14" t="n"/>
      <c r="M91" s="13">
        <f>IF(I91="","",I91-TODAY())</f>
        <v/>
      </c>
      <c r="N91" s="14" t="n"/>
      <c r="O91" s="14">
        <f>IFERROR(IF(B91="","",IF(H91="","",IF(H91="Otro (mensaje libre)","",IF(H91="Requisitos (Crédito/Contado)",IF(OR(F91="",G91=""),"Indica primero el Método de Compra y el Tipo de Persona del cliente en la pestaña Clientes.",_xlfn.SWITCH($F91&amp;"|"&amp;$G91,"Crédito|Persona física","Hola, "&amp;$B91&amp;", para continuar con el proceso de tu *"&amp;$D91&amp;"* por "&amp;$F91&amp;",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"&amp;$B91&amp;", para continuar con el proceso de tu *"&amp;$D91&amp;"* por "&amp;$F91&amp;",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"&amp;$B91&amp;", para continuar con el proceso de tu *"&amp;$D91&amp;"* por "&amp;$F91&amp;",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"&amp;$B91&amp;", para continuar con el proceso de tu *"&amp;$D91&amp;"* por "&amp;$F91&amp;", estos son los documentos que necesitamos:"&amp;CHAR(10)&amp;CHAR(10)&amp;"- INE"&amp;CHAR(10)&amp;"- Comprobante de domicilio"&amp;CHAR(10)&amp;"- Constancia de situación fiscal (no mayor a 3 meses)","Contado|Persona física con actividad empresarial","Hola, "&amp;$B91&amp;", para continuar con el proceso de tu *"&amp;$D91&amp;"* por "&amp;$F91&amp;", estos son los documentos que necesitamos:"&amp;CHAR(10)&amp;CHAR(10)&amp;"- INE"&amp;CHAR(10)&amp;"- Comprobante de domicilio"&amp;CHAR(10)&amp;"- Constancia de situación fiscal (no mayor a 3 meses)","Contado|Persona moral","Hola, "&amp;$B91&amp;", para continuar con el proceso de tu *"&amp;$D91&amp;"* por "&amp;$F91&amp;",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Clientes.")&amp;CHAR(10)&amp;CHAR(10)&amp;Config!$B$1),IF(D91="","",SUBSTITUTE(SUBSTITUTE(INDEX('Catálogo Mensajes'!$D:$J,MATCH($D91,'Catálogo Mensajes'!$B:$B,0),MATCH($H91,'Catálogo Mensajes'!$D$4:$J$4,0)),"{NOMBRE}",$B91),"{PROMO}",'Catálogo Mensajes'!$C$2)&amp;CHAR(10)&amp;CHAR(10)&amp;Config!$B$1))))),"")</f>
        <v/>
      </c>
      <c r="P91" s="13">
        <f>IF(OR(O91="",C91=""),"",HYPERLINK("https://wa.me/52"&amp;C91&amp;"?text="&amp;_xlfn.ENCODEURL(O91),"Enviar mensaje"))</f>
        <v/>
      </c>
      <c r="Q91" s="13">
        <f>IF(OR(I91="",L91="Realizado",L91="Cancelado"),"",SUMPRODUCT(($I$2:$I$151&lt;I91)*($I$2:$I$151&gt;=DATE(Calendario!$C$3,Calendario!$C$2,1))*($I$2:$I$151&lt;DATE(Calendario!$C$3,Calendario!$C$2+1,1))*($L$2:$L$151&lt;&gt;"Realizado")*($L$2:$L$151&lt;&gt;"Cancelado"))+SUMPRODUCT(($I$2:$I$151=I91)*(ROW($I$2:$I$151)&lt;=ROW())*($I$2:$I$151&gt;=DATE(Calendario!$C$3,Calendario!$C$2,1))*($I$2:$I$151&lt;DATE(Calendario!$C$3,Calendario!$C$2+1,1))*($L$2:$L$151&lt;&gt;"Realizado")*($L$2:$L$151&lt;&gt;"Cancelado")))</f>
        <v/>
      </c>
    </row>
    <row r="92" ht="15" customHeight="1" s="1">
      <c r="A92" s="13">
        <f>IF(B92="","",ROW()-1)</f>
        <v/>
      </c>
      <c r="B92" s="14" t="n"/>
      <c r="C92" s="13">
        <f>IFERROR(INDEX(Clientes!$C:$C,MATCH(B92,Clientes!$B:$B,0)),"")</f>
        <v/>
      </c>
      <c r="D92" s="14">
        <f>IFERROR(INDEX(Clientes!$D:$D,MATCH(B92,Clientes!$B:$B,0)),"")</f>
        <v/>
      </c>
      <c r="E92" s="14">
        <f>IFERROR(INDEX(Clientes!$M:$M,MATCH(B92,Clientes!$B:$B,0)),"")</f>
        <v/>
      </c>
      <c r="F92" s="14">
        <f>IFERROR(INDEX(Clientes!$F:$F,MATCH(B92,Clientes!$B:$B,0)),"")</f>
        <v/>
      </c>
      <c r="G92" s="14">
        <f>IFERROR(INDEX(Clientes!$G:$G,MATCH(B92,Clientes!$B:$B,0)),"")</f>
        <v/>
      </c>
      <c r="H92" s="14" t="n"/>
      <c r="I92" s="15" t="n"/>
      <c r="J92" s="16" t="n"/>
      <c r="K92" s="14" t="n"/>
      <c r="L92" s="14" t="n"/>
      <c r="M92" s="13">
        <f>IF(I92="","",I92-TODAY())</f>
        <v/>
      </c>
      <c r="N92" s="14" t="n"/>
      <c r="O92" s="14">
        <f>IFERROR(IF(B92="","",IF(H92="","",IF(H92="Otro (mensaje libre)","",IF(H92="Requisitos (Crédito/Contado)",IF(OR(F92="",G92=""),"Indica primero el Método de Compra y el Tipo de Persona del cliente en la pestaña Clientes.",_xlfn.SWITCH($F92&amp;"|"&amp;$G92,"Crédito|Persona física","Hola, "&amp;$B92&amp;", para continuar con el proceso de tu *"&amp;$D92&amp;"* por "&amp;$F92&amp;",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"&amp;$B92&amp;", para continuar con el proceso de tu *"&amp;$D92&amp;"* por "&amp;$F92&amp;",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"&amp;$B92&amp;", para continuar con el proceso de tu *"&amp;$D92&amp;"* por "&amp;$F92&amp;",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"&amp;$B92&amp;", para continuar con el proceso de tu *"&amp;$D92&amp;"* por "&amp;$F92&amp;", estos son los documentos que necesitamos:"&amp;CHAR(10)&amp;CHAR(10)&amp;"- INE"&amp;CHAR(10)&amp;"- Comprobante de domicilio"&amp;CHAR(10)&amp;"- Constancia de situación fiscal (no mayor a 3 meses)","Contado|Persona física con actividad empresarial","Hola, "&amp;$B92&amp;", para continuar con el proceso de tu *"&amp;$D92&amp;"* por "&amp;$F92&amp;", estos son los documentos que necesitamos:"&amp;CHAR(10)&amp;CHAR(10)&amp;"- INE"&amp;CHAR(10)&amp;"- Comprobante de domicilio"&amp;CHAR(10)&amp;"- Constancia de situación fiscal (no mayor a 3 meses)","Contado|Persona moral","Hola, "&amp;$B92&amp;", para continuar con el proceso de tu *"&amp;$D92&amp;"* por "&amp;$F92&amp;",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Clientes.")&amp;CHAR(10)&amp;CHAR(10)&amp;Config!$B$1),IF(D92="","",SUBSTITUTE(SUBSTITUTE(INDEX('Catálogo Mensajes'!$D:$J,MATCH($D92,'Catálogo Mensajes'!$B:$B,0),MATCH($H92,'Catálogo Mensajes'!$D$4:$J$4,0)),"{NOMBRE}",$B92),"{PROMO}",'Catálogo Mensajes'!$C$2)&amp;CHAR(10)&amp;CHAR(10)&amp;Config!$B$1))))),"")</f>
        <v/>
      </c>
      <c r="P92" s="13">
        <f>IF(OR(O92="",C92=""),"",HYPERLINK("https://wa.me/52"&amp;C92&amp;"?text="&amp;_xlfn.ENCODEURL(O92),"Enviar mensaje"))</f>
        <v/>
      </c>
      <c r="Q92" s="13">
        <f>IF(OR(I92="",L92="Realizado",L92="Cancelado"),"",SUMPRODUCT(($I$2:$I$151&lt;I92)*($I$2:$I$151&gt;=DATE(Calendario!$C$3,Calendario!$C$2,1))*($I$2:$I$151&lt;DATE(Calendario!$C$3,Calendario!$C$2+1,1))*($L$2:$L$151&lt;&gt;"Realizado")*($L$2:$L$151&lt;&gt;"Cancelado"))+SUMPRODUCT(($I$2:$I$151=I92)*(ROW($I$2:$I$151)&lt;=ROW())*($I$2:$I$151&gt;=DATE(Calendario!$C$3,Calendario!$C$2,1))*($I$2:$I$151&lt;DATE(Calendario!$C$3,Calendario!$C$2+1,1))*($L$2:$L$151&lt;&gt;"Realizado")*($L$2:$L$151&lt;&gt;"Cancelado")))</f>
        <v/>
      </c>
    </row>
    <row r="93" ht="15" customHeight="1" s="1">
      <c r="A93" s="13">
        <f>IF(B93="","",ROW()-1)</f>
        <v/>
      </c>
      <c r="B93" s="14" t="n"/>
      <c r="C93" s="13">
        <f>IFERROR(INDEX(Clientes!$C:$C,MATCH(B93,Clientes!$B:$B,0)),"")</f>
        <v/>
      </c>
      <c r="D93" s="14">
        <f>IFERROR(INDEX(Clientes!$D:$D,MATCH(B93,Clientes!$B:$B,0)),"")</f>
        <v/>
      </c>
      <c r="E93" s="14">
        <f>IFERROR(INDEX(Clientes!$M:$M,MATCH(B93,Clientes!$B:$B,0)),"")</f>
        <v/>
      </c>
      <c r="F93" s="14">
        <f>IFERROR(INDEX(Clientes!$F:$F,MATCH(B93,Clientes!$B:$B,0)),"")</f>
        <v/>
      </c>
      <c r="G93" s="14">
        <f>IFERROR(INDEX(Clientes!$G:$G,MATCH(B93,Clientes!$B:$B,0)),"")</f>
        <v/>
      </c>
      <c r="H93" s="14" t="n"/>
      <c r="I93" s="15" t="n"/>
      <c r="J93" s="16" t="n"/>
      <c r="K93" s="14" t="n"/>
      <c r="L93" s="14" t="n"/>
      <c r="M93" s="13">
        <f>IF(I93="","",I93-TODAY())</f>
        <v/>
      </c>
      <c r="N93" s="14" t="n"/>
      <c r="O93" s="14">
        <f>IFERROR(IF(B93="","",IF(H93="","",IF(H93="Otro (mensaje libre)","",IF(H93="Requisitos (Crédito/Contado)",IF(OR(F93="",G93=""),"Indica primero el Método de Compra y el Tipo de Persona del cliente en la pestaña Clientes.",_xlfn.SWITCH($F93&amp;"|"&amp;$G93,"Crédito|Persona física","Hola, "&amp;$B93&amp;", para continuar con el proceso de tu *"&amp;$D93&amp;"* por "&amp;$F93&amp;",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"&amp;$B93&amp;", para continuar con el proceso de tu *"&amp;$D93&amp;"* por "&amp;$F93&amp;",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"&amp;$B93&amp;", para continuar con el proceso de tu *"&amp;$D93&amp;"* por "&amp;$F93&amp;",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"&amp;$B93&amp;", para continuar con el proceso de tu *"&amp;$D93&amp;"* por "&amp;$F93&amp;", estos son los documentos que necesitamos:"&amp;CHAR(10)&amp;CHAR(10)&amp;"- INE"&amp;CHAR(10)&amp;"- Comprobante de domicilio"&amp;CHAR(10)&amp;"- Constancia de situación fiscal (no mayor a 3 meses)","Contado|Persona física con actividad empresarial","Hola, "&amp;$B93&amp;", para continuar con el proceso de tu *"&amp;$D93&amp;"* por "&amp;$F93&amp;", estos son los documentos que necesitamos:"&amp;CHAR(10)&amp;CHAR(10)&amp;"- INE"&amp;CHAR(10)&amp;"- Comprobante de domicilio"&amp;CHAR(10)&amp;"- Constancia de situación fiscal (no mayor a 3 meses)","Contado|Persona moral","Hola, "&amp;$B93&amp;", para continuar con el proceso de tu *"&amp;$D93&amp;"* por "&amp;$F93&amp;",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Clientes.")&amp;CHAR(10)&amp;CHAR(10)&amp;Config!$B$1),IF(D93="","",SUBSTITUTE(SUBSTITUTE(INDEX('Catálogo Mensajes'!$D:$J,MATCH($D93,'Catálogo Mensajes'!$B:$B,0),MATCH($H93,'Catálogo Mensajes'!$D$4:$J$4,0)),"{NOMBRE}",$B93),"{PROMO}",'Catálogo Mensajes'!$C$2)&amp;CHAR(10)&amp;CHAR(10)&amp;Config!$B$1))))),"")</f>
        <v/>
      </c>
      <c r="P93" s="13">
        <f>IF(OR(O93="",C93=""),"",HYPERLINK("https://wa.me/52"&amp;C93&amp;"?text="&amp;_xlfn.ENCODEURL(O93),"Enviar mensaje"))</f>
        <v/>
      </c>
      <c r="Q93" s="13">
        <f>IF(OR(I93="",L93="Realizado",L93="Cancelado"),"",SUMPRODUCT(($I$2:$I$151&lt;I93)*($I$2:$I$151&gt;=DATE(Calendario!$C$3,Calendario!$C$2,1))*($I$2:$I$151&lt;DATE(Calendario!$C$3,Calendario!$C$2+1,1))*($L$2:$L$151&lt;&gt;"Realizado")*($L$2:$L$151&lt;&gt;"Cancelado"))+SUMPRODUCT(($I$2:$I$151=I93)*(ROW($I$2:$I$151)&lt;=ROW())*($I$2:$I$151&gt;=DATE(Calendario!$C$3,Calendario!$C$2,1))*($I$2:$I$151&lt;DATE(Calendario!$C$3,Calendario!$C$2+1,1))*($L$2:$L$151&lt;&gt;"Realizado")*($L$2:$L$151&lt;&gt;"Cancelado")))</f>
        <v/>
      </c>
    </row>
    <row r="94" ht="15" customHeight="1" s="1">
      <c r="A94" s="13">
        <f>IF(B94="","",ROW()-1)</f>
        <v/>
      </c>
      <c r="B94" s="14" t="n"/>
      <c r="C94" s="13">
        <f>IFERROR(INDEX(Clientes!$C:$C,MATCH(B94,Clientes!$B:$B,0)),"")</f>
        <v/>
      </c>
      <c r="D94" s="14">
        <f>IFERROR(INDEX(Clientes!$D:$D,MATCH(B94,Clientes!$B:$B,0)),"")</f>
        <v/>
      </c>
      <c r="E94" s="14">
        <f>IFERROR(INDEX(Clientes!$M:$M,MATCH(B94,Clientes!$B:$B,0)),"")</f>
        <v/>
      </c>
      <c r="F94" s="14">
        <f>IFERROR(INDEX(Clientes!$F:$F,MATCH(B94,Clientes!$B:$B,0)),"")</f>
        <v/>
      </c>
      <c r="G94" s="14">
        <f>IFERROR(INDEX(Clientes!$G:$G,MATCH(B94,Clientes!$B:$B,0)),"")</f>
        <v/>
      </c>
      <c r="H94" s="14" t="n"/>
      <c r="I94" s="15" t="n"/>
      <c r="J94" s="16" t="n"/>
      <c r="K94" s="14" t="n"/>
      <c r="L94" s="14" t="n"/>
      <c r="M94" s="13">
        <f>IF(I94="","",I94-TODAY())</f>
        <v/>
      </c>
      <c r="N94" s="14" t="n"/>
      <c r="O94" s="14">
        <f>IFERROR(IF(B94="","",IF(H94="","",IF(H94="Otro (mensaje libre)","",IF(H94="Requisitos (Crédito/Contado)",IF(OR(F94="",G94=""),"Indica primero el Método de Compra y el Tipo de Persona del cliente en la pestaña Clientes.",_xlfn.SWITCH($F94&amp;"|"&amp;$G94,"Crédito|Persona física","Hola, "&amp;$B94&amp;", para continuar con el proceso de tu *"&amp;$D94&amp;"* por "&amp;$F94&amp;",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"&amp;$B94&amp;", para continuar con el proceso de tu *"&amp;$D94&amp;"* por "&amp;$F94&amp;",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"&amp;$B94&amp;", para continuar con el proceso de tu *"&amp;$D94&amp;"* por "&amp;$F94&amp;",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"&amp;$B94&amp;", para continuar con el proceso de tu *"&amp;$D94&amp;"* por "&amp;$F94&amp;", estos son los documentos que necesitamos:"&amp;CHAR(10)&amp;CHAR(10)&amp;"- INE"&amp;CHAR(10)&amp;"- Comprobante de domicilio"&amp;CHAR(10)&amp;"- Constancia de situación fiscal (no mayor a 3 meses)","Contado|Persona física con actividad empresarial","Hola, "&amp;$B94&amp;", para continuar con el proceso de tu *"&amp;$D94&amp;"* por "&amp;$F94&amp;", estos son los documentos que necesitamos:"&amp;CHAR(10)&amp;CHAR(10)&amp;"- INE"&amp;CHAR(10)&amp;"- Comprobante de domicilio"&amp;CHAR(10)&amp;"- Constancia de situación fiscal (no mayor a 3 meses)","Contado|Persona moral","Hola, "&amp;$B94&amp;", para continuar con el proceso de tu *"&amp;$D94&amp;"* por "&amp;$F94&amp;",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Clientes.")&amp;CHAR(10)&amp;CHAR(10)&amp;Config!$B$1),IF(D94="","",SUBSTITUTE(SUBSTITUTE(INDEX('Catálogo Mensajes'!$D:$J,MATCH($D94,'Catálogo Mensajes'!$B:$B,0),MATCH($H94,'Catálogo Mensajes'!$D$4:$J$4,0)),"{NOMBRE}",$B94),"{PROMO}",'Catálogo Mensajes'!$C$2)&amp;CHAR(10)&amp;CHAR(10)&amp;Config!$B$1))))),"")</f>
        <v/>
      </c>
      <c r="P94" s="13">
        <f>IF(OR(O94="",C94=""),"",HYPERLINK("https://wa.me/52"&amp;C94&amp;"?text="&amp;_xlfn.ENCODEURL(O94),"Enviar mensaje"))</f>
        <v/>
      </c>
      <c r="Q94" s="13">
        <f>IF(OR(I94="",L94="Realizado",L94="Cancelado"),"",SUMPRODUCT(($I$2:$I$151&lt;I94)*($I$2:$I$151&gt;=DATE(Calendario!$C$3,Calendario!$C$2,1))*($I$2:$I$151&lt;DATE(Calendario!$C$3,Calendario!$C$2+1,1))*($L$2:$L$151&lt;&gt;"Realizado")*($L$2:$L$151&lt;&gt;"Cancelado"))+SUMPRODUCT(($I$2:$I$151=I94)*(ROW($I$2:$I$151)&lt;=ROW())*($I$2:$I$151&gt;=DATE(Calendario!$C$3,Calendario!$C$2,1))*($I$2:$I$151&lt;DATE(Calendario!$C$3,Calendario!$C$2+1,1))*($L$2:$L$151&lt;&gt;"Realizado")*($L$2:$L$151&lt;&gt;"Cancelado")))</f>
        <v/>
      </c>
    </row>
    <row r="95" ht="15" customHeight="1" s="1">
      <c r="A95" s="13">
        <f>IF(B95="","",ROW()-1)</f>
        <v/>
      </c>
      <c r="B95" s="14" t="n"/>
      <c r="C95" s="13">
        <f>IFERROR(INDEX(Clientes!$C:$C,MATCH(B95,Clientes!$B:$B,0)),"")</f>
        <v/>
      </c>
      <c r="D95" s="14">
        <f>IFERROR(INDEX(Clientes!$D:$D,MATCH(B95,Clientes!$B:$B,0)),"")</f>
        <v/>
      </c>
      <c r="E95" s="14">
        <f>IFERROR(INDEX(Clientes!$M:$M,MATCH(B95,Clientes!$B:$B,0)),"")</f>
        <v/>
      </c>
      <c r="F95" s="14">
        <f>IFERROR(INDEX(Clientes!$F:$F,MATCH(B95,Clientes!$B:$B,0)),"")</f>
        <v/>
      </c>
      <c r="G95" s="14">
        <f>IFERROR(INDEX(Clientes!$G:$G,MATCH(B95,Clientes!$B:$B,0)),"")</f>
        <v/>
      </c>
      <c r="H95" s="14" t="n"/>
      <c r="I95" s="15" t="n"/>
      <c r="J95" s="16" t="n"/>
      <c r="K95" s="14" t="n"/>
      <c r="L95" s="14" t="n"/>
      <c r="M95" s="13">
        <f>IF(I95="","",I95-TODAY())</f>
        <v/>
      </c>
      <c r="N95" s="14" t="n"/>
      <c r="O95" s="14">
        <f>IFERROR(IF(B95="","",IF(H95="","",IF(H95="Otro (mensaje libre)","",IF(H95="Requisitos (Crédito/Contado)",IF(OR(F95="",G95=""),"Indica primero el Método de Compra y el Tipo de Persona del cliente en la pestaña Clientes.",_xlfn.SWITCH($F95&amp;"|"&amp;$G95,"Crédito|Persona física","Hola, "&amp;$B95&amp;", para continuar con el proceso de tu *"&amp;$D95&amp;"* por "&amp;$F95&amp;",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"&amp;$B95&amp;", para continuar con el proceso de tu *"&amp;$D95&amp;"* por "&amp;$F95&amp;",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"&amp;$B95&amp;", para continuar con el proceso de tu *"&amp;$D95&amp;"* por "&amp;$F95&amp;",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"&amp;$B95&amp;", para continuar con el proceso de tu *"&amp;$D95&amp;"* por "&amp;$F95&amp;", estos son los documentos que necesitamos:"&amp;CHAR(10)&amp;CHAR(10)&amp;"- INE"&amp;CHAR(10)&amp;"- Comprobante de domicilio"&amp;CHAR(10)&amp;"- Constancia de situación fiscal (no mayor a 3 meses)","Contado|Persona física con actividad empresarial","Hola, "&amp;$B95&amp;", para continuar con el proceso de tu *"&amp;$D95&amp;"* por "&amp;$F95&amp;", estos son los documentos que necesitamos:"&amp;CHAR(10)&amp;CHAR(10)&amp;"- INE"&amp;CHAR(10)&amp;"- Comprobante de domicilio"&amp;CHAR(10)&amp;"- Constancia de situación fiscal (no mayor a 3 meses)","Contado|Persona moral","Hola, "&amp;$B95&amp;", para continuar con el proceso de tu *"&amp;$D95&amp;"* por "&amp;$F95&amp;",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Clientes.")&amp;CHAR(10)&amp;CHAR(10)&amp;Config!$B$1),IF(D95="","",SUBSTITUTE(SUBSTITUTE(INDEX('Catálogo Mensajes'!$D:$J,MATCH($D95,'Catálogo Mensajes'!$B:$B,0),MATCH($H95,'Catálogo Mensajes'!$D$4:$J$4,0)),"{NOMBRE}",$B95),"{PROMO}",'Catálogo Mensajes'!$C$2)&amp;CHAR(10)&amp;CHAR(10)&amp;Config!$B$1))))),"")</f>
        <v/>
      </c>
      <c r="P95" s="13">
        <f>IF(OR(O95="",C95=""),"",HYPERLINK("https://wa.me/52"&amp;C95&amp;"?text="&amp;_xlfn.ENCODEURL(O95),"Enviar mensaje"))</f>
        <v/>
      </c>
      <c r="Q95" s="13">
        <f>IF(OR(I95="",L95="Realizado",L95="Cancelado"),"",SUMPRODUCT(($I$2:$I$151&lt;I95)*($I$2:$I$151&gt;=DATE(Calendario!$C$3,Calendario!$C$2,1))*($I$2:$I$151&lt;DATE(Calendario!$C$3,Calendario!$C$2+1,1))*($L$2:$L$151&lt;&gt;"Realizado")*($L$2:$L$151&lt;&gt;"Cancelado"))+SUMPRODUCT(($I$2:$I$151=I95)*(ROW($I$2:$I$151)&lt;=ROW())*($I$2:$I$151&gt;=DATE(Calendario!$C$3,Calendario!$C$2,1))*($I$2:$I$151&lt;DATE(Calendario!$C$3,Calendario!$C$2+1,1))*($L$2:$L$151&lt;&gt;"Realizado")*($L$2:$L$151&lt;&gt;"Cancelado")))</f>
        <v/>
      </c>
    </row>
    <row r="96" ht="15" customHeight="1" s="1">
      <c r="A96" s="13">
        <f>IF(B96="","",ROW()-1)</f>
        <v/>
      </c>
      <c r="B96" s="14" t="n"/>
      <c r="C96" s="13">
        <f>IFERROR(INDEX(Clientes!$C:$C,MATCH(B96,Clientes!$B:$B,0)),"")</f>
        <v/>
      </c>
      <c r="D96" s="14">
        <f>IFERROR(INDEX(Clientes!$D:$D,MATCH(B96,Clientes!$B:$B,0)),"")</f>
        <v/>
      </c>
      <c r="E96" s="14">
        <f>IFERROR(INDEX(Clientes!$M:$M,MATCH(B96,Clientes!$B:$B,0)),"")</f>
        <v/>
      </c>
      <c r="F96" s="14">
        <f>IFERROR(INDEX(Clientes!$F:$F,MATCH(B96,Clientes!$B:$B,0)),"")</f>
        <v/>
      </c>
      <c r="G96" s="14">
        <f>IFERROR(INDEX(Clientes!$G:$G,MATCH(B96,Clientes!$B:$B,0)),"")</f>
        <v/>
      </c>
      <c r="H96" s="14" t="n"/>
      <c r="I96" s="15" t="n"/>
      <c r="J96" s="16" t="n"/>
      <c r="K96" s="14" t="n"/>
      <c r="L96" s="14" t="n"/>
      <c r="M96" s="13">
        <f>IF(I96="","",I96-TODAY())</f>
        <v/>
      </c>
      <c r="N96" s="14" t="n"/>
      <c r="O96" s="14">
        <f>IFERROR(IF(B96="","",IF(H96="","",IF(H96="Otro (mensaje libre)","",IF(H96="Requisitos (Crédito/Contado)",IF(OR(F96="",G96=""),"Indica primero el Método de Compra y el Tipo de Persona del cliente en la pestaña Clientes.",_xlfn.SWITCH($F96&amp;"|"&amp;$G96,"Crédito|Persona física","Hola, "&amp;$B96&amp;", para continuar con el proceso de tu *"&amp;$D96&amp;"* por "&amp;$F96&amp;",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"&amp;$B96&amp;", para continuar con el proceso de tu *"&amp;$D96&amp;"* por "&amp;$F96&amp;",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"&amp;$B96&amp;", para continuar con el proceso de tu *"&amp;$D96&amp;"* por "&amp;$F96&amp;",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"&amp;$B96&amp;", para continuar con el proceso de tu *"&amp;$D96&amp;"* por "&amp;$F96&amp;", estos son los documentos que necesitamos:"&amp;CHAR(10)&amp;CHAR(10)&amp;"- INE"&amp;CHAR(10)&amp;"- Comprobante de domicilio"&amp;CHAR(10)&amp;"- Constancia de situación fiscal (no mayor a 3 meses)","Contado|Persona física con actividad empresarial","Hola, "&amp;$B96&amp;", para continuar con el proceso de tu *"&amp;$D96&amp;"* por "&amp;$F96&amp;", estos son los documentos que necesitamos:"&amp;CHAR(10)&amp;CHAR(10)&amp;"- INE"&amp;CHAR(10)&amp;"- Comprobante de domicilio"&amp;CHAR(10)&amp;"- Constancia de situación fiscal (no mayor a 3 meses)","Contado|Persona moral","Hola, "&amp;$B96&amp;", para continuar con el proceso de tu *"&amp;$D96&amp;"* por "&amp;$F96&amp;",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Clientes.")&amp;CHAR(10)&amp;CHAR(10)&amp;Config!$B$1),IF(D96="","",SUBSTITUTE(SUBSTITUTE(INDEX('Catálogo Mensajes'!$D:$J,MATCH($D96,'Catálogo Mensajes'!$B:$B,0),MATCH($H96,'Catálogo Mensajes'!$D$4:$J$4,0)),"{NOMBRE}",$B96),"{PROMO}",'Catálogo Mensajes'!$C$2)&amp;CHAR(10)&amp;CHAR(10)&amp;Config!$B$1))))),"")</f>
        <v/>
      </c>
      <c r="P96" s="13">
        <f>IF(OR(O96="",C96=""),"",HYPERLINK("https://wa.me/52"&amp;C96&amp;"?text="&amp;_xlfn.ENCODEURL(O96),"Enviar mensaje"))</f>
        <v/>
      </c>
      <c r="Q96" s="13">
        <f>IF(OR(I96="",L96="Realizado",L96="Cancelado"),"",SUMPRODUCT(($I$2:$I$151&lt;I96)*($I$2:$I$151&gt;=DATE(Calendario!$C$3,Calendario!$C$2,1))*($I$2:$I$151&lt;DATE(Calendario!$C$3,Calendario!$C$2+1,1))*($L$2:$L$151&lt;&gt;"Realizado")*($L$2:$L$151&lt;&gt;"Cancelado"))+SUMPRODUCT(($I$2:$I$151=I96)*(ROW($I$2:$I$151)&lt;=ROW())*($I$2:$I$151&gt;=DATE(Calendario!$C$3,Calendario!$C$2,1))*($I$2:$I$151&lt;DATE(Calendario!$C$3,Calendario!$C$2+1,1))*($L$2:$L$151&lt;&gt;"Realizado")*($L$2:$L$151&lt;&gt;"Cancelado")))</f>
        <v/>
      </c>
    </row>
    <row r="97" ht="15" customHeight="1" s="1">
      <c r="A97" s="13">
        <f>IF(B97="","",ROW()-1)</f>
        <v/>
      </c>
      <c r="B97" s="14" t="n"/>
      <c r="C97" s="13">
        <f>IFERROR(INDEX(Clientes!$C:$C,MATCH(B97,Clientes!$B:$B,0)),"")</f>
        <v/>
      </c>
      <c r="D97" s="14">
        <f>IFERROR(INDEX(Clientes!$D:$D,MATCH(B97,Clientes!$B:$B,0)),"")</f>
        <v/>
      </c>
      <c r="E97" s="14">
        <f>IFERROR(INDEX(Clientes!$M:$M,MATCH(B97,Clientes!$B:$B,0)),"")</f>
        <v/>
      </c>
      <c r="F97" s="14">
        <f>IFERROR(INDEX(Clientes!$F:$F,MATCH(B97,Clientes!$B:$B,0)),"")</f>
        <v/>
      </c>
      <c r="G97" s="14">
        <f>IFERROR(INDEX(Clientes!$G:$G,MATCH(B97,Clientes!$B:$B,0)),"")</f>
        <v/>
      </c>
      <c r="H97" s="14" t="n"/>
      <c r="I97" s="15" t="n"/>
      <c r="J97" s="16" t="n"/>
      <c r="K97" s="14" t="n"/>
      <c r="L97" s="14" t="n"/>
      <c r="M97" s="13">
        <f>IF(I97="","",I97-TODAY())</f>
        <v/>
      </c>
      <c r="N97" s="14" t="n"/>
      <c r="O97" s="14">
        <f>IFERROR(IF(B97="","",IF(H97="","",IF(H97="Otro (mensaje libre)","",IF(H97="Requisitos (Crédito/Contado)",IF(OR(F97="",G97=""),"Indica primero el Método de Compra y el Tipo de Persona del cliente en la pestaña Clientes.",_xlfn.SWITCH($F97&amp;"|"&amp;$G97,"Crédito|Persona física","Hola, "&amp;$B97&amp;", para continuar con el proceso de tu *"&amp;$D97&amp;"* por "&amp;$F97&amp;",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"&amp;$B97&amp;", para continuar con el proceso de tu *"&amp;$D97&amp;"* por "&amp;$F97&amp;",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"&amp;$B97&amp;", para continuar con el proceso de tu *"&amp;$D97&amp;"* por "&amp;$F97&amp;",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"&amp;$B97&amp;", para continuar con el proceso de tu *"&amp;$D97&amp;"* por "&amp;$F97&amp;", estos son los documentos que necesitamos:"&amp;CHAR(10)&amp;CHAR(10)&amp;"- INE"&amp;CHAR(10)&amp;"- Comprobante de domicilio"&amp;CHAR(10)&amp;"- Constancia de situación fiscal (no mayor a 3 meses)","Contado|Persona física con actividad empresarial","Hola, "&amp;$B97&amp;", para continuar con el proceso de tu *"&amp;$D97&amp;"* por "&amp;$F97&amp;", estos son los documentos que necesitamos:"&amp;CHAR(10)&amp;CHAR(10)&amp;"- INE"&amp;CHAR(10)&amp;"- Comprobante de domicilio"&amp;CHAR(10)&amp;"- Constancia de situación fiscal (no mayor a 3 meses)","Contado|Persona moral","Hola, "&amp;$B97&amp;", para continuar con el proceso de tu *"&amp;$D97&amp;"* por "&amp;$F97&amp;",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Clientes.")&amp;CHAR(10)&amp;CHAR(10)&amp;Config!$B$1),IF(D97="","",SUBSTITUTE(SUBSTITUTE(INDEX('Catálogo Mensajes'!$D:$J,MATCH($D97,'Catálogo Mensajes'!$B:$B,0),MATCH($H97,'Catálogo Mensajes'!$D$4:$J$4,0)),"{NOMBRE}",$B97),"{PROMO}",'Catálogo Mensajes'!$C$2)&amp;CHAR(10)&amp;CHAR(10)&amp;Config!$B$1))))),"")</f>
        <v/>
      </c>
      <c r="P97" s="13">
        <f>IF(OR(O97="",C97=""),"",HYPERLINK("https://wa.me/52"&amp;C97&amp;"?text="&amp;_xlfn.ENCODEURL(O97),"Enviar mensaje"))</f>
        <v/>
      </c>
      <c r="Q97" s="13">
        <f>IF(OR(I97="",L97="Realizado",L97="Cancelado"),"",SUMPRODUCT(($I$2:$I$151&lt;I97)*($I$2:$I$151&gt;=DATE(Calendario!$C$3,Calendario!$C$2,1))*($I$2:$I$151&lt;DATE(Calendario!$C$3,Calendario!$C$2+1,1))*($L$2:$L$151&lt;&gt;"Realizado")*($L$2:$L$151&lt;&gt;"Cancelado"))+SUMPRODUCT(($I$2:$I$151=I97)*(ROW($I$2:$I$151)&lt;=ROW())*($I$2:$I$151&gt;=DATE(Calendario!$C$3,Calendario!$C$2,1))*($I$2:$I$151&lt;DATE(Calendario!$C$3,Calendario!$C$2+1,1))*($L$2:$L$151&lt;&gt;"Realizado")*($L$2:$L$151&lt;&gt;"Cancelado")))</f>
        <v/>
      </c>
    </row>
    <row r="98" ht="15" customHeight="1" s="1">
      <c r="A98" s="13">
        <f>IF(B98="","",ROW()-1)</f>
        <v/>
      </c>
      <c r="B98" s="14" t="n"/>
      <c r="C98" s="13">
        <f>IFERROR(INDEX(Clientes!$C:$C,MATCH(B98,Clientes!$B:$B,0)),"")</f>
        <v/>
      </c>
      <c r="D98" s="14">
        <f>IFERROR(INDEX(Clientes!$D:$D,MATCH(B98,Clientes!$B:$B,0)),"")</f>
        <v/>
      </c>
      <c r="E98" s="14">
        <f>IFERROR(INDEX(Clientes!$M:$M,MATCH(B98,Clientes!$B:$B,0)),"")</f>
        <v/>
      </c>
      <c r="F98" s="14">
        <f>IFERROR(INDEX(Clientes!$F:$F,MATCH(B98,Clientes!$B:$B,0)),"")</f>
        <v/>
      </c>
      <c r="G98" s="14">
        <f>IFERROR(INDEX(Clientes!$G:$G,MATCH(B98,Clientes!$B:$B,0)),"")</f>
        <v/>
      </c>
      <c r="H98" s="14" t="n"/>
      <c r="I98" s="15" t="n"/>
      <c r="J98" s="16" t="n"/>
      <c r="K98" s="14" t="n"/>
      <c r="L98" s="14" t="n"/>
      <c r="M98" s="13">
        <f>IF(I98="","",I98-TODAY())</f>
        <v/>
      </c>
      <c r="N98" s="14" t="n"/>
      <c r="O98" s="14">
        <f>IFERROR(IF(B98="","",IF(H98="","",IF(H98="Otro (mensaje libre)","",IF(H98="Requisitos (Crédito/Contado)",IF(OR(F98="",G98=""),"Indica primero el Método de Compra y el Tipo de Persona del cliente en la pestaña Clientes.",_xlfn.SWITCH($F98&amp;"|"&amp;$G98,"Crédito|Persona física","Hola, "&amp;$B98&amp;", para continuar con el proceso de tu *"&amp;$D98&amp;"* por "&amp;$F98&amp;",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"&amp;$B98&amp;", para continuar con el proceso de tu *"&amp;$D98&amp;"* por "&amp;$F98&amp;",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"&amp;$B98&amp;", para continuar con el proceso de tu *"&amp;$D98&amp;"* por "&amp;$F98&amp;",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"&amp;$B98&amp;", para continuar con el proceso de tu *"&amp;$D98&amp;"* por "&amp;$F98&amp;", estos son los documentos que necesitamos:"&amp;CHAR(10)&amp;CHAR(10)&amp;"- INE"&amp;CHAR(10)&amp;"- Comprobante de domicilio"&amp;CHAR(10)&amp;"- Constancia de situación fiscal (no mayor a 3 meses)","Contado|Persona física con actividad empresarial","Hola, "&amp;$B98&amp;", para continuar con el proceso de tu *"&amp;$D98&amp;"* por "&amp;$F98&amp;", estos son los documentos que necesitamos:"&amp;CHAR(10)&amp;CHAR(10)&amp;"- INE"&amp;CHAR(10)&amp;"- Comprobante de domicilio"&amp;CHAR(10)&amp;"- Constancia de situación fiscal (no mayor a 3 meses)","Contado|Persona moral","Hola, "&amp;$B98&amp;", para continuar con el proceso de tu *"&amp;$D98&amp;"* por "&amp;$F98&amp;",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Clientes.")&amp;CHAR(10)&amp;CHAR(10)&amp;Config!$B$1),IF(D98="","",SUBSTITUTE(SUBSTITUTE(INDEX('Catálogo Mensajes'!$D:$J,MATCH($D98,'Catálogo Mensajes'!$B:$B,0),MATCH($H98,'Catálogo Mensajes'!$D$4:$J$4,0)),"{NOMBRE}",$B98),"{PROMO}",'Catálogo Mensajes'!$C$2)&amp;CHAR(10)&amp;CHAR(10)&amp;Config!$B$1))))),"")</f>
        <v/>
      </c>
      <c r="P98" s="13">
        <f>IF(OR(O98="",C98=""),"",HYPERLINK("https://wa.me/52"&amp;C98&amp;"?text="&amp;_xlfn.ENCODEURL(O98),"Enviar mensaje"))</f>
        <v/>
      </c>
      <c r="Q98" s="13">
        <f>IF(OR(I98="",L98="Realizado",L98="Cancelado"),"",SUMPRODUCT(($I$2:$I$151&lt;I98)*($I$2:$I$151&gt;=DATE(Calendario!$C$3,Calendario!$C$2,1))*($I$2:$I$151&lt;DATE(Calendario!$C$3,Calendario!$C$2+1,1))*($L$2:$L$151&lt;&gt;"Realizado")*($L$2:$L$151&lt;&gt;"Cancelado"))+SUMPRODUCT(($I$2:$I$151=I98)*(ROW($I$2:$I$151)&lt;=ROW())*($I$2:$I$151&gt;=DATE(Calendario!$C$3,Calendario!$C$2,1))*($I$2:$I$151&lt;DATE(Calendario!$C$3,Calendario!$C$2+1,1))*($L$2:$L$151&lt;&gt;"Realizado")*($L$2:$L$151&lt;&gt;"Cancelado")))</f>
        <v/>
      </c>
    </row>
    <row r="99" ht="15" customHeight="1" s="1">
      <c r="A99" s="13">
        <f>IF(B99="","",ROW()-1)</f>
        <v/>
      </c>
      <c r="B99" s="14" t="n"/>
      <c r="C99" s="13">
        <f>IFERROR(INDEX(Clientes!$C:$C,MATCH(B99,Clientes!$B:$B,0)),"")</f>
        <v/>
      </c>
      <c r="D99" s="14">
        <f>IFERROR(INDEX(Clientes!$D:$D,MATCH(B99,Clientes!$B:$B,0)),"")</f>
        <v/>
      </c>
      <c r="E99" s="14">
        <f>IFERROR(INDEX(Clientes!$M:$M,MATCH(B99,Clientes!$B:$B,0)),"")</f>
        <v/>
      </c>
      <c r="F99" s="14">
        <f>IFERROR(INDEX(Clientes!$F:$F,MATCH(B99,Clientes!$B:$B,0)),"")</f>
        <v/>
      </c>
      <c r="G99" s="14">
        <f>IFERROR(INDEX(Clientes!$G:$G,MATCH(B99,Clientes!$B:$B,0)),"")</f>
        <v/>
      </c>
      <c r="H99" s="14" t="n"/>
      <c r="I99" s="15" t="n"/>
      <c r="J99" s="16" t="n"/>
      <c r="K99" s="14" t="n"/>
      <c r="L99" s="14" t="n"/>
      <c r="M99" s="13">
        <f>IF(I99="","",I99-TODAY())</f>
        <v/>
      </c>
      <c r="N99" s="14" t="n"/>
      <c r="O99" s="14">
        <f>IFERROR(IF(B99="","",IF(H99="","",IF(H99="Otro (mensaje libre)","",IF(H99="Requisitos (Crédito/Contado)",IF(OR(F99="",G99=""),"Indica primero el Método de Compra y el Tipo de Persona del cliente en la pestaña Clientes.",_xlfn.SWITCH($F99&amp;"|"&amp;$G99,"Crédito|Persona física","Hola, "&amp;$B99&amp;", para continuar con el proceso de tu *"&amp;$D99&amp;"* por "&amp;$F99&amp;",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"&amp;$B99&amp;", para continuar con el proceso de tu *"&amp;$D99&amp;"* por "&amp;$F99&amp;",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"&amp;$B99&amp;", para continuar con el proceso de tu *"&amp;$D99&amp;"* por "&amp;$F99&amp;",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"&amp;$B99&amp;", para continuar con el proceso de tu *"&amp;$D99&amp;"* por "&amp;$F99&amp;", estos son los documentos que necesitamos:"&amp;CHAR(10)&amp;CHAR(10)&amp;"- INE"&amp;CHAR(10)&amp;"- Comprobante de domicilio"&amp;CHAR(10)&amp;"- Constancia de situación fiscal (no mayor a 3 meses)","Contado|Persona física con actividad empresarial","Hola, "&amp;$B99&amp;", para continuar con el proceso de tu *"&amp;$D99&amp;"* por "&amp;$F99&amp;", estos son los documentos que necesitamos:"&amp;CHAR(10)&amp;CHAR(10)&amp;"- INE"&amp;CHAR(10)&amp;"- Comprobante de domicilio"&amp;CHAR(10)&amp;"- Constancia de situación fiscal (no mayor a 3 meses)","Contado|Persona moral","Hola, "&amp;$B99&amp;", para continuar con el proceso de tu *"&amp;$D99&amp;"* por "&amp;$F99&amp;",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Clientes.")&amp;CHAR(10)&amp;CHAR(10)&amp;Config!$B$1),IF(D99="","",SUBSTITUTE(SUBSTITUTE(INDEX('Catálogo Mensajes'!$D:$J,MATCH($D99,'Catálogo Mensajes'!$B:$B,0),MATCH($H99,'Catálogo Mensajes'!$D$4:$J$4,0)),"{NOMBRE}",$B99),"{PROMO}",'Catálogo Mensajes'!$C$2)&amp;CHAR(10)&amp;CHAR(10)&amp;Config!$B$1))))),"")</f>
        <v/>
      </c>
      <c r="P99" s="13">
        <f>IF(OR(O99="",C99=""),"",HYPERLINK("https://wa.me/52"&amp;C99&amp;"?text="&amp;_xlfn.ENCODEURL(O99),"Enviar mensaje"))</f>
        <v/>
      </c>
      <c r="Q99" s="13">
        <f>IF(OR(I99="",L99="Realizado",L99="Cancelado"),"",SUMPRODUCT(($I$2:$I$151&lt;I99)*($I$2:$I$151&gt;=DATE(Calendario!$C$3,Calendario!$C$2,1))*($I$2:$I$151&lt;DATE(Calendario!$C$3,Calendario!$C$2+1,1))*($L$2:$L$151&lt;&gt;"Realizado")*($L$2:$L$151&lt;&gt;"Cancelado"))+SUMPRODUCT(($I$2:$I$151=I99)*(ROW($I$2:$I$151)&lt;=ROW())*($I$2:$I$151&gt;=DATE(Calendario!$C$3,Calendario!$C$2,1))*($I$2:$I$151&lt;DATE(Calendario!$C$3,Calendario!$C$2+1,1))*($L$2:$L$151&lt;&gt;"Realizado")*($L$2:$L$151&lt;&gt;"Cancelado")))</f>
        <v/>
      </c>
    </row>
    <row r="100" ht="15" customHeight="1" s="1">
      <c r="A100" s="13">
        <f>IF(B100="","",ROW()-1)</f>
        <v/>
      </c>
      <c r="B100" s="14" t="n"/>
      <c r="C100" s="13">
        <f>IFERROR(INDEX(Clientes!$C:$C,MATCH(B100,Clientes!$B:$B,0)),"")</f>
        <v/>
      </c>
      <c r="D100" s="14">
        <f>IFERROR(INDEX(Clientes!$D:$D,MATCH(B100,Clientes!$B:$B,0)),"")</f>
        <v/>
      </c>
      <c r="E100" s="14">
        <f>IFERROR(INDEX(Clientes!$M:$M,MATCH(B100,Clientes!$B:$B,0)),"")</f>
        <v/>
      </c>
      <c r="F100" s="14">
        <f>IFERROR(INDEX(Clientes!$F:$F,MATCH(B100,Clientes!$B:$B,0)),"")</f>
        <v/>
      </c>
      <c r="G100" s="14">
        <f>IFERROR(INDEX(Clientes!$G:$G,MATCH(B100,Clientes!$B:$B,0)),"")</f>
        <v/>
      </c>
      <c r="H100" s="14" t="n"/>
      <c r="I100" s="15" t="n"/>
      <c r="J100" s="16" t="n"/>
      <c r="K100" s="14" t="n"/>
      <c r="L100" s="14" t="n"/>
      <c r="M100" s="13">
        <f>IF(I100="","",I100-TODAY())</f>
        <v/>
      </c>
      <c r="N100" s="14" t="n"/>
      <c r="O100" s="14">
        <f>IFERROR(IF(B100="","",IF(H100="","",IF(H100="Otro (mensaje libre)","",IF(H100="Requisitos (Crédito/Contado)",IF(OR(F100="",G100=""),"Indica primero el Método de Compra y el Tipo de Persona del cliente en la pestaña Clientes.",_xlfn.SWITCH($F100&amp;"|"&amp;$G100,"Crédito|Persona física","Hola, "&amp;$B100&amp;", para continuar con el proceso de tu *"&amp;$D100&amp;"* por "&amp;$F100&amp;",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"&amp;$B100&amp;", para continuar con el proceso de tu *"&amp;$D100&amp;"* por "&amp;$F100&amp;",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"&amp;$B100&amp;", para continuar con el proceso de tu *"&amp;$D100&amp;"* por "&amp;$F100&amp;",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"&amp;$B100&amp;", para continuar con el proceso de tu *"&amp;$D100&amp;"* por "&amp;$F100&amp;", estos son los documentos que necesitamos:"&amp;CHAR(10)&amp;CHAR(10)&amp;"- INE"&amp;CHAR(10)&amp;"- Comprobante de domicilio"&amp;CHAR(10)&amp;"- Constancia de situación fiscal (no mayor a 3 meses)","Contado|Persona física con actividad empresarial","Hola, "&amp;$B100&amp;", para continuar con el proceso de tu *"&amp;$D100&amp;"* por "&amp;$F100&amp;", estos son los documentos que necesitamos:"&amp;CHAR(10)&amp;CHAR(10)&amp;"- INE"&amp;CHAR(10)&amp;"- Comprobante de domicilio"&amp;CHAR(10)&amp;"- Constancia de situación fiscal (no mayor a 3 meses)","Contado|Persona moral","Hola, "&amp;$B100&amp;", para continuar con el proceso de tu *"&amp;$D100&amp;"* por "&amp;$F100&amp;",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Clientes.")&amp;CHAR(10)&amp;CHAR(10)&amp;Config!$B$1),IF(D100="","",SUBSTITUTE(SUBSTITUTE(INDEX('Catálogo Mensajes'!$D:$J,MATCH($D100,'Catálogo Mensajes'!$B:$B,0),MATCH($H100,'Catálogo Mensajes'!$D$4:$J$4,0)),"{NOMBRE}",$B100),"{PROMO}",'Catálogo Mensajes'!$C$2)&amp;CHAR(10)&amp;CHAR(10)&amp;Config!$B$1))))),"")</f>
        <v/>
      </c>
      <c r="P100" s="13">
        <f>IF(OR(O100="",C100=""),"",HYPERLINK("https://wa.me/52"&amp;C100&amp;"?text="&amp;_xlfn.ENCODEURL(O100),"Enviar mensaje"))</f>
        <v/>
      </c>
      <c r="Q100" s="13">
        <f>IF(OR(I100="",L100="Realizado",L100="Cancelado"),"",SUMPRODUCT(($I$2:$I$151&lt;I100)*($I$2:$I$151&gt;=DATE(Calendario!$C$3,Calendario!$C$2,1))*($I$2:$I$151&lt;DATE(Calendario!$C$3,Calendario!$C$2+1,1))*($L$2:$L$151&lt;&gt;"Realizado")*($L$2:$L$151&lt;&gt;"Cancelado"))+SUMPRODUCT(($I$2:$I$151=I100)*(ROW($I$2:$I$151)&lt;=ROW())*($I$2:$I$151&gt;=DATE(Calendario!$C$3,Calendario!$C$2,1))*($I$2:$I$151&lt;DATE(Calendario!$C$3,Calendario!$C$2+1,1))*($L$2:$L$151&lt;&gt;"Realizado")*($L$2:$L$151&lt;&gt;"Cancelado")))</f>
        <v/>
      </c>
    </row>
    <row r="101" ht="15" customHeight="1" s="1">
      <c r="A101" s="13">
        <f>IF(B101="","",ROW()-1)</f>
        <v/>
      </c>
      <c r="B101" s="14" t="n"/>
      <c r="C101" s="13">
        <f>IFERROR(INDEX(Clientes!$C:$C,MATCH(B101,Clientes!$B:$B,0)),"")</f>
        <v/>
      </c>
      <c r="D101" s="14">
        <f>IFERROR(INDEX(Clientes!$D:$D,MATCH(B101,Clientes!$B:$B,0)),"")</f>
        <v/>
      </c>
      <c r="E101" s="14">
        <f>IFERROR(INDEX(Clientes!$M:$M,MATCH(B101,Clientes!$B:$B,0)),"")</f>
        <v/>
      </c>
      <c r="F101" s="14">
        <f>IFERROR(INDEX(Clientes!$F:$F,MATCH(B101,Clientes!$B:$B,0)),"")</f>
        <v/>
      </c>
      <c r="G101" s="14">
        <f>IFERROR(INDEX(Clientes!$G:$G,MATCH(B101,Clientes!$B:$B,0)),"")</f>
        <v/>
      </c>
      <c r="H101" s="14" t="n"/>
      <c r="I101" s="15" t="n"/>
      <c r="J101" s="16" t="n"/>
      <c r="K101" s="14" t="n"/>
      <c r="L101" s="14" t="n"/>
      <c r="M101" s="13">
        <f>IF(I101="","",I101-TODAY())</f>
        <v/>
      </c>
      <c r="N101" s="14" t="n"/>
      <c r="O101" s="14">
        <f>IFERROR(IF(B101="","",IF(H101="","",IF(H101="Otro (mensaje libre)","",IF(H101="Requisitos (Crédito/Contado)",IF(OR(F101="",G101=""),"Indica primero el Método de Compra y el Tipo de Persona del cliente en la pestaña Clientes.",_xlfn.SWITCH($F101&amp;"|"&amp;$G101,"Crédito|Persona física","Hola, "&amp;$B101&amp;", para continuar con el proceso de tu *"&amp;$D101&amp;"* por "&amp;$F101&amp;",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"&amp;$B101&amp;", para continuar con el proceso de tu *"&amp;$D101&amp;"* por "&amp;$F101&amp;",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"&amp;$B101&amp;", para continuar con el proceso de tu *"&amp;$D101&amp;"* por "&amp;$F101&amp;",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"&amp;$B101&amp;", para continuar con el proceso de tu *"&amp;$D101&amp;"* por "&amp;$F101&amp;", estos son los documentos que necesitamos:"&amp;CHAR(10)&amp;CHAR(10)&amp;"- INE"&amp;CHAR(10)&amp;"- Comprobante de domicilio"&amp;CHAR(10)&amp;"- Constancia de situación fiscal (no mayor a 3 meses)","Contado|Persona física con actividad empresarial","Hola, "&amp;$B101&amp;", para continuar con el proceso de tu *"&amp;$D101&amp;"* por "&amp;$F101&amp;", estos son los documentos que necesitamos:"&amp;CHAR(10)&amp;CHAR(10)&amp;"- INE"&amp;CHAR(10)&amp;"- Comprobante de domicilio"&amp;CHAR(10)&amp;"- Constancia de situación fiscal (no mayor a 3 meses)","Contado|Persona moral","Hola, "&amp;$B101&amp;", para continuar con el proceso de tu *"&amp;$D101&amp;"* por "&amp;$F101&amp;",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Clientes.")&amp;CHAR(10)&amp;CHAR(10)&amp;Config!$B$1),IF(D101="","",SUBSTITUTE(SUBSTITUTE(INDEX('Catálogo Mensajes'!$D:$J,MATCH($D101,'Catálogo Mensajes'!$B:$B,0),MATCH($H101,'Catálogo Mensajes'!$D$4:$J$4,0)),"{NOMBRE}",$B101),"{PROMO}",'Catálogo Mensajes'!$C$2)&amp;CHAR(10)&amp;CHAR(10)&amp;Config!$B$1))))),"")</f>
        <v/>
      </c>
      <c r="P101" s="13">
        <f>IF(OR(O101="",C101=""),"",HYPERLINK("https://wa.me/52"&amp;C101&amp;"?text="&amp;_xlfn.ENCODEURL(O101),"Enviar mensaje"))</f>
        <v/>
      </c>
      <c r="Q101" s="13">
        <f>IF(OR(I101="",L101="Realizado",L101="Cancelado"),"",SUMPRODUCT(($I$2:$I$151&lt;I101)*($I$2:$I$151&gt;=DATE(Calendario!$C$3,Calendario!$C$2,1))*($I$2:$I$151&lt;DATE(Calendario!$C$3,Calendario!$C$2+1,1))*($L$2:$L$151&lt;&gt;"Realizado")*($L$2:$L$151&lt;&gt;"Cancelado"))+SUMPRODUCT(($I$2:$I$151=I101)*(ROW($I$2:$I$151)&lt;=ROW())*($I$2:$I$151&gt;=DATE(Calendario!$C$3,Calendario!$C$2,1))*($I$2:$I$151&lt;DATE(Calendario!$C$3,Calendario!$C$2+1,1))*($L$2:$L$151&lt;&gt;"Realizado")*($L$2:$L$151&lt;&gt;"Cancelado")))</f>
        <v/>
      </c>
    </row>
    <row r="102" ht="15" customHeight="1" s="1">
      <c r="A102" s="13">
        <f>IF(B102="","",ROW()-1)</f>
        <v/>
      </c>
      <c r="B102" s="14" t="n"/>
      <c r="C102" s="13">
        <f>IFERROR(INDEX(Clientes!$C:$C,MATCH(B102,Clientes!$B:$B,0)),"")</f>
        <v/>
      </c>
      <c r="D102" s="14">
        <f>IFERROR(INDEX(Clientes!$D:$D,MATCH(B102,Clientes!$B:$B,0)),"")</f>
        <v/>
      </c>
      <c r="E102" s="14">
        <f>IFERROR(INDEX(Clientes!$M:$M,MATCH(B102,Clientes!$B:$B,0)),"")</f>
        <v/>
      </c>
      <c r="F102" s="14">
        <f>IFERROR(INDEX(Clientes!$F:$F,MATCH(B102,Clientes!$B:$B,0)),"")</f>
        <v/>
      </c>
      <c r="G102" s="14">
        <f>IFERROR(INDEX(Clientes!$G:$G,MATCH(B102,Clientes!$B:$B,0)),"")</f>
        <v/>
      </c>
      <c r="H102" s="14" t="n"/>
      <c r="I102" s="15" t="n"/>
      <c r="J102" s="16" t="n"/>
      <c r="K102" s="14" t="n"/>
      <c r="L102" s="14" t="n"/>
      <c r="M102" s="13">
        <f>IF(I102="","",I102-TODAY())</f>
        <v/>
      </c>
      <c r="N102" s="14" t="n"/>
      <c r="O102" s="14">
        <f>IFERROR(IF(B102="","",IF(H102="","",IF(H102="Otro (mensaje libre)","",IF(H102="Requisitos (Crédito/Contado)",IF(OR(F102="",G102=""),"Indica primero el Método de Compra y el Tipo de Persona del cliente en la pestaña Clientes.",_xlfn.SWITCH($F102&amp;"|"&amp;$G102,"Crédito|Persona física","Hola, "&amp;$B102&amp;", para continuar con el proceso de tu *"&amp;$D102&amp;"* por "&amp;$F102&amp;",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"&amp;$B102&amp;", para continuar con el proceso de tu *"&amp;$D102&amp;"* por "&amp;$F102&amp;",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"&amp;$B102&amp;", para continuar con el proceso de tu *"&amp;$D102&amp;"* por "&amp;$F102&amp;",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"&amp;$B102&amp;", para continuar con el proceso de tu *"&amp;$D102&amp;"* por "&amp;$F102&amp;", estos son los documentos que necesitamos:"&amp;CHAR(10)&amp;CHAR(10)&amp;"- INE"&amp;CHAR(10)&amp;"- Comprobante de domicilio"&amp;CHAR(10)&amp;"- Constancia de situación fiscal (no mayor a 3 meses)","Contado|Persona física con actividad empresarial","Hola, "&amp;$B102&amp;", para continuar con el proceso de tu *"&amp;$D102&amp;"* por "&amp;$F102&amp;", estos son los documentos que necesitamos:"&amp;CHAR(10)&amp;CHAR(10)&amp;"- INE"&amp;CHAR(10)&amp;"- Comprobante de domicilio"&amp;CHAR(10)&amp;"- Constancia de situación fiscal (no mayor a 3 meses)","Contado|Persona moral","Hola, "&amp;$B102&amp;", para continuar con el proceso de tu *"&amp;$D102&amp;"* por "&amp;$F102&amp;",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Clientes.")&amp;CHAR(10)&amp;CHAR(10)&amp;Config!$B$1),IF(D102="","",SUBSTITUTE(SUBSTITUTE(INDEX('Catálogo Mensajes'!$D:$J,MATCH($D102,'Catálogo Mensajes'!$B:$B,0),MATCH($H102,'Catálogo Mensajes'!$D$4:$J$4,0)),"{NOMBRE}",$B102),"{PROMO}",'Catálogo Mensajes'!$C$2)&amp;CHAR(10)&amp;CHAR(10)&amp;Config!$B$1))))),"")</f>
        <v/>
      </c>
      <c r="P102" s="13">
        <f>IF(OR(O102="",C102=""),"",HYPERLINK("https://wa.me/52"&amp;C102&amp;"?text="&amp;_xlfn.ENCODEURL(O102),"Enviar mensaje"))</f>
        <v/>
      </c>
      <c r="Q102" s="13">
        <f>IF(OR(I102="",L102="Realizado",L102="Cancelado"),"",SUMPRODUCT(($I$2:$I$151&lt;I102)*($I$2:$I$151&gt;=DATE(Calendario!$C$3,Calendario!$C$2,1))*($I$2:$I$151&lt;DATE(Calendario!$C$3,Calendario!$C$2+1,1))*($L$2:$L$151&lt;&gt;"Realizado")*($L$2:$L$151&lt;&gt;"Cancelado"))+SUMPRODUCT(($I$2:$I$151=I102)*(ROW($I$2:$I$151)&lt;=ROW())*($I$2:$I$151&gt;=DATE(Calendario!$C$3,Calendario!$C$2,1))*($I$2:$I$151&lt;DATE(Calendario!$C$3,Calendario!$C$2+1,1))*($L$2:$L$151&lt;&gt;"Realizado")*($L$2:$L$151&lt;&gt;"Cancelado")))</f>
        <v/>
      </c>
    </row>
    <row r="103" ht="15" customHeight="1" s="1">
      <c r="A103" s="13">
        <f>IF(B103="","",ROW()-1)</f>
        <v/>
      </c>
      <c r="B103" s="14" t="n"/>
      <c r="C103" s="13">
        <f>IFERROR(INDEX(Clientes!$C:$C,MATCH(B103,Clientes!$B:$B,0)),"")</f>
        <v/>
      </c>
      <c r="D103" s="14">
        <f>IFERROR(INDEX(Clientes!$D:$D,MATCH(B103,Clientes!$B:$B,0)),"")</f>
        <v/>
      </c>
      <c r="E103" s="14">
        <f>IFERROR(INDEX(Clientes!$M:$M,MATCH(B103,Clientes!$B:$B,0)),"")</f>
        <v/>
      </c>
      <c r="F103" s="14">
        <f>IFERROR(INDEX(Clientes!$F:$F,MATCH(B103,Clientes!$B:$B,0)),"")</f>
        <v/>
      </c>
      <c r="G103" s="14">
        <f>IFERROR(INDEX(Clientes!$G:$G,MATCH(B103,Clientes!$B:$B,0)),"")</f>
        <v/>
      </c>
      <c r="H103" s="14" t="n"/>
      <c r="I103" s="15" t="n"/>
      <c r="J103" s="16" t="n"/>
      <c r="K103" s="14" t="n"/>
      <c r="L103" s="14" t="n"/>
      <c r="M103" s="13">
        <f>IF(I103="","",I103-TODAY())</f>
        <v/>
      </c>
      <c r="N103" s="14" t="n"/>
      <c r="O103" s="14">
        <f>IFERROR(IF(B103="","",IF(H103="","",IF(H103="Otro (mensaje libre)","",IF(H103="Requisitos (Crédito/Contado)",IF(OR(F103="",G103=""),"Indica primero el Método de Compra y el Tipo de Persona del cliente en la pestaña Clientes.",_xlfn.SWITCH($F103&amp;"|"&amp;$G103,"Crédito|Persona física","Hola, "&amp;$B103&amp;", para continuar con el proceso de tu *"&amp;$D103&amp;"* por "&amp;$F103&amp;",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"&amp;$B103&amp;", para continuar con el proceso de tu *"&amp;$D103&amp;"* por "&amp;$F103&amp;",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"&amp;$B103&amp;", para continuar con el proceso de tu *"&amp;$D103&amp;"* por "&amp;$F103&amp;",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"&amp;$B103&amp;", para continuar con el proceso de tu *"&amp;$D103&amp;"* por "&amp;$F103&amp;", estos son los documentos que necesitamos:"&amp;CHAR(10)&amp;CHAR(10)&amp;"- INE"&amp;CHAR(10)&amp;"- Comprobante de domicilio"&amp;CHAR(10)&amp;"- Constancia de situación fiscal (no mayor a 3 meses)","Contado|Persona física con actividad empresarial","Hola, "&amp;$B103&amp;", para continuar con el proceso de tu *"&amp;$D103&amp;"* por "&amp;$F103&amp;", estos son los documentos que necesitamos:"&amp;CHAR(10)&amp;CHAR(10)&amp;"- INE"&amp;CHAR(10)&amp;"- Comprobante de domicilio"&amp;CHAR(10)&amp;"- Constancia de situación fiscal (no mayor a 3 meses)","Contado|Persona moral","Hola, "&amp;$B103&amp;", para continuar con el proceso de tu *"&amp;$D103&amp;"* por "&amp;$F103&amp;",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Clientes.")&amp;CHAR(10)&amp;CHAR(10)&amp;Config!$B$1),IF(D103="","",SUBSTITUTE(SUBSTITUTE(INDEX('Catálogo Mensajes'!$D:$J,MATCH($D103,'Catálogo Mensajes'!$B:$B,0),MATCH($H103,'Catálogo Mensajes'!$D$4:$J$4,0)),"{NOMBRE}",$B103),"{PROMO}",'Catálogo Mensajes'!$C$2)&amp;CHAR(10)&amp;CHAR(10)&amp;Config!$B$1))))),"")</f>
        <v/>
      </c>
      <c r="P103" s="13">
        <f>IF(OR(O103="",C103=""),"",HYPERLINK("https://wa.me/52"&amp;C103&amp;"?text="&amp;_xlfn.ENCODEURL(O103),"Enviar mensaje"))</f>
        <v/>
      </c>
      <c r="Q103" s="13">
        <f>IF(OR(I103="",L103="Realizado",L103="Cancelado"),"",SUMPRODUCT(($I$2:$I$151&lt;I103)*($I$2:$I$151&gt;=DATE(Calendario!$C$3,Calendario!$C$2,1))*($I$2:$I$151&lt;DATE(Calendario!$C$3,Calendario!$C$2+1,1))*($L$2:$L$151&lt;&gt;"Realizado")*($L$2:$L$151&lt;&gt;"Cancelado"))+SUMPRODUCT(($I$2:$I$151=I103)*(ROW($I$2:$I$151)&lt;=ROW())*($I$2:$I$151&gt;=DATE(Calendario!$C$3,Calendario!$C$2,1))*($I$2:$I$151&lt;DATE(Calendario!$C$3,Calendario!$C$2+1,1))*($L$2:$L$151&lt;&gt;"Realizado")*($L$2:$L$151&lt;&gt;"Cancelado")))</f>
        <v/>
      </c>
    </row>
    <row r="104" ht="15" customHeight="1" s="1">
      <c r="A104" s="13">
        <f>IF(B104="","",ROW()-1)</f>
        <v/>
      </c>
      <c r="B104" s="14" t="n"/>
      <c r="C104" s="13">
        <f>IFERROR(INDEX(Clientes!$C:$C,MATCH(B104,Clientes!$B:$B,0)),"")</f>
        <v/>
      </c>
      <c r="D104" s="14">
        <f>IFERROR(INDEX(Clientes!$D:$D,MATCH(B104,Clientes!$B:$B,0)),"")</f>
        <v/>
      </c>
      <c r="E104" s="14">
        <f>IFERROR(INDEX(Clientes!$M:$M,MATCH(B104,Clientes!$B:$B,0)),"")</f>
        <v/>
      </c>
      <c r="F104" s="14">
        <f>IFERROR(INDEX(Clientes!$F:$F,MATCH(B104,Clientes!$B:$B,0)),"")</f>
        <v/>
      </c>
      <c r="G104" s="14">
        <f>IFERROR(INDEX(Clientes!$G:$G,MATCH(B104,Clientes!$B:$B,0)),"")</f>
        <v/>
      </c>
      <c r="H104" s="14" t="n"/>
      <c r="I104" s="15" t="n"/>
      <c r="J104" s="16" t="n"/>
      <c r="K104" s="14" t="n"/>
      <c r="L104" s="14" t="n"/>
      <c r="M104" s="13">
        <f>IF(I104="","",I104-TODAY())</f>
        <v/>
      </c>
      <c r="N104" s="14" t="n"/>
      <c r="O104" s="14">
        <f>IFERROR(IF(B104="","",IF(H104="","",IF(H104="Otro (mensaje libre)","",IF(H104="Requisitos (Crédito/Contado)",IF(OR(F104="",G104=""),"Indica primero el Método de Compra y el Tipo de Persona del cliente en la pestaña Clientes.",_xlfn.SWITCH($F104&amp;"|"&amp;$G104,"Crédito|Persona física","Hola, "&amp;$B104&amp;", para continuar con el proceso de tu *"&amp;$D104&amp;"* por "&amp;$F104&amp;",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"&amp;$B104&amp;", para continuar con el proceso de tu *"&amp;$D104&amp;"* por "&amp;$F104&amp;",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"&amp;$B104&amp;", para continuar con el proceso de tu *"&amp;$D104&amp;"* por "&amp;$F104&amp;",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"&amp;$B104&amp;", para continuar con el proceso de tu *"&amp;$D104&amp;"* por "&amp;$F104&amp;", estos son los documentos que necesitamos:"&amp;CHAR(10)&amp;CHAR(10)&amp;"- INE"&amp;CHAR(10)&amp;"- Comprobante de domicilio"&amp;CHAR(10)&amp;"- Constancia de situación fiscal (no mayor a 3 meses)","Contado|Persona física con actividad empresarial","Hola, "&amp;$B104&amp;", para continuar con el proceso de tu *"&amp;$D104&amp;"* por "&amp;$F104&amp;", estos son los documentos que necesitamos:"&amp;CHAR(10)&amp;CHAR(10)&amp;"- INE"&amp;CHAR(10)&amp;"- Comprobante de domicilio"&amp;CHAR(10)&amp;"- Constancia de situación fiscal (no mayor a 3 meses)","Contado|Persona moral","Hola, "&amp;$B104&amp;", para continuar con el proceso de tu *"&amp;$D104&amp;"* por "&amp;$F104&amp;",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Clientes.")&amp;CHAR(10)&amp;CHAR(10)&amp;Config!$B$1),IF(D104="","",SUBSTITUTE(SUBSTITUTE(INDEX('Catálogo Mensajes'!$D:$J,MATCH($D104,'Catálogo Mensajes'!$B:$B,0),MATCH($H104,'Catálogo Mensajes'!$D$4:$J$4,0)),"{NOMBRE}",$B104),"{PROMO}",'Catálogo Mensajes'!$C$2)&amp;CHAR(10)&amp;CHAR(10)&amp;Config!$B$1))))),"")</f>
        <v/>
      </c>
      <c r="P104" s="13">
        <f>IF(OR(O104="",C104=""),"",HYPERLINK("https://wa.me/52"&amp;C104&amp;"?text="&amp;_xlfn.ENCODEURL(O104),"Enviar mensaje"))</f>
        <v/>
      </c>
      <c r="Q104" s="13">
        <f>IF(OR(I104="",L104="Realizado",L104="Cancelado"),"",SUMPRODUCT(($I$2:$I$151&lt;I104)*($I$2:$I$151&gt;=DATE(Calendario!$C$3,Calendario!$C$2,1))*($I$2:$I$151&lt;DATE(Calendario!$C$3,Calendario!$C$2+1,1))*($L$2:$L$151&lt;&gt;"Realizado")*($L$2:$L$151&lt;&gt;"Cancelado"))+SUMPRODUCT(($I$2:$I$151=I104)*(ROW($I$2:$I$151)&lt;=ROW())*($I$2:$I$151&gt;=DATE(Calendario!$C$3,Calendario!$C$2,1))*($I$2:$I$151&lt;DATE(Calendario!$C$3,Calendario!$C$2+1,1))*($L$2:$L$151&lt;&gt;"Realizado")*($L$2:$L$151&lt;&gt;"Cancelado")))</f>
        <v/>
      </c>
    </row>
    <row r="105" ht="15" customHeight="1" s="1">
      <c r="A105" s="13">
        <f>IF(B105="","",ROW()-1)</f>
        <v/>
      </c>
      <c r="B105" s="14" t="n"/>
      <c r="C105" s="13">
        <f>IFERROR(INDEX(Clientes!$C:$C,MATCH(B105,Clientes!$B:$B,0)),"")</f>
        <v/>
      </c>
      <c r="D105" s="14">
        <f>IFERROR(INDEX(Clientes!$D:$D,MATCH(B105,Clientes!$B:$B,0)),"")</f>
        <v/>
      </c>
      <c r="E105" s="14">
        <f>IFERROR(INDEX(Clientes!$M:$M,MATCH(B105,Clientes!$B:$B,0)),"")</f>
        <v/>
      </c>
      <c r="F105" s="14">
        <f>IFERROR(INDEX(Clientes!$F:$F,MATCH(B105,Clientes!$B:$B,0)),"")</f>
        <v/>
      </c>
      <c r="G105" s="14">
        <f>IFERROR(INDEX(Clientes!$G:$G,MATCH(B105,Clientes!$B:$B,0)),"")</f>
        <v/>
      </c>
      <c r="H105" s="14" t="n"/>
      <c r="I105" s="15" t="n"/>
      <c r="J105" s="16" t="n"/>
      <c r="K105" s="14" t="n"/>
      <c r="L105" s="14" t="n"/>
      <c r="M105" s="13">
        <f>IF(I105="","",I105-TODAY())</f>
        <v/>
      </c>
      <c r="N105" s="14" t="n"/>
      <c r="O105" s="14">
        <f>IFERROR(IF(B105="","",IF(H105="","",IF(H105="Otro (mensaje libre)","",IF(H105="Requisitos (Crédito/Contado)",IF(OR(F105="",G105=""),"Indica primero el Método de Compra y el Tipo de Persona del cliente en la pestaña Clientes.",_xlfn.SWITCH($F105&amp;"|"&amp;$G105,"Crédito|Persona física","Hola, "&amp;$B105&amp;", para continuar con el proceso de tu *"&amp;$D105&amp;"* por "&amp;$F105&amp;",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"&amp;$B105&amp;", para continuar con el proceso de tu *"&amp;$D105&amp;"* por "&amp;$F105&amp;",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"&amp;$B105&amp;", para continuar con el proceso de tu *"&amp;$D105&amp;"* por "&amp;$F105&amp;",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"&amp;$B105&amp;", para continuar con el proceso de tu *"&amp;$D105&amp;"* por "&amp;$F105&amp;", estos son los documentos que necesitamos:"&amp;CHAR(10)&amp;CHAR(10)&amp;"- INE"&amp;CHAR(10)&amp;"- Comprobante de domicilio"&amp;CHAR(10)&amp;"- Constancia de situación fiscal (no mayor a 3 meses)","Contado|Persona física con actividad empresarial","Hola, "&amp;$B105&amp;", para continuar con el proceso de tu *"&amp;$D105&amp;"* por "&amp;$F105&amp;", estos son los documentos que necesitamos:"&amp;CHAR(10)&amp;CHAR(10)&amp;"- INE"&amp;CHAR(10)&amp;"- Comprobante de domicilio"&amp;CHAR(10)&amp;"- Constancia de situación fiscal (no mayor a 3 meses)","Contado|Persona moral","Hola, "&amp;$B105&amp;", para continuar con el proceso de tu *"&amp;$D105&amp;"* por "&amp;$F105&amp;",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Clientes.")&amp;CHAR(10)&amp;CHAR(10)&amp;Config!$B$1),IF(D105="","",SUBSTITUTE(SUBSTITUTE(INDEX('Catálogo Mensajes'!$D:$J,MATCH($D105,'Catálogo Mensajes'!$B:$B,0),MATCH($H105,'Catálogo Mensajes'!$D$4:$J$4,0)),"{NOMBRE}",$B105),"{PROMO}",'Catálogo Mensajes'!$C$2)&amp;CHAR(10)&amp;CHAR(10)&amp;Config!$B$1))))),"")</f>
        <v/>
      </c>
      <c r="P105" s="13">
        <f>IF(OR(O105="",C105=""),"",HYPERLINK("https://wa.me/52"&amp;C105&amp;"?text="&amp;_xlfn.ENCODEURL(O105),"Enviar mensaje"))</f>
        <v/>
      </c>
      <c r="Q105" s="13">
        <f>IF(OR(I105="",L105="Realizado",L105="Cancelado"),"",SUMPRODUCT(($I$2:$I$151&lt;I105)*($I$2:$I$151&gt;=DATE(Calendario!$C$3,Calendario!$C$2,1))*($I$2:$I$151&lt;DATE(Calendario!$C$3,Calendario!$C$2+1,1))*($L$2:$L$151&lt;&gt;"Realizado")*($L$2:$L$151&lt;&gt;"Cancelado"))+SUMPRODUCT(($I$2:$I$151=I105)*(ROW($I$2:$I$151)&lt;=ROW())*($I$2:$I$151&gt;=DATE(Calendario!$C$3,Calendario!$C$2,1))*($I$2:$I$151&lt;DATE(Calendario!$C$3,Calendario!$C$2+1,1))*($L$2:$L$151&lt;&gt;"Realizado")*($L$2:$L$151&lt;&gt;"Cancelado")))</f>
        <v/>
      </c>
    </row>
    <row r="106" ht="15" customHeight="1" s="1">
      <c r="A106" s="13">
        <f>IF(B106="","",ROW()-1)</f>
        <v/>
      </c>
      <c r="B106" s="14" t="n"/>
      <c r="C106" s="13">
        <f>IFERROR(INDEX(Clientes!$C:$C,MATCH(B106,Clientes!$B:$B,0)),"")</f>
        <v/>
      </c>
      <c r="D106" s="14">
        <f>IFERROR(INDEX(Clientes!$D:$D,MATCH(B106,Clientes!$B:$B,0)),"")</f>
        <v/>
      </c>
      <c r="E106" s="14">
        <f>IFERROR(INDEX(Clientes!$M:$M,MATCH(B106,Clientes!$B:$B,0)),"")</f>
        <v/>
      </c>
      <c r="F106" s="14">
        <f>IFERROR(INDEX(Clientes!$F:$F,MATCH(B106,Clientes!$B:$B,0)),"")</f>
        <v/>
      </c>
      <c r="G106" s="14">
        <f>IFERROR(INDEX(Clientes!$G:$G,MATCH(B106,Clientes!$B:$B,0)),"")</f>
        <v/>
      </c>
      <c r="H106" s="14" t="n"/>
      <c r="I106" s="15" t="n"/>
      <c r="J106" s="16" t="n"/>
      <c r="K106" s="14" t="n"/>
      <c r="L106" s="14" t="n"/>
      <c r="M106" s="13">
        <f>IF(I106="","",I106-TODAY())</f>
        <v/>
      </c>
      <c r="N106" s="14" t="n"/>
      <c r="O106" s="14">
        <f>IFERROR(IF(B106="","",IF(H106="","",IF(H106="Otro (mensaje libre)","",IF(H106="Requisitos (Crédito/Contado)",IF(OR(F106="",G106=""),"Indica primero el Método de Compra y el Tipo de Persona del cliente en la pestaña Clientes.",_xlfn.SWITCH($F106&amp;"|"&amp;$G106,"Crédito|Persona física","Hola, "&amp;$B106&amp;", para continuar con el proceso de tu *"&amp;$D106&amp;"* por "&amp;$F106&amp;",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"&amp;$B106&amp;", para continuar con el proceso de tu *"&amp;$D106&amp;"* por "&amp;$F106&amp;",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"&amp;$B106&amp;", para continuar con el proceso de tu *"&amp;$D106&amp;"* por "&amp;$F106&amp;",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"&amp;$B106&amp;", para continuar con el proceso de tu *"&amp;$D106&amp;"* por "&amp;$F106&amp;", estos son los documentos que necesitamos:"&amp;CHAR(10)&amp;CHAR(10)&amp;"- INE"&amp;CHAR(10)&amp;"- Comprobante de domicilio"&amp;CHAR(10)&amp;"- Constancia de situación fiscal (no mayor a 3 meses)","Contado|Persona física con actividad empresarial","Hola, "&amp;$B106&amp;", para continuar con el proceso de tu *"&amp;$D106&amp;"* por "&amp;$F106&amp;", estos son los documentos que necesitamos:"&amp;CHAR(10)&amp;CHAR(10)&amp;"- INE"&amp;CHAR(10)&amp;"- Comprobante de domicilio"&amp;CHAR(10)&amp;"- Constancia de situación fiscal (no mayor a 3 meses)","Contado|Persona moral","Hola, "&amp;$B106&amp;", para continuar con el proceso de tu *"&amp;$D106&amp;"* por "&amp;$F106&amp;",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Clientes.")&amp;CHAR(10)&amp;CHAR(10)&amp;Config!$B$1),IF(D106="","",SUBSTITUTE(SUBSTITUTE(INDEX('Catálogo Mensajes'!$D:$J,MATCH($D106,'Catálogo Mensajes'!$B:$B,0),MATCH($H106,'Catálogo Mensajes'!$D$4:$J$4,0)),"{NOMBRE}",$B106),"{PROMO}",'Catálogo Mensajes'!$C$2)&amp;CHAR(10)&amp;CHAR(10)&amp;Config!$B$1))))),"")</f>
        <v/>
      </c>
      <c r="P106" s="13">
        <f>IF(OR(O106="",C106=""),"",HYPERLINK("https://wa.me/52"&amp;C106&amp;"?text="&amp;_xlfn.ENCODEURL(O106),"Enviar mensaje"))</f>
        <v/>
      </c>
      <c r="Q106" s="13">
        <f>IF(OR(I106="",L106="Realizado",L106="Cancelado"),"",SUMPRODUCT(($I$2:$I$151&lt;I106)*($I$2:$I$151&gt;=DATE(Calendario!$C$3,Calendario!$C$2,1))*($I$2:$I$151&lt;DATE(Calendario!$C$3,Calendario!$C$2+1,1))*($L$2:$L$151&lt;&gt;"Realizado")*($L$2:$L$151&lt;&gt;"Cancelado"))+SUMPRODUCT(($I$2:$I$151=I106)*(ROW($I$2:$I$151)&lt;=ROW())*($I$2:$I$151&gt;=DATE(Calendario!$C$3,Calendario!$C$2,1))*($I$2:$I$151&lt;DATE(Calendario!$C$3,Calendario!$C$2+1,1))*($L$2:$L$151&lt;&gt;"Realizado")*($L$2:$L$151&lt;&gt;"Cancelado")))</f>
        <v/>
      </c>
    </row>
    <row r="107" ht="15" customHeight="1" s="1">
      <c r="A107" s="13">
        <f>IF(B107="","",ROW()-1)</f>
        <v/>
      </c>
      <c r="B107" s="14" t="n"/>
      <c r="C107" s="13">
        <f>IFERROR(INDEX(Clientes!$C:$C,MATCH(B107,Clientes!$B:$B,0)),"")</f>
        <v/>
      </c>
      <c r="D107" s="14">
        <f>IFERROR(INDEX(Clientes!$D:$D,MATCH(B107,Clientes!$B:$B,0)),"")</f>
        <v/>
      </c>
      <c r="E107" s="14">
        <f>IFERROR(INDEX(Clientes!$M:$M,MATCH(B107,Clientes!$B:$B,0)),"")</f>
        <v/>
      </c>
      <c r="F107" s="14">
        <f>IFERROR(INDEX(Clientes!$F:$F,MATCH(B107,Clientes!$B:$B,0)),"")</f>
        <v/>
      </c>
      <c r="G107" s="14">
        <f>IFERROR(INDEX(Clientes!$G:$G,MATCH(B107,Clientes!$B:$B,0)),"")</f>
        <v/>
      </c>
      <c r="H107" s="14" t="n"/>
      <c r="I107" s="15" t="n"/>
      <c r="J107" s="16" t="n"/>
      <c r="K107" s="14" t="n"/>
      <c r="L107" s="14" t="n"/>
      <c r="M107" s="13">
        <f>IF(I107="","",I107-TODAY())</f>
        <v/>
      </c>
      <c r="N107" s="14" t="n"/>
      <c r="O107" s="14">
        <f>IFERROR(IF(B107="","",IF(H107="","",IF(H107="Otro (mensaje libre)","",IF(H107="Requisitos (Crédito/Contado)",IF(OR(F107="",G107=""),"Indica primero el Método de Compra y el Tipo de Persona del cliente en la pestaña Clientes.",_xlfn.SWITCH($F107&amp;"|"&amp;$G107,"Crédito|Persona física","Hola, "&amp;$B107&amp;", para continuar con el proceso de tu *"&amp;$D107&amp;"* por "&amp;$F107&amp;",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"&amp;$B107&amp;", para continuar con el proceso de tu *"&amp;$D107&amp;"* por "&amp;$F107&amp;",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"&amp;$B107&amp;", para continuar con el proceso de tu *"&amp;$D107&amp;"* por "&amp;$F107&amp;",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"&amp;$B107&amp;", para continuar con el proceso de tu *"&amp;$D107&amp;"* por "&amp;$F107&amp;", estos son los documentos que necesitamos:"&amp;CHAR(10)&amp;CHAR(10)&amp;"- INE"&amp;CHAR(10)&amp;"- Comprobante de domicilio"&amp;CHAR(10)&amp;"- Constancia de situación fiscal (no mayor a 3 meses)","Contado|Persona física con actividad empresarial","Hola, "&amp;$B107&amp;", para continuar con el proceso de tu *"&amp;$D107&amp;"* por "&amp;$F107&amp;", estos son los documentos que necesitamos:"&amp;CHAR(10)&amp;CHAR(10)&amp;"- INE"&amp;CHAR(10)&amp;"- Comprobante de domicilio"&amp;CHAR(10)&amp;"- Constancia de situación fiscal (no mayor a 3 meses)","Contado|Persona moral","Hola, "&amp;$B107&amp;", para continuar con el proceso de tu *"&amp;$D107&amp;"* por "&amp;$F107&amp;",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Clientes.")&amp;CHAR(10)&amp;CHAR(10)&amp;Config!$B$1),IF(D107="","",SUBSTITUTE(SUBSTITUTE(INDEX('Catálogo Mensajes'!$D:$J,MATCH($D107,'Catálogo Mensajes'!$B:$B,0),MATCH($H107,'Catálogo Mensajes'!$D$4:$J$4,0)),"{NOMBRE}",$B107),"{PROMO}",'Catálogo Mensajes'!$C$2)&amp;CHAR(10)&amp;CHAR(10)&amp;Config!$B$1))))),"")</f>
        <v/>
      </c>
      <c r="P107" s="13">
        <f>IF(OR(O107="",C107=""),"",HYPERLINK("https://wa.me/52"&amp;C107&amp;"?text="&amp;_xlfn.ENCODEURL(O107),"Enviar mensaje"))</f>
        <v/>
      </c>
      <c r="Q107" s="13">
        <f>IF(OR(I107="",L107="Realizado",L107="Cancelado"),"",SUMPRODUCT(($I$2:$I$151&lt;I107)*($I$2:$I$151&gt;=DATE(Calendario!$C$3,Calendario!$C$2,1))*($I$2:$I$151&lt;DATE(Calendario!$C$3,Calendario!$C$2+1,1))*($L$2:$L$151&lt;&gt;"Realizado")*($L$2:$L$151&lt;&gt;"Cancelado"))+SUMPRODUCT(($I$2:$I$151=I107)*(ROW($I$2:$I$151)&lt;=ROW())*($I$2:$I$151&gt;=DATE(Calendario!$C$3,Calendario!$C$2,1))*($I$2:$I$151&lt;DATE(Calendario!$C$3,Calendario!$C$2+1,1))*($L$2:$L$151&lt;&gt;"Realizado")*($L$2:$L$151&lt;&gt;"Cancelado")))</f>
        <v/>
      </c>
    </row>
    <row r="108" ht="15" customHeight="1" s="1">
      <c r="A108" s="13">
        <f>IF(B108="","",ROW()-1)</f>
        <v/>
      </c>
      <c r="B108" s="14" t="n"/>
      <c r="C108" s="13">
        <f>IFERROR(INDEX(Clientes!$C:$C,MATCH(B108,Clientes!$B:$B,0)),"")</f>
        <v/>
      </c>
      <c r="D108" s="14">
        <f>IFERROR(INDEX(Clientes!$D:$D,MATCH(B108,Clientes!$B:$B,0)),"")</f>
        <v/>
      </c>
      <c r="E108" s="14">
        <f>IFERROR(INDEX(Clientes!$M:$M,MATCH(B108,Clientes!$B:$B,0)),"")</f>
        <v/>
      </c>
      <c r="F108" s="14">
        <f>IFERROR(INDEX(Clientes!$F:$F,MATCH(B108,Clientes!$B:$B,0)),"")</f>
        <v/>
      </c>
      <c r="G108" s="14">
        <f>IFERROR(INDEX(Clientes!$G:$G,MATCH(B108,Clientes!$B:$B,0)),"")</f>
        <v/>
      </c>
      <c r="H108" s="14" t="n"/>
      <c r="I108" s="15" t="n"/>
      <c r="J108" s="16" t="n"/>
      <c r="K108" s="14" t="n"/>
      <c r="L108" s="14" t="n"/>
      <c r="M108" s="13">
        <f>IF(I108="","",I108-TODAY())</f>
        <v/>
      </c>
      <c r="N108" s="14" t="n"/>
      <c r="O108" s="14">
        <f>IFERROR(IF(B108="","",IF(H108="","",IF(H108="Otro (mensaje libre)","",IF(H108="Requisitos (Crédito/Contado)",IF(OR(F108="",G108=""),"Indica primero el Método de Compra y el Tipo de Persona del cliente en la pestaña Clientes.",_xlfn.SWITCH($F108&amp;"|"&amp;$G108,"Crédito|Persona física","Hola, "&amp;$B108&amp;", para continuar con el proceso de tu *"&amp;$D108&amp;"* por "&amp;$F108&amp;",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"&amp;$B108&amp;", para continuar con el proceso de tu *"&amp;$D108&amp;"* por "&amp;$F108&amp;",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"&amp;$B108&amp;", para continuar con el proceso de tu *"&amp;$D108&amp;"* por "&amp;$F108&amp;",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"&amp;$B108&amp;", para continuar con el proceso de tu *"&amp;$D108&amp;"* por "&amp;$F108&amp;", estos son los documentos que necesitamos:"&amp;CHAR(10)&amp;CHAR(10)&amp;"- INE"&amp;CHAR(10)&amp;"- Comprobante de domicilio"&amp;CHAR(10)&amp;"- Constancia de situación fiscal (no mayor a 3 meses)","Contado|Persona física con actividad empresarial","Hola, "&amp;$B108&amp;", para continuar con el proceso de tu *"&amp;$D108&amp;"* por "&amp;$F108&amp;", estos son los documentos que necesitamos:"&amp;CHAR(10)&amp;CHAR(10)&amp;"- INE"&amp;CHAR(10)&amp;"- Comprobante de domicilio"&amp;CHAR(10)&amp;"- Constancia de situación fiscal (no mayor a 3 meses)","Contado|Persona moral","Hola, "&amp;$B108&amp;", para continuar con el proceso de tu *"&amp;$D108&amp;"* por "&amp;$F108&amp;",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Clientes.")&amp;CHAR(10)&amp;CHAR(10)&amp;Config!$B$1),IF(D108="","",SUBSTITUTE(SUBSTITUTE(INDEX('Catálogo Mensajes'!$D:$J,MATCH($D108,'Catálogo Mensajes'!$B:$B,0),MATCH($H108,'Catálogo Mensajes'!$D$4:$J$4,0)),"{NOMBRE}",$B108),"{PROMO}",'Catálogo Mensajes'!$C$2)&amp;CHAR(10)&amp;CHAR(10)&amp;Config!$B$1))))),"")</f>
        <v/>
      </c>
      <c r="P108" s="13">
        <f>IF(OR(O108="",C108=""),"",HYPERLINK("https://wa.me/52"&amp;C108&amp;"?text="&amp;_xlfn.ENCODEURL(O108),"Enviar mensaje"))</f>
        <v/>
      </c>
      <c r="Q108" s="13">
        <f>IF(OR(I108="",L108="Realizado",L108="Cancelado"),"",SUMPRODUCT(($I$2:$I$151&lt;I108)*($I$2:$I$151&gt;=DATE(Calendario!$C$3,Calendario!$C$2,1))*($I$2:$I$151&lt;DATE(Calendario!$C$3,Calendario!$C$2+1,1))*($L$2:$L$151&lt;&gt;"Realizado")*($L$2:$L$151&lt;&gt;"Cancelado"))+SUMPRODUCT(($I$2:$I$151=I108)*(ROW($I$2:$I$151)&lt;=ROW())*($I$2:$I$151&gt;=DATE(Calendario!$C$3,Calendario!$C$2,1))*($I$2:$I$151&lt;DATE(Calendario!$C$3,Calendario!$C$2+1,1))*($L$2:$L$151&lt;&gt;"Realizado")*($L$2:$L$151&lt;&gt;"Cancelado")))</f>
        <v/>
      </c>
    </row>
    <row r="109" ht="15" customHeight="1" s="1">
      <c r="A109" s="13">
        <f>IF(B109="","",ROW()-1)</f>
        <v/>
      </c>
      <c r="B109" s="14" t="n"/>
      <c r="C109" s="13">
        <f>IFERROR(INDEX(Clientes!$C:$C,MATCH(B109,Clientes!$B:$B,0)),"")</f>
        <v/>
      </c>
      <c r="D109" s="14">
        <f>IFERROR(INDEX(Clientes!$D:$D,MATCH(B109,Clientes!$B:$B,0)),"")</f>
        <v/>
      </c>
      <c r="E109" s="14">
        <f>IFERROR(INDEX(Clientes!$M:$M,MATCH(B109,Clientes!$B:$B,0)),"")</f>
        <v/>
      </c>
      <c r="F109" s="14">
        <f>IFERROR(INDEX(Clientes!$F:$F,MATCH(B109,Clientes!$B:$B,0)),"")</f>
        <v/>
      </c>
      <c r="G109" s="14">
        <f>IFERROR(INDEX(Clientes!$G:$G,MATCH(B109,Clientes!$B:$B,0)),"")</f>
        <v/>
      </c>
      <c r="H109" s="14" t="n"/>
      <c r="I109" s="15" t="n"/>
      <c r="J109" s="16" t="n"/>
      <c r="K109" s="14" t="n"/>
      <c r="L109" s="14" t="n"/>
      <c r="M109" s="13">
        <f>IF(I109="","",I109-TODAY())</f>
        <v/>
      </c>
      <c r="N109" s="14" t="n"/>
      <c r="O109" s="14">
        <f>IFERROR(IF(B109="","",IF(H109="","",IF(H109="Otro (mensaje libre)","",IF(H109="Requisitos (Crédito/Contado)",IF(OR(F109="",G109=""),"Indica primero el Método de Compra y el Tipo de Persona del cliente en la pestaña Clientes.",_xlfn.SWITCH($F109&amp;"|"&amp;$G109,"Crédito|Persona física","Hola, "&amp;$B109&amp;", para continuar con el proceso de tu *"&amp;$D109&amp;"* por "&amp;$F109&amp;",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"&amp;$B109&amp;", para continuar con el proceso de tu *"&amp;$D109&amp;"* por "&amp;$F109&amp;",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"&amp;$B109&amp;", para continuar con el proceso de tu *"&amp;$D109&amp;"* por "&amp;$F109&amp;",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"&amp;$B109&amp;", para continuar con el proceso de tu *"&amp;$D109&amp;"* por "&amp;$F109&amp;", estos son los documentos que necesitamos:"&amp;CHAR(10)&amp;CHAR(10)&amp;"- INE"&amp;CHAR(10)&amp;"- Comprobante de domicilio"&amp;CHAR(10)&amp;"- Constancia de situación fiscal (no mayor a 3 meses)","Contado|Persona física con actividad empresarial","Hola, "&amp;$B109&amp;", para continuar con el proceso de tu *"&amp;$D109&amp;"* por "&amp;$F109&amp;", estos son los documentos que necesitamos:"&amp;CHAR(10)&amp;CHAR(10)&amp;"- INE"&amp;CHAR(10)&amp;"- Comprobante de domicilio"&amp;CHAR(10)&amp;"- Constancia de situación fiscal (no mayor a 3 meses)","Contado|Persona moral","Hola, "&amp;$B109&amp;", para continuar con el proceso de tu *"&amp;$D109&amp;"* por "&amp;$F109&amp;",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Clientes.")&amp;CHAR(10)&amp;CHAR(10)&amp;Config!$B$1),IF(D109="","",SUBSTITUTE(SUBSTITUTE(INDEX('Catálogo Mensajes'!$D:$J,MATCH($D109,'Catálogo Mensajes'!$B:$B,0),MATCH($H109,'Catálogo Mensajes'!$D$4:$J$4,0)),"{NOMBRE}",$B109),"{PROMO}",'Catálogo Mensajes'!$C$2)&amp;CHAR(10)&amp;CHAR(10)&amp;Config!$B$1))))),"")</f>
        <v/>
      </c>
      <c r="P109" s="13">
        <f>IF(OR(O109="",C109=""),"",HYPERLINK("https://wa.me/52"&amp;C109&amp;"?text="&amp;_xlfn.ENCODEURL(O109),"Enviar mensaje"))</f>
        <v/>
      </c>
      <c r="Q109" s="13">
        <f>IF(OR(I109="",L109="Realizado",L109="Cancelado"),"",SUMPRODUCT(($I$2:$I$151&lt;I109)*($I$2:$I$151&gt;=DATE(Calendario!$C$3,Calendario!$C$2,1))*($I$2:$I$151&lt;DATE(Calendario!$C$3,Calendario!$C$2+1,1))*($L$2:$L$151&lt;&gt;"Realizado")*($L$2:$L$151&lt;&gt;"Cancelado"))+SUMPRODUCT(($I$2:$I$151=I109)*(ROW($I$2:$I$151)&lt;=ROW())*($I$2:$I$151&gt;=DATE(Calendario!$C$3,Calendario!$C$2,1))*($I$2:$I$151&lt;DATE(Calendario!$C$3,Calendario!$C$2+1,1))*($L$2:$L$151&lt;&gt;"Realizado")*($L$2:$L$151&lt;&gt;"Cancelado")))</f>
        <v/>
      </c>
    </row>
    <row r="110" ht="15" customHeight="1" s="1">
      <c r="A110" s="13">
        <f>IF(B110="","",ROW()-1)</f>
        <v/>
      </c>
      <c r="B110" s="14" t="n"/>
      <c r="C110" s="13">
        <f>IFERROR(INDEX(Clientes!$C:$C,MATCH(B110,Clientes!$B:$B,0)),"")</f>
        <v/>
      </c>
      <c r="D110" s="14">
        <f>IFERROR(INDEX(Clientes!$D:$D,MATCH(B110,Clientes!$B:$B,0)),"")</f>
        <v/>
      </c>
      <c r="E110" s="14">
        <f>IFERROR(INDEX(Clientes!$M:$M,MATCH(B110,Clientes!$B:$B,0)),"")</f>
        <v/>
      </c>
      <c r="F110" s="14">
        <f>IFERROR(INDEX(Clientes!$F:$F,MATCH(B110,Clientes!$B:$B,0)),"")</f>
        <v/>
      </c>
      <c r="G110" s="14">
        <f>IFERROR(INDEX(Clientes!$G:$G,MATCH(B110,Clientes!$B:$B,0)),"")</f>
        <v/>
      </c>
      <c r="H110" s="14" t="n"/>
      <c r="I110" s="15" t="n"/>
      <c r="J110" s="16" t="n"/>
      <c r="K110" s="14" t="n"/>
      <c r="L110" s="14" t="n"/>
      <c r="M110" s="13">
        <f>IF(I110="","",I110-TODAY())</f>
        <v/>
      </c>
      <c r="N110" s="14" t="n"/>
      <c r="O110" s="14">
        <f>IFERROR(IF(B110="","",IF(H110="","",IF(H110="Otro (mensaje libre)","",IF(H110="Requisitos (Crédito/Contado)",IF(OR(F110="",G110=""),"Indica primero el Método de Compra y el Tipo de Persona del cliente en la pestaña Clientes.",_xlfn.SWITCH($F110&amp;"|"&amp;$G110,"Crédito|Persona física","Hola, "&amp;$B110&amp;", para continuar con el proceso de tu *"&amp;$D110&amp;"* por "&amp;$F110&amp;",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"&amp;$B110&amp;", para continuar con el proceso de tu *"&amp;$D110&amp;"* por "&amp;$F110&amp;",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"&amp;$B110&amp;", para continuar con el proceso de tu *"&amp;$D110&amp;"* por "&amp;$F110&amp;",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"&amp;$B110&amp;", para continuar con el proceso de tu *"&amp;$D110&amp;"* por "&amp;$F110&amp;", estos son los documentos que necesitamos:"&amp;CHAR(10)&amp;CHAR(10)&amp;"- INE"&amp;CHAR(10)&amp;"- Comprobante de domicilio"&amp;CHAR(10)&amp;"- Constancia de situación fiscal (no mayor a 3 meses)","Contado|Persona física con actividad empresarial","Hola, "&amp;$B110&amp;", para continuar con el proceso de tu *"&amp;$D110&amp;"* por "&amp;$F110&amp;", estos son los documentos que necesitamos:"&amp;CHAR(10)&amp;CHAR(10)&amp;"- INE"&amp;CHAR(10)&amp;"- Comprobante de domicilio"&amp;CHAR(10)&amp;"- Constancia de situación fiscal (no mayor a 3 meses)","Contado|Persona moral","Hola, "&amp;$B110&amp;", para continuar con el proceso de tu *"&amp;$D110&amp;"* por "&amp;$F110&amp;",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Clientes.")&amp;CHAR(10)&amp;CHAR(10)&amp;Config!$B$1),IF(D110="","",SUBSTITUTE(SUBSTITUTE(INDEX('Catálogo Mensajes'!$D:$J,MATCH($D110,'Catálogo Mensajes'!$B:$B,0),MATCH($H110,'Catálogo Mensajes'!$D$4:$J$4,0)),"{NOMBRE}",$B110),"{PROMO}",'Catálogo Mensajes'!$C$2)&amp;CHAR(10)&amp;CHAR(10)&amp;Config!$B$1))))),"")</f>
        <v/>
      </c>
      <c r="P110" s="13">
        <f>IF(OR(O110="",C110=""),"",HYPERLINK("https://wa.me/52"&amp;C110&amp;"?text="&amp;_xlfn.ENCODEURL(O110),"Enviar mensaje"))</f>
        <v/>
      </c>
      <c r="Q110" s="13">
        <f>IF(OR(I110="",L110="Realizado",L110="Cancelado"),"",SUMPRODUCT(($I$2:$I$151&lt;I110)*($I$2:$I$151&gt;=DATE(Calendario!$C$3,Calendario!$C$2,1))*($I$2:$I$151&lt;DATE(Calendario!$C$3,Calendario!$C$2+1,1))*($L$2:$L$151&lt;&gt;"Realizado")*($L$2:$L$151&lt;&gt;"Cancelado"))+SUMPRODUCT(($I$2:$I$151=I110)*(ROW($I$2:$I$151)&lt;=ROW())*($I$2:$I$151&gt;=DATE(Calendario!$C$3,Calendario!$C$2,1))*($I$2:$I$151&lt;DATE(Calendario!$C$3,Calendario!$C$2+1,1))*($L$2:$L$151&lt;&gt;"Realizado")*($L$2:$L$151&lt;&gt;"Cancelado")))</f>
        <v/>
      </c>
    </row>
    <row r="111" ht="15" customHeight="1" s="1">
      <c r="A111" s="13">
        <f>IF(B111="","",ROW()-1)</f>
        <v/>
      </c>
      <c r="B111" s="14" t="n"/>
      <c r="C111" s="13">
        <f>IFERROR(INDEX(Clientes!$C:$C,MATCH(B111,Clientes!$B:$B,0)),"")</f>
        <v/>
      </c>
      <c r="D111" s="14">
        <f>IFERROR(INDEX(Clientes!$D:$D,MATCH(B111,Clientes!$B:$B,0)),"")</f>
        <v/>
      </c>
      <c r="E111" s="14">
        <f>IFERROR(INDEX(Clientes!$M:$M,MATCH(B111,Clientes!$B:$B,0)),"")</f>
        <v/>
      </c>
      <c r="F111" s="14">
        <f>IFERROR(INDEX(Clientes!$F:$F,MATCH(B111,Clientes!$B:$B,0)),"")</f>
        <v/>
      </c>
      <c r="G111" s="14">
        <f>IFERROR(INDEX(Clientes!$G:$G,MATCH(B111,Clientes!$B:$B,0)),"")</f>
        <v/>
      </c>
      <c r="H111" s="14" t="n"/>
      <c r="I111" s="15" t="n"/>
      <c r="J111" s="16" t="n"/>
      <c r="K111" s="14" t="n"/>
      <c r="L111" s="14" t="n"/>
      <c r="M111" s="13">
        <f>IF(I111="","",I111-TODAY())</f>
        <v/>
      </c>
      <c r="N111" s="14" t="n"/>
      <c r="O111" s="14">
        <f>IFERROR(IF(B111="","",IF(H111="","",IF(H111="Otro (mensaje libre)","",IF(H111="Requisitos (Crédito/Contado)",IF(OR(F111="",G111=""),"Indica primero el Método de Compra y el Tipo de Persona del cliente en la pestaña Clientes.",_xlfn.SWITCH($F111&amp;"|"&amp;$G111,"Crédito|Persona física","Hola, "&amp;$B111&amp;", para continuar con el proceso de tu *"&amp;$D111&amp;"* por "&amp;$F111&amp;",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"&amp;$B111&amp;", para continuar con el proceso de tu *"&amp;$D111&amp;"* por "&amp;$F111&amp;",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"&amp;$B111&amp;", para continuar con el proceso de tu *"&amp;$D111&amp;"* por "&amp;$F111&amp;",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"&amp;$B111&amp;", para continuar con el proceso de tu *"&amp;$D111&amp;"* por "&amp;$F111&amp;", estos son los documentos que necesitamos:"&amp;CHAR(10)&amp;CHAR(10)&amp;"- INE"&amp;CHAR(10)&amp;"- Comprobante de domicilio"&amp;CHAR(10)&amp;"- Constancia de situación fiscal (no mayor a 3 meses)","Contado|Persona física con actividad empresarial","Hola, "&amp;$B111&amp;", para continuar con el proceso de tu *"&amp;$D111&amp;"* por "&amp;$F111&amp;", estos son los documentos que necesitamos:"&amp;CHAR(10)&amp;CHAR(10)&amp;"- INE"&amp;CHAR(10)&amp;"- Comprobante de domicilio"&amp;CHAR(10)&amp;"- Constancia de situación fiscal (no mayor a 3 meses)","Contado|Persona moral","Hola, "&amp;$B111&amp;", para continuar con el proceso de tu *"&amp;$D111&amp;"* por "&amp;$F111&amp;",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Clientes.")&amp;CHAR(10)&amp;CHAR(10)&amp;Config!$B$1),IF(D111="","",SUBSTITUTE(SUBSTITUTE(INDEX('Catálogo Mensajes'!$D:$J,MATCH($D111,'Catálogo Mensajes'!$B:$B,0),MATCH($H111,'Catálogo Mensajes'!$D$4:$J$4,0)),"{NOMBRE}",$B111),"{PROMO}",'Catálogo Mensajes'!$C$2)&amp;CHAR(10)&amp;CHAR(10)&amp;Config!$B$1))))),"")</f>
        <v/>
      </c>
      <c r="P111" s="13">
        <f>IF(OR(O111="",C111=""),"",HYPERLINK("https://wa.me/52"&amp;C111&amp;"?text="&amp;_xlfn.ENCODEURL(O111),"Enviar mensaje"))</f>
        <v/>
      </c>
      <c r="Q111" s="13">
        <f>IF(OR(I111="",L111="Realizado",L111="Cancelado"),"",SUMPRODUCT(($I$2:$I$151&lt;I111)*($I$2:$I$151&gt;=DATE(Calendario!$C$3,Calendario!$C$2,1))*($I$2:$I$151&lt;DATE(Calendario!$C$3,Calendario!$C$2+1,1))*($L$2:$L$151&lt;&gt;"Realizado")*($L$2:$L$151&lt;&gt;"Cancelado"))+SUMPRODUCT(($I$2:$I$151=I111)*(ROW($I$2:$I$151)&lt;=ROW())*($I$2:$I$151&gt;=DATE(Calendario!$C$3,Calendario!$C$2,1))*($I$2:$I$151&lt;DATE(Calendario!$C$3,Calendario!$C$2+1,1))*($L$2:$L$151&lt;&gt;"Realizado")*($L$2:$L$151&lt;&gt;"Cancelado")))</f>
        <v/>
      </c>
    </row>
    <row r="112" ht="15" customHeight="1" s="1">
      <c r="A112" s="13">
        <f>IF(B112="","",ROW()-1)</f>
        <v/>
      </c>
      <c r="B112" s="14" t="n"/>
      <c r="C112" s="13">
        <f>IFERROR(INDEX(Clientes!$C:$C,MATCH(B112,Clientes!$B:$B,0)),"")</f>
        <v/>
      </c>
      <c r="D112" s="14">
        <f>IFERROR(INDEX(Clientes!$D:$D,MATCH(B112,Clientes!$B:$B,0)),"")</f>
        <v/>
      </c>
      <c r="E112" s="14">
        <f>IFERROR(INDEX(Clientes!$M:$M,MATCH(B112,Clientes!$B:$B,0)),"")</f>
        <v/>
      </c>
      <c r="F112" s="14">
        <f>IFERROR(INDEX(Clientes!$F:$F,MATCH(B112,Clientes!$B:$B,0)),"")</f>
        <v/>
      </c>
      <c r="G112" s="14">
        <f>IFERROR(INDEX(Clientes!$G:$G,MATCH(B112,Clientes!$B:$B,0)),"")</f>
        <v/>
      </c>
      <c r="H112" s="14" t="n"/>
      <c r="I112" s="15" t="n"/>
      <c r="J112" s="16" t="n"/>
      <c r="K112" s="14" t="n"/>
      <c r="L112" s="14" t="n"/>
      <c r="M112" s="13">
        <f>IF(I112="","",I112-TODAY())</f>
        <v/>
      </c>
      <c r="N112" s="14" t="n"/>
      <c r="O112" s="14">
        <f>IFERROR(IF(B112="","",IF(H112="","",IF(H112="Otro (mensaje libre)","",IF(H112="Requisitos (Crédito/Contado)",IF(OR(F112="",G112=""),"Indica primero el Método de Compra y el Tipo de Persona del cliente en la pestaña Clientes.",_xlfn.SWITCH($F112&amp;"|"&amp;$G112,"Crédito|Persona física","Hola, "&amp;$B112&amp;", para continuar con el proceso de tu *"&amp;$D112&amp;"* por "&amp;$F112&amp;",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"&amp;$B112&amp;", para continuar con el proceso de tu *"&amp;$D112&amp;"* por "&amp;$F112&amp;",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"&amp;$B112&amp;", para continuar con el proceso de tu *"&amp;$D112&amp;"* por "&amp;$F112&amp;",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"&amp;$B112&amp;", para continuar con el proceso de tu *"&amp;$D112&amp;"* por "&amp;$F112&amp;", estos son los documentos que necesitamos:"&amp;CHAR(10)&amp;CHAR(10)&amp;"- INE"&amp;CHAR(10)&amp;"- Comprobante de domicilio"&amp;CHAR(10)&amp;"- Constancia de situación fiscal (no mayor a 3 meses)","Contado|Persona física con actividad empresarial","Hola, "&amp;$B112&amp;", para continuar con el proceso de tu *"&amp;$D112&amp;"* por "&amp;$F112&amp;", estos son los documentos que necesitamos:"&amp;CHAR(10)&amp;CHAR(10)&amp;"- INE"&amp;CHAR(10)&amp;"- Comprobante de domicilio"&amp;CHAR(10)&amp;"- Constancia de situación fiscal (no mayor a 3 meses)","Contado|Persona moral","Hola, "&amp;$B112&amp;", para continuar con el proceso de tu *"&amp;$D112&amp;"* por "&amp;$F112&amp;",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Clientes.")&amp;CHAR(10)&amp;CHAR(10)&amp;Config!$B$1),IF(D112="","",SUBSTITUTE(SUBSTITUTE(INDEX('Catálogo Mensajes'!$D:$J,MATCH($D112,'Catálogo Mensajes'!$B:$B,0),MATCH($H112,'Catálogo Mensajes'!$D$4:$J$4,0)),"{NOMBRE}",$B112),"{PROMO}",'Catálogo Mensajes'!$C$2)&amp;CHAR(10)&amp;CHAR(10)&amp;Config!$B$1))))),"")</f>
        <v/>
      </c>
      <c r="P112" s="13">
        <f>IF(OR(O112="",C112=""),"",HYPERLINK("https://wa.me/52"&amp;C112&amp;"?text="&amp;_xlfn.ENCODEURL(O112),"Enviar mensaje"))</f>
        <v/>
      </c>
      <c r="Q112" s="13">
        <f>IF(OR(I112="",L112="Realizado",L112="Cancelado"),"",SUMPRODUCT(($I$2:$I$151&lt;I112)*($I$2:$I$151&gt;=DATE(Calendario!$C$3,Calendario!$C$2,1))*($I$2:$I$151&lt;DATE(Calendario!$C$3,Calendario!$C$2+1,1))*($L$2:$L$151&lt;&gt;"Realizado")*($L$2:$L$151&lt;&gt;"Cancelado"))+SUMPRODUCT(($I$2:$I$151=I112)*(ROW($I$2:$I$151)&lt;=ROW())*($I$2:$I$151&gt;=DATE(Calendario!$C$3,Calendario!$C$2,1))*($I$2:$I$151&lt;DATE(Calendario!$C$3,Calendario!$C$2+1,1))*($L$2:$L$151&lt;&gt;"Realizado")*($L$2:$L$151&lt;&gt;"Cancelado")))</f>
        <v/>
      </c>
    </row>
    <row r="113" ht="15" customHeight="1" s="1">
      <c r="A113" s="13">
        <f>IF(B113="","",ROW()-1)</f>
        <v/>
      </c>
      <c r="B113" s="14" t="n"/>
      <c r="C113" s="13">
        <f>IFERROR(INDEX(Clientes!$C:$C,MATCH(B113,Clientes!$B:$B,0)),"")</f>
        <v/>
      </c>
      <c r="D113" s="14">
        <f>IFERROR(INDEX(Clientes!$D:$D,MATCH(B113,Clientes!$B:$B,0)),"")</f>
        <v/>
      </c>
      <c r="E113" s="14">
        <f>IFERROR(INDEX(Clientes!$M:$M,MATCH(B113,Clientes!$B:$B,0)),"")</f>
        <v/>
      </c>
      <c r="F113" s="14">
        <f>IFERROR(INDEX(Clientes!$F:$F,MATCH(B113,Clientes!$B:$B,0)),"")</f>
        <v/>
      </c>
      <c r="G113" s="14">
        <f>IFERROR(INDEX(Clientes!$G:$G,MATCH(B113,Clientes!$B:$B,0)),"")</f>
        <v/>
      </c>
      <c r="H113" s="14" t="n"/>
      <c r="I113" s="15" t="n"/>
      <c r="J113" s="16" t="n"/>
      <c r="K113" s="14" t="n"/>
      <c r="L113" s="14" t="n"/>
      <c r="M113" s="13">
        <f>IF(I113="","",I113-TODAY())</f>
        <v/>
      </c>
      <c r="N113" s="14" t="n"/>
      <c r="O113" s="14">
        <f>IFERROR(IF(B113="","",IF(H113="","",IF(H113="Otro (mensaje libre)","",IF(H113="Requisitos (Crédito/Contado)",IF(OR(F113="",G113=""),"Indica primero el Método de Compra y el Tipo de Persona del cliente en la pestaña Clientes.",_xlfn.SWITCH($F113&amp;"|"&amp;$G113,"Crédito|Persona física","Hola, "&amp;$B113&amp;", para continuar con el proceso de tu *"&amp;$D113&amp;"* por "&amp;$F113&amp;",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"&amp;$B113&amp;", para continuar con el proceso de tu *"&amp;$D113&amp;"* por "&amp;$F113&amp;",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"&amp;$B113&amp;", para continuar con el proceso de tu *"&amp;$D113&amp;"* por "&amp;$F113&amp;",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"&amp;$B113&amp;", para continuar con el proceso de tu *"&amp;$D113&amp;"* por "&amp;$F113&amp;", estos son los documentos que necesitamos:"&amp;CHAR(10)&amp;CHAR(10)&amp;"- INE"&amp;CHAR(10)&amp;"- Comprobante de domicilio"&amp;CHAR(10)&amp;"- Constancia de situación fiscal (no mayor a 3 meses)","Contado|Persona física con actividad empresarial","Hola, "&amp;$B113&amp;", para continuar con el proceso de tu *"&amp;$D113&amp;"* por "&amp;$F113&amp;", estos son los documentos que necesitamos:"&amp;CHAR(10)&amp;CHAR(10)&amp;"- INE"&amp;CHAR(10)&amp;"- Comprobante de domicilio"&amp;CHAR(10)&amp;"- Constancia de situación fiscal (no mayor a 3 meses)","Contado|Persona moral","Hola, "&amp;$B113&amp;", para continuar con el proceso de tu *"&amp;$D113&amp;"* por "&amp;$F113&amp;",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Clientes.")&amp;CHAR(10)&amp;CHAR(10)&amp;Config!$B$1),IF(D113="","",SUBSTITUTE(SUBSTITUTE(INDEX('Catálogo Mensajes'!$D:$J,MATCH($D113,'Catálogo Mensajes'!$B:$B,0),MATCH($H113,'Catálogo Mensajes'!$D$4:$J$4,0)),"{NOMBRE}",$B113),"{PROMO}",'Catálogo Mensajes'!$C$2)&amp;CHAR(10)&amp;CHAR(10)&amp;Config!$B$1))))),"")</f>
        <v/>
      </c>
      <c r="P113" s="13">
        <f>IF(OR(O113="",C113=""),"",HYPERLINK("https://wa.me/52"&amp;C113&amp;"?text="&amp;_xlfn.ENCODEURL(O113),"Enviar mensaje"))</f>
        <v/>
      </c>
      <c r="Q113" s="13">
        <f>IF(OR(I113="",L113="Realizado",L113="Cancelado"),"",SUMPRODUCT(($I$2:$I$151&lt;I113)*($I$2:$I$151&gt;=DATE(Calendario!$C$3,Calendario!$C$2,1))*($I$2:$I$151&lt;DATE(Calendario!$C$3,Calendario!$C$2+1,1))*($L$2:$L$151&lt;&gt;"Realizado")*($L$2:$L$151&lt;&gt;"Cancelado"))+SUMPRODUCT(($I$2:$I$151=I113)*(ROW($I$2:$I$151)&lt;=ROW())*($I$2:$I$151&gt;=DATE(Calendario!$C$3,Calendario!$C$2,1))*($I$2:$I$151&lt;DATE(Calendario!$C$3,Calendario!$C$2+1,1))*($L$2:$L$151&lt;&gt;"Realizado")*($L$2:$L$151&lt;&gt;"Cancelado")))</f>
        <v/>
      </c>
    </row>
    <row r="114" ht="15" customHeight="1" s="1">
      <c r="A114" s="13">
        <f>IF(B114="","",ROW()-1)</f>
        <v/>
      </c>
      <c r="B114" s="14" t="n"/>
      <c r="C114" s="13">
        <f>IFERROR(INDEX(Clientes!$C:$C,MATCH(B114,Clientes!$B:$B,0)),"")</f>
        <v/>
      </c>
      <c r="D114" s="14">
        <f>IFERROR(INDEX(Clientes!$D:$D,MATCH(B114,Clientes!$B:$B,0)),"")</f>
        <v/>
      </c>
      <c r="E114" s="14">
        <f>IFERROR(INDEX(Clientes!$M:$M,MATCH(B114,Clientes!$B:$B,0)),"")</f>
        <v/>
      </c>
      <c r="F114" s="14">
        <f>IFERROR(INDEX(Clientes!$F:$F,MATCH(B114,Clientes!$B:$B,0)),"")</f>
        <v/>
      </c>
      <c r="G114" s="14">
        <f>IFERROR(INDEX(Clientes!$G:$G,MATCH(B114,Clientes!$B:$B,0)),"")</f>
        <v/>
      </c>
      <c r="H114" s="14" t="n"/>
      <c r="I114" s="15" t="n"/>
      <c r="J114" s="16" t="n"/>
      <c r="K114" s="14" t="n"/>
      <c r="L114" s="14" t="n"/>
      <c r="M114" s="13">
        <f>IF(I114="","",I114-TODAY())</f>
        <v/>
      </c>
      <c r="N114" s="14" t="n"/>
      <c r="O114" s="14">
        <f>IFERROR(IF(B114="","",IF(H114="","",IF(H114="Otro (mensaje libre)","",IF(H114="Requisitos (Crédito/Contado)",IF(OR(F114="",G114=""),"Indica primero el Método de Compra y el Tipo de Persona del cliente en la pestaña Clientes.",_xlfn.SWITCH($F114&amp;"|"&amp;$G114,"Crédito|Persona física","Hola, "&amp;$B114&amp;", para continuar con el proceso de tu *"&amp;$D114&amp;"* por "&amp;$F114&amp;",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"&amp;$B114&amp;", para continuar con el proceso de tu *"&amp;$D114&amp;"* por "&amp;$F114&amp;",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"&amp;$B114&amp;", para continuar con el proceso de tu *"&amp;$D114&amp;"* por "&amp;$F114&amp;",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"&amp;$B114&amp;", para continuar con el proceso de tu *"&amp;$D114&amp;"* por "&amp;$F114&amp;", estos son los documentos que necesitamos:"&amp;CHAR(10)&amp;CHAR(10)&amp;"- INE"&amp;CHAR(10)&amp;"- Comprobante de domicilio"&amp;CHAR(10)&amp;"- Constancia de situación fiscal (no mayor a 3 meses)","Contado|Persona física con actividad empresarial","Hola, "&amp;$B114&amp;", para continuar con el proceso de tu *"&amp;$D114&amp;"* por "&amp;$F114&amp;", estos son los documentos que necesitamos:"&amp;CHAR(10)&amp;CHAR(10)&amp;"- INE"&amp;CHAR(10)&amp;"- Comprobante de domicilio"&amp;CHAR(10)&amp;"- Constancia de situación fiscal (no mayor a 3 meses)","Contado|Persona moral","Hola, "&amp;$B114&amp;", para continuar con el proceso de tu *"&amp;$D114&amp;"* por "&amp;$F114&amp;",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Clientes.")&amp;CHAR(10)&amp;CHAR(10)&amp;Config!$B$1),IF(D114="","",SUBSTITUTE(SUBSTITUTE(INDEX('Catálogo Mensajes'!$D:$J,MATCH($D114,'Catálogo Mensajes'!$B:$B,0),MATCH($H114,'Catálogo Mensajes'!$D$4:$J$4,0)),"{NOMBRE}",$B114),"{PROMO}",'Catálogo Mensajes'!$C$2)&amp;CHAR(10)&amp;CHAR(10)&amp;Config!$B$1))))),"")</f>
        <v/>
      </c>
      <c r="P114" s="13">
        <f>IF(OR(O114="",C114=""),"",HYPERLINK("https://wa.me/52"&amp;C114&amp;"?text="&amp;_xlfn.ENCODEURL(O114),"Enviar mensaje"))</f>
        <v/>
      </c>
      <c r="Q114" s="13">
        <f>IF(OR(I114="",L114="Realizado",L114="Cancelado"),"",SUMPRODUCT(($I$2:$I$151&lt;I114)*($I$2:$I$151&gt;=DATE(Calendario!$C$3,Calendario!$C$2,1))*($I$2:$I$151&lt;DATE(Calendario!$C$3,Calendario!$C$2+1,1))*($L$2:$L$151&lt;&gt;"Realizado")*($L$2:$L$151&lt;&gt;"Cancelado"))+SUMPRODUCT(($I$2:$I$151=I114)*(ROW($I$2:$I$151)&lt;=ROW())*($I$2:$I$151&gt;=DATE(Calendario!$C$3,Calendario!$C$2,1))*($I$2:$I$151&lt;DATE(Calendario!$C$3,Calendario!$C$2+1,1))*($L$2:$L$151&lt;&gt;"Realizado")*($L$2:$L$151&lt;&gt;"Cancelado")))</f>
        <v/>
      </c>
    </row>
    <row r="115" ht="15" customHeight="1" s="1">
      <c r="A115" s="13">
        <f>IF(B115="","",ROW()-1)</f>
        <v/>
      </c>
      <c r="B115" s="14" t="n"/>
      <c r="C115" s="13">
        <f>IFERROR(INDEX(Clientes!$C:$C,MATCH(B115,Clientes!$B:$B,0)),"")</f>
        <v/>
      </c>
      <c r="D115" s="14">
        <f>IFERROR(INDEX(Clientes!$D:$D,MATCH(B115,Clientes!$B:$B,0)),"")</f>
        <v/>
      </c>
      <c r="E115" s="14">
        <f>IFERROR(INDEX(Clientes!$M:$M,MATCH(B115,Clientes!$B:$B,0)),"")</f>
        <v/>
      </c>
      <c r="F115" s="14">
        <f>IFERROR(INDEX(Clientes!$F:$F,MATCH(B115,Clientes!$B:$B,0)),"")</f>
        <v/>
      </c>
      <c r="G115" s="14">
        <f>IFERROR(INDEX(Clientes!$G:$G,MATCH(B115,Clientes!$B:$B,0)),"")</f>
        <v/>
      </c>
      <c r="H115" s="14" t="n"/>
      <c r="I115" s="15" t="n"/>
      <c r="J115" s="16" t="n"/>
      <c r="K115" s="14" t="n"/>
      <c r="L115" s="14" t="n"/>
      <c r="M115" s="13">
        <f>IF(I115="","",I115-TODAY())</f>
        <v/>
      </c>
      <c r="N115" s="14" t="n"/>
      <c r="O115" s="14">
        <f>IFERROR(IF(B115="","",IF(H115="","",IF(H115="Otro (mensaje libre)","",IF(H115="Requisitos (Crédito/Contado)",IF(OR(F115="",G115=""),"Indica primero el Método de Compra y el Tipo de Persona del cliente en la pestaña Clientes.",_xlfn.SWITCH($F115&amp;"|"&amp;$G115,"Crédito|Persona física","Hola, "&amp;$B115&amp;", para continuar con el proceso de tu *"&amp;$D115&amp;"* por "&amp;$F115&amp;",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"&amp;$B115&amp;", para continuar con el proceso de tu *"&amp;$D115&amp;"* por "&amp;$F115&amp;",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"&amp;$B115&amp;", para continuar con el proceso de tu *"&amp;$D115&amp;"* por "&amp;$F115&amp;",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"&amp;$B115&amp;", para continuar con el proceso de tu *"&amp;$D115&amp;"* por "&amp;$F115&amp;", estos son los documentos que necesitamos:"&amp;CHAR(10)&amp;CHAR(10)&amp;"- INE"&amp;CHAR(10)&amp;"- Comprobante de domicilio"&amp;CHAR(10)&amp;"- Constancia de situación fiscal (no mayor a 3 meses)","Contado|Persona física con actividad empresarial","Hola, "&amp;$B115&amp;", para continuar con el proceso de tu *"&amp;$D115&amp;"* por "&amp;$F115&amp;", estos son los documentos que necesitamos:"&amp;CHAR(10)&amp;CHAR(10)&amp;"- INE"&amp;CHAR(10)&amp;"- Comprobante de domicilio"&amp;CHAR(10)&amp;"- Constancia de situación fiscal (no mayor a 3 meses)","Contado|Persona moral","Hola, "&amp;$B115&amp;", para continuar con el proceso de tu *"&amp;$D115&amp;"* por "&amp;$F115&amp;",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Clientes.")&amp;CHAR(10)&amp;CHAR(10)&amp;Config!$B$1),IF(D115="","",SUBSTITUTE(SUBSTITUTE(INDEX('Catálogo Mensajes'!$D:$J,MATCH($D115,'Catálogo Mensajes'!$B:$B,0),MATCH($H115,'Catálogo Mensajes'!$D$4:$J$4,0)),"{NOMBRE}",$B115),"{PROMO}",'Catálogo Mensajes'!$C$2)&amp;CHAR(10)&amp;CHAR(10)&amp;Config!$B$1))))),"")</f>
        <v/>
      </c>
      <c r="P115" s="13">
        <f>IF(OR(O115="",C115=""),"",HYPERLINK("https://wa.me/52"&amp;C115&amp;"?text="&amp;_xlfn.ENCODEURL(O115),"Enviar mensaje"))</f>
        <v/>
      </c>
      <c r="Q115" s="13">
        <f>IF(OR(I115="",L115="Realizado",L115="Cancelado"),"",SUMPRODUCT(($I$2:$I$151&lt;I115)*($I$2:$I$151&gt;=DATE(Calendario!$C$3,Calendario!$C$2,1))*($I$2:$I$151&lt;DATE(Calendario!$C$3,Calendario!$C$2+1,1))*($L$2:$L$151&lt;&gt;"Realizado")*($L$2:$L$151&lt;&gt;"Cancelado"))+SUMPRODUCT(($I$2:$I$151=I115)*(ROW($I$2:$I$151)&lt;=ROW())*($I$2:$I$151&gt;=DATE(Calendario!$C$3,Calendario!$C$2,1))*($I$2:$I$151&lt;DATE(Calendario!$C$3,Calendario!$C$2+1,1))*($L$2:$L$151&lt;&gt;"Realizado")*($L$2:$L$151&lt;&gt;"Cancelado")))</f>
        <v/>
      </c>
    </row>
    <row r="116" ht="15" customHeight="1" s="1">
      <c r="A116" s="13">
        <f>IF(B116="","",ROW()-1)</f>
        <v/>
      </c>
      <c r="B116" s="14" t="n"/>
      <c r="C116" s="13">
        <f>IFERROR(INDEX(Clientes!$C:$C,MATCH(B116,Clientes!$B:$B,0)),"")</f>
        <v/>
      </c>
      <c r="D116" s="14">
        <f>IFERROR(INDEX(Clientes!$D:$D,MATCH(B116,Clientes!$B:$B,0)),"")</f>
        <v/>
      </c>
      <c r="E116" s="14">
        <f>IFERROR(INDEX(Clientes!$M:$M,MATCH(B116,Clientes!$B:$B,0)),"")</f>
        <v/>
      </c>
      <c r="F116" s="14">
        <f>IFERROR(INDEX(Clientes!$F:$F,MATCH(B116,Clientes!$B:$B,0)),"")</f>
        <v/>
      </c>
      <c r="G116" s="14">
        <f>IFERROR(INDEX(Clientes!$G:$G,MATCH(B116,Clientes!$B:$B,0)),"")</f>
        <v/>
      </c>
      <c r="H116" s="14" t="n"/>
      <c r="I116" s="15" t="n"/>
      <c r="J116" s="16" t="n"/>
      <c r="K116" s="14" t="n"/>
      <c r="L116" s="14" t="n"/>
      <c r="M116" s="13">
        <f>IF(I116="","",I116-TODAY())</f>
        <v/>
      </c>
      <c r="N116" s="14" t="n"/>
      <c r="O116" s="14">
        <f>IFERROR(IF(B116="","",IF(H116="","",IF(H116="Otro (mensaje libre)","",IF(H116="Requisitos (Crédito/Contado)",IF(OR(F116="",G116=""),"Indica primero el Método de Compra y el Tipo de Persona del cliente en la pestaña Clientes.",_xlfn.SWITCH($F116&amp;"|"&amp;$G116,"Crédito|Persona física","Hola, "&amp;$B116&amp;", para continuar con el proceso de tu *"&amp;$D116&amp;"* por "&amp;$F116&amp;",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"&amp;$B116&amp;", para continuar con el proceso de tu *"&amp;$D116&amp;"* por "&amp;$F116&amp;",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"&amp;$B116&amp;", para continuar con el proceso de tu *"&amp;$D116&amp;"* por "&amp;$F116&amp;",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"&amp;$B116&amp;", para continuar con el proceso de tu *"&amp;$D116&amp;"* por "&amp;$F116&amp;", estos son los documentos que necesitamos:"&amp;CHAR(10)&amp;CHAR(10)&amp;"- INE"&amp;CHAR(10)&amp;"- Comprobante de domicilio"&amp;CHAR(10)&amp;"- Constancia de situación fiscal (no mayor a 3 meses)","Contado|Persona física con actividad empresarial","Hola, "&amp;$B116&amp;", para continuar con el proceso de tu *"&amp;$D116&amp;"* por "&amp;$F116&amp;", estos son los documentos que necesitamos:"&amp;CHAR(10)&amp;CHAR(10)&amp;"- INE"&amp;CHAR(10)&amp;"- Comprobante de domicilio"&amp;CHAR(10)&amp;"- Constancia de situación fiscal (no mayor a 3 meses)","Contado|Persona moral","Hola, "&amp;$B116&amp;", para continuar con el proceso de tu *"&amp;$D116&amp;"* por "&amp;$F116&amp;",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Clientes.")&amp;CHAR(10)&amp;CHAR(10)&amp;Config!$B$1),IF(D116="","",SUBSTITUTE(SUBSTITUTE(INDEX('Catálogo Mensajes'!$D:$J,MATCH($D116,'Catálogo Mensajes'!$B:$B,0),MATCH($H116,'Catálogo Mensajes'!$D$4:$J$4,0)),"{NOMBRE}",$B116),"{PROMO}",'Catálogo Mensajes'!$C$2)&amp;CHAR(10)&amp;CHAR(10)&amp;Config!$B$1))))),"")</f>
        <v/>
      </c>
      <c r="P116" s="13">
        <f>IF(OR(O116="",C116=""),"",HYPERLINK("https://wa.me/52"&amp;C116&amp;"?text="&amp;_xlfn.ENCODEURL(O116),"Enviar mensaje"))</f>
        <v/>
      </c>
      <c r="Q116" s="13">
        <f>IF(OR(I116="",L116="Realizado",L116="Cancelado"),"",SUMPRODUCT(($I$2:$I$151&lt;I116)*($I$2:$I$151&gt;=DATE(Calendario!$C$3,Calendario!$C$2,1))*($I$2:$I$151&lt;DATE(Calendario!$C$3,Calendario!$C$2+1,1))*($L$2:$L$151&lt;&gt;"Realizado")*($L$2:$L$151&lt;&gt;"Cancelado"))+SUMPRODUCT(($I$2:$I$151=I116)*(ROW($I$2:$I$151)&lt;=ROW())*($I$2:$I$151&gt;=DATE(Calendario!$C$3,Calendario!$C$2,1))*($I$2:$I$151&lt;DATE(Calendario!$C$3,Calendario!$C$2+1,1))*($L$2:$L$151&lt;&gt;"Realizado")*($L$2:$L$151&lt;&gt;"Cancelado")))</f>
        <v/>
      </c>
    </row>
    <row r="117" ht="15" customHeight="1" s="1">
      <c r="A117" s="13">
        <f>IF(B117="","",ROW()-1)</f>
        <v/>
      </c>
      <c r="B117" s="14" t="n"/>
      <c r="C117" s="13">
        <f>IFERROR(INDEX(Clientes!$C:$C,MATCH(B117,Clientes!$B:$B,0)),"")</f>
        <v/>
      </c>
      <c r="D117" s="14">
        <f>IFERROR(INDEX(Clientes!$D:$D,MATCH(B117,Clientes!$B:$B,0)),"")</f>
        <v/>
      </c>
      <c r="E117" s="14">
        <f>IFERROR(INDEX(Clientes!$M:$M,MATCH(B117,Clientes!$B:$B,0)),"")</f>
        <v/>
      </c>
      <c r="F117" s="14">
        <f>IFERROR(INDEX(Clientes!$F:$F,MATCH(B117,Clientes!$B:$B,0)),"")</f>
        <v/>
      </c>
      <c r="G117" s="14">
        <f>IFERROR(INDEX(Clientes!$G:$G,MATCH(B117,Clientes!$B:$B,0)),"")</f>
        <v/>
      </c>
      <c r="H117" s="14" t="n"/>
      <c r="I117" s="15" t="n"/>
      <c r="J117" s="16" t="n"/>
      <c r="K117" s="14" t="n"/>
      <c r="L117" s="14" t="n"/>
      <c r="M117" s="13">
        <f>IF(I117="","",I117-TODAY())</f>
        <v/>
      </c>
      <c r="N117" s="14" t="n"/>
      <c r="O117" s="14">
        <f>IFERROR(IF(B117="","",IF(H117="","",IF(H117="Otro (mensaje libre)","",IF(H117="Requisitos (Crédito/Contado)",IF(OR(F117="",G117=""),"Indica primero el Método de Compra y el Tipo de Persona del cliente en la pestaña Clientes.",_xlfn.SWITCH($F117&amp;"|"&amp;$G117,"Crédito|Persona física","Hola, "&amp;$B117&amp;", para continuar con el proceso de tu *"&amp;$D117&amp;"* por "&amp;$F117&amp;",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"&amp;$B117&amp;", para continuar con el proceso de tu *"&amp;$D117&amp;"* por "&amp;$F117&amp;",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"&amp;$B117&amp;", para continuar con el proceso de tu *"&amp;$D117&amp;"* por "&amp;$F117&amp;",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"&amp;$B117&amp;", para continuar con el proceso de tu *"&amp;$D117&amp;"* por "&amp;$F117&amp;", estos son los documentos que necesitamos:"&amp;CHAR(10)&amp;CHAR(10)&amp;"- INE"&amp;CHAR(10)&amp;"- Comprobante de domicilio"&amp;CHAR(10)&amp;"- Constancia de situación fiscal (no mayor a 3 meses)","Contado|Persona física con actividad empresarial","Hola, "&amp;$B117&amp;", para continuar con el proceso de tu *"&amp;$D117&amp;"* por "&amp;$F117&amp;", estos son los documentos que necesitamos:"&amp;CHAR(10)&amp;CHAR(10)&amp;"- INE"&amp;CHAR(10)&amp;"- Comprobante de domicilio"&amp;CHAR(10)&amp;"- Constancia de situación fiscal (no mayor a 3 meses)","Contado|Persona moral","Hola, "&amp;$B117&amp;", para continuar con el proceso de tu *"&amp;$D117&amp;"* por "&amp;$F117&amp;",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Clientes.")&amp;CHAR(10)&amp;CHAR(10)&amp;Config!$B$1),IF(D117="","",SUBSTITUTE(SUBSTITUTE(INDEX('Catálogo Mensajes'!$D:$J,MATCH($D117,'Catálogo Mensajes'!$B:$B,0),MATCH($H117,'Catálogo Mensajes'!$D$4:$J$4,0)),"{NOMBRE}",$B117),"{PROMO}",'Catálogo Mensajes'!$C$2)&amp;CHAR(10)&amp;CHAR(10)&amp;Config!$B$1))))),"")</f>
        <v/>
      </c>
      <c r="P117" s="13">
        <f>IF(OR(O117="",C117=""),"",HYPERLINK("https://wa.me/52"&amp;C117&amp;"?text="&amp;_xlfn.ENCODEURL(O117),"Enviar mensaje"))</f>
        <v/>
      </c>
      <c r="Q117" s="13">
        <f>IF(OR(I117="",L117="Realizado",L117="Cancelado"),"",SUMPRODUCT(($I$2:$I$151&lt;I117)*($I$2:$I$151&gt;=DATE(Calendario!$C$3,Calendario!$C$2,1))*($I$2:$I$151&lt;DATE(Calendario!$C$3,Calendario!$C$2+1,1))*($L$2:$L$151&lt;&gt;"Realizado")*($L$2:$L$151&lt;&gt;"Cancelado"))+SUMPRODUCT(($I$2:$I$151=I117)*(ROW($I$2:$I$151)&lt;=ROW())*($I$2:$I$151&gt;=DATE(Calendario!$C$3,Calendario!$C$2,1))*($I$2:$I$151&lt;DATE(Calendario!$C$3,Calendario!$C$2+1,1))*($L$2:$L$151&lt;&gt;"Realizado")*($L$2:$L$151&lt;&gt;"Cancelado")))</f>
        <v/>
      </c>
    </row>
    <row r="118" ht="15" customHeight="1" s="1">
      <c r="A118" s="13">
        <f>IF(B118="","",ROW()-1)</f>
        <v/>
      </c>
      <c r="B118" s="14" t="n"/>
      <c r="C118" s="13">
        <f>IFERROR(INDEX(Clientes!$C:$C,MATCH(B118,Clientes!$B:$B,0)),"")</f>
        <v/>
      </c>
      <c r="D118" s="14">
        <f>IFERROR(INDEX(Clientes!$D:$D,MATCH(B118,Clientes!$B:$B,0)),"")</f>
        <v/>
      </c>
      <c r="E118" s="14">
        <f>IFERROR(INDEX(Clientes!$M:$M,MATCH(B118,Clientes!$B:$B,0)),"")</f>
        <v/>
      </c>
      <c r="F118" s="14">
        <f>IFERROR(INDEX(Clientes!$F:$F,MATCH(B118,Clientes!$B:$B,0)),"")</f>
        <v/>
      </c>
      <c r="G118" s="14">
        <f>IFERROR(INDEX(Clientes!$G:$G,MATCH(B118,Clientes!$B:$B,0)),"")</f>
        <v/>
      </c>
      <c r="H118" s="14" t="n"/>
      <c r="I118" s="15" t="n"/>
      <c r="J118" s="16" t="n"/>
      <c r="K118" s="14" t="n"/>
      <c r="L118" s="14" t="n"/>
      <c r="M118" s="13">
        <f>IF(I118="","",I118-TODAY())</f>
        <v/>
      </c>
      <c r="N118" s="14" t="n"/>
      <c r="O118" s="14">
        <f>IFERROR(IF(B118="","",IF(H118="","",IF(H118="Otro (mensaje libre)","",IF(H118="Requisitos (Crédito/Contado)",IF(OR(F118="",G118=""),"Indica primero el Método de Compra y el Tipo de Persona del cliente en la pestaña Clientes.",_xlfn.SWITCH($F118&amp;"|"&amp;$G118,"Crédito|Persona física","Hola, "&amp;$B118&amp;", para continuar con el proceso de tu *"&amp;$D118&amp;"* por "&amp;$F118&amp;",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"&amp;$B118&amp;", para continuar con el proceso de tu *"&amp;$D118&amp;"* por "&amp;$F118&amp;",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"&amp;$B118&amp;", para continuar con el proceso de tu *"&amp;$D118&amp;"* por "&amp;$F118&amp;",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"&amp;$B118&amp;", para continuar con el proceso de tu *"&amp;$D118&amp;"* por "&amp;$F118&amp;", estos son los documentos que necesitamos:"&amp;CHAR(10)&amp;CHAR(10)&amp;"- INE"&amp;CHAR(10)&amp;"- Comprobante de domicilio"&amp;CHAR(10)&amp;"- Constancia de situación fiscal (no mayor a 3 meses)","Contado|Persona física con actividad empresarial","Hola, "&amp;$B118&amp;", para continuar con el proceso de tu *"&amp;$D118&amp;"* por "&amp;$F118&amp;", estos son los documentos que necesitamos:"&amp;CHAR(10)&amp;CHAR(10)&amp;"- INE"&amp;CHAR(10)&amp;"- Comprobante de domicilio"&amp;CHAR(10)&amp;"- Constancia de situación fiscal (no mayor a 3 meses)","Contado|Persona moral","Hola, "&amp;$B118&amp;", para continuar con el proceso de tu *"&amp;$D118&amp;"* por "&amp;$F118&amp;",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Clientes.")&amp;CHAR(10)&amp;CHAR(10)&amp;Config!$B$1),IF(D118="","",SUBSTITUTE(SUBSTITUTE(INDEX('Catálogo Mensajes'!$D:$J,MATCH($D118,'Catálogo Mensajes'!$B:$B,0),MATCH($H118,'Catálogo Mensajes'!$D$4:$J$4,0)),"{NOMBRE}",$B118),"{PROMO}",'Catálogo Mensajes'!$C$2)&amp;CHAR(10)&amp;CHAR(10)&amp;Config!$B$1))))),"")</f>
        <v/>
      </c>
      <c r="P118" s="13">
        <f>IF(OR(O118="",C118=""),"",HYPERLINK("https://wa.me/52"&amp;C118&amp;"?text="&amp;_xlfn.ENCODEURL(O118),"Enviar mensaje"))</f>
        <v/>
      </c>
      <c r="Q118" s="13">
        <f>IF(OR(I118="",L118="Realizado",L118="Cancelado"),"",SUMPRODUCT(($I$2:$I$151&lt;I118)*($I$2:$I$151&gt;=DATE(Calendario!$C$3,Calendario!$C$2,1))*($I$2:$I$151&lt;DATE(Calendario!$C$3,Calendario!$C$2+1,1))*($L$2:$L$151&lt;&gt;"Realizado")*($L$2:$L$151&lt;&gt;"Cancelado"))+SUMPRODUCT(($I$2:$I$151=I118)*(ROW($I$2:$I$151)&lt;=ROW())*($I$2:$I$151&gt;=DATE(Calendario!$C$3,Calendario!$C$2,1))*($I$2:$I$151&lt;DATE(Calendario!$C$3,Calendario!$C$2+1,1))*($L$2:$L$151&lt;&gt;"Realizado")*($L$2:$L$151&lt;&gt;"Cancelado")))</f>
        <v/>
      </c>
    </row>
    <row r="119" ht="15" customHeight="1" s="1">
      <c r="A119" s="13">
        <f>IF(B119="","",ROW()-1)</f>
        <v/>
      </c>
      <c r="B119" s="14" t="n"/>
      <c r="C119" s="13">
        <f>IFERROR(INDEX(Clientes!$C:$C,MATCH(B119,Clientes!$B:$B,0)),"")</f>
        <v/>
      </c>
      <c r="D119" s="14">
        <f>IFERROR(INDEX(Clientes!$D:$D,MATCH(B119,Clientes!$B:$B,0)),"")</f>
        <v/>
      </c>
      <c r="E119" s="14">
        <f>IFERROR(INDEX(Clientes!$M:$M,MATCH(B119,Clientes!$B:$B,0)),"")</f>
        <v/>
      </c>
      <c r="F119" s="14">
        <f>IFERROR(INDEX(Clientes!$F:$F,MATCH(B119,Clientes!$B:$B,0)),"")</f>
        <v/>
      </c>
      <c r="G119" s="14">
        <f>IFERROR(INDEX(Clientes!$G:$G,MATCH(B119,Clientes!$B:$B,0)),"")</f>
        <v/>
      </c>
      <c r="H119" s="14" t="n"/>
      <c r="I119" s="15" t="n"/>
      <c r="J119" s="16" t="n"/>
      <c r="K119" s="14" t="n"/>
      <c r="L119" s="14" t="n"/>
      <c r="M119" s="13">
        <f>IF(I119="","",I119-TODAY())</f>
        <v/>
      </c>
      <c r="N119" s="14" t="n"/>
      <c r="O119" s="14">
        <f>IFERROR(IF(B119="","",IF(H119="","",IF(H119="Otro (mensaje libre)","",IF(H119="Requisitos (Crédito/Contado)",IF(OR(F119="",G119=""),"Indica primero el Método de Compra y el Tipo de Persona del cliente en la pestaña Clientes.",_xlfn.SWITCH($F119&amp;"|"&amp;$G119,"Crédito|Persona física","Hola, "&amp;$B119&amp;", para continuar con el proceso de tu *"&amp;$D119&amp;"* por "&amp;$F119&amp;",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"&amp;$B119&amp;", para continuar con el proceso de tu *"&amp;$D119&amp;"* por "&amp;$F119&amp;",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"&amp;$B119&amp;", para continuar con el proceso de tu *"&amp;$D119&amp;"* por "&amp;$F119&amp;",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"&amp;$B119&amp;", para continuar con el proceso de tu *"&amp;$D119&amp;"* por "&amp;$F119&amp;", estos son los documentos que necesitamos:"&amp;CHAR(10)&amp;CHAR(10)&amp;"- INE"&amp;CHAR(10)&amp;"- Comprobante de domicilio"&amp;CHAR(10)&amp;"- Constancia de situación fiscal (no mayor a 3 meses)","Contado|Persona física con actividad empresarial","Hola, "&amp;$B119&amp;", para continuar con el proceso de tu *"&amp;$D119&amp;"* por "&amp;$F119&amp;", estos son los documentos que necesitamos:"&amp;CHAR(10)&amp;CHAR(10)&amp;"- INE"&amp;CHAR(10)&amp;"- Comprobante de domicilio"&amp;CHAR(10)&amp;"- Constancia de situación fiscal (no mayor a 3 meses)","Contado|Persona moral","Hola, "&amp;$B119&amp;", para continuar con el proceso de tu *"&amp;$D119&amp;"* por "&amp;$F119&amp;",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Clientes.")&amp;CHAR(10)&amp;CHAR(10)&amp;Config!$B$1),IF(D119="","",SUBSTITUTE(SUBSTITUTE(INDEX('Catálogo Mensajes'!$D:$J,MATCH($D119,'Catálogo Mensajes'!$B:$B,0),MATCH($H119,'Catálogo Mensajes'!$D$4:$J$4,0)),"{NOMBRE}",$B119),"{PROMO}",'Catálogo Mensajes'!$C$2)&amp;CHAR(10)&amp;CHAR(10)&amp;Config!$B$1))))),"")</f>
        <v/>
      </c>
      <c r="P119" s="13">
        <f>IF(OR(O119="",C119=""),"",HYPERLINK("https://wa.me/52"&amp;C119&amp;"?text="&amp;_xlfn.ENCODEURL(O119),"Enviar mensaje"))</f>
        <v/>
      </c>
      <c r="Q119" s="13">
        <f>IF(OR(I119="",L119="Realizado",L119="Cancelado"),"",SUMPRODUCT(($I$2:$I$151&lt;I119)*($I$2:$I$151&gt;=DATE(Calendario!$C$3,Calendario!$C$2,1))*($I$2:$I$151&lt;DATE(Calendario!$C$3,Calendario!$C$2+1,1))*($L$2:$L$151&lt;&gt;"Realizado")*($L$2:$L$151&lt;&gt;"Cancelado"))+SUMPRODUCT(($I$2:$I$151=I119)*(ROW($I$2:$I$151)&lt;=ROW())*($I$2:$I$151&gt;=DATE(Calendario!$C$3,Calendario!$C$2,1))*($I$2:$I$151&lt;DATE(Calendario!$C$3,Calendario!$C$2+1,1))*($L$2:$L$151&lt;&gt;"Realizado")*($L$2:$L$151&lt;&gt;"Cancelado")))</f>
        <v/>
      </c>
    </row>
    <row r="120" ht="15" customHeight="1" s="1">
      <c r="A120" s="13">
        <f>IF(B120="","",ROW()-1)</f>
        <v/>
      </c>
      <c r="B120" s="14" t="n"/>
      <c r="C120" s="13">
        <f>IFERROR(INDEX(Clientes!$C:$C,MATCH(B120,Clientes!$B:$B,0)),"")</f>
        <v/>
      </c>
      <c r="D120" s="14">
        <f>IFERROR(INDEX(Clientes!$D:$D,MATCH(B120,Clientes!$B:$B,0)),"")</f>
        <v/>
      </c>
      <c r="E120" s="14">
        <f>IFERROR(INDEX(Clientes!$M:$M,MATCH(B120,Clientes!$B:$B,0)),"")</f>
        <v/>
      </c>
      <c r="F120" s="14">
        <f>IFERROR(INDEX(Clientes!$F:$F,MATCH(B120,Clientes!$B:$B,0)),"")</f>
        <v/>
      </c>
      <c r="G120" s="14">
        <f>IFERROR(INDEX(Clientes!$G:$G,MATCH(B120,Clientes!$B:$B,0)),"")</f>
        <v/>
      </c>
      <c r="H120" s="14" t="n"/>
      <c r="I120" s="15" t="n"/>
      <c r="J120" s="16" t="n"/>
      <c r="K120" s="14" t="n"/>
      <c r="L120" s="14" t="n"/>
      <c r="M120" s="13">
        <f>IF(I120="","",I120-TODAY())</f>
        <v/>
      </c>
      <c r="N120" s="14" t="n"/>
      <c r="O120" s="14">
        <f>IFERROR(IF(B120="","",IF(H120="","",IF(H120="Otro (mensaje libre)","",IF(H120="Requisitos (Crédito/Contado)",IF(OR(F120="",G120=""),"Indica primero el Método de Compra y el Tipo de Persona del cliente en la pestaña Clientes.",_xlfn.SWITCH($F120&amp;"|"&amp;$G120,"Crédito|Persona física","Hola, "&amp;$B120&amp;", para continuar con el proceso de tu *"&amp;$D120&amp;"* por "&amp;$F120&amp;",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"&amp;$B120&amp;", para continuar con el proceso de tu *"&amp;$D120&amp;"* por "&amp;$F120&amp;",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"&amp;$B120&amp;", para continuar con el proceso de tu *"&amp;$D120&amp;"* por "&amp;$F120&amp;",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"&amp;$B120&amp;", para continuar con el proceso de tu *"&amp;$D120&amp;"* por "&amp;$F120&amp;", estos son los documentos que necesitamos:"&amp;CHAR(10)&amp;CHAR(10)&amp;"- INE"&amp;CHAR(10)&amp;"- Comprobante de domicilio"&amp;CHAR(10)&amp;"- Constancia de situación fiscal (no mayor a 3 meses)","Contado|Persona física con actividad empresarial","Hola, "&amp;$B120&amp;", para continuar con el proceso de tu *"&amp;$D120&amp;"* por "&amp;$F120&amp;", estos son los documentos que necesitamos:"&amp;CHAR(10)&amp;CHAR(10)&amp;"- INE"&amp;CHAR(10)&amp;"- Comprobante de domicilio"&amp;CHAR(10)&amp;"- Constancia de situación fiscal (no mayor a 3 meses)","Contado|Persona moral","Hola, "&amp;$B120&amp;", para continuar con el proceso de tu *"&amp;$D120&amp;"* por "&amp;$F120&amp;",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Clientes.")&amp;CHAR(10)&amp;CHAR(10)&amp;Config!$B$1),IF(D120="","",SUBSTITUTE(SUBSTITUTE(INDEX('Catálogo Mensajes'!$D:$J,MATCH($D120,'Catálogo Mensajes'!$B:$B,0),MATCH($H120,'Catálogo Mensajes'!$D$4:$J$4,0)),"{NOMBRE}",$B120),"{PROMO}",'Catálogo Mensajes'!$C$2)&amp;CHAR(10)&amp;CHAR(10)&amp;Config!$B$1))))),"")</f>
        <v/>
      </c>
      <c r="P120" s="13">
        <f>IF(OR(O120="",C120=""),"",HYPERLINK("https://wa.me/52"&amp;C120&amp;"?text="&amp;_xlfn.ENCODEURL(O120),"Enviar mensaje"))</f>
        <v/>
      </c>
      <c r="Q120" s="13">
        <f>IF(OR(I120="",L120="Realizado",L120="Cancelado"),"",SUMPRODUCT(($I$2:$I$151&lt;I120)*($I$2:$I$151&gt;=DATE(Calendario!$C$3,Calendario!$C$2,1))*($I$2:$I$151&lt;DATE(Calendario!$C$3,Calendario!$C$2+1,1))*($L$2:$L$151&lt;&gt;"Realizado")*($L$2:$L$151&lt;&gt;"Cancelado"))+SUMPRODUCT(($I$2:$I$151=I120)*(ROW($I$2:$I$151)&lt;=ROW())*($I$2:$I$151&gt;=DATE(Calendario!$C$3,Calendario!$C$2,1))*($I$2:$I$151&lt;DATE(Calendario!$C$3,Calendario!$C$2+1,1))*($L$2:$L$151&lt;&gt;"Realizado")*($L$2:$L$151&lt;&gt;"Cancelado")))</f>
        <v/>
      </c>
    </row>
    <row r="121" ht="15" customHeight="1" s="1">
      <c r="A121" s="13">
        <f>IF(B121="","",ROW()-1)</f>
        <v/>
      </c>
      <c r="B121" s="14" t="n"/>
      <c r="C121" s="13">
        <f>IFERROR(INDEX(Clientes!$C:$C,MATCH(B121,Clientes!$B:$B,0)),"")</f>
        <v/>
      </c>
      <c r="D121" s="14">
        <f>IFERROR(INDEX(Clientes!$D:$D,MATCH(B121,Clientes!$B:$B,0)),"")</f>
        <v/>
      </c>
      <c r="E121" s="14">
        <f>IFERROR(INDEX(Clientes!$M:$M,MATCH(B121,Clientes!$B:$B,0)),"")</f>
        <v/>
      </c>
      <c r="F121" s="14">
        <f>IFERROR(INDEX(Clientes!$F:$F,MATCH(B121,Clientes!$B:$B,0)),"")</f>
        <v/>
      </c>
      <c r="G121" s="14">
        <f>IFERROR(INDEX(Clientes!$G:$G,MATCH(B121,Clientes!$B:$B,0)),"")</f>
        <v/>
      </c>
      <c r="H121" s="14" t="n"/>
      <c r="I121" s="15" t="n"/>
      <c r="J121" s="16" t="n"/>
      <c r="K121" s="14" t="n"/>
      <c r="L121" s="14" t="n"/>
      <c r="M121" s="13">
        <f>IF(I121="","",I121-TODAY())</f>
        <v/>
      </c>
      <c r="N121" s="14" t="n"/>
      <c r="O121" s="14">
        <f>IFERROR(IF(B121="","",IF(H121="","",IF(H121="Otro (mensaje libre)","",IF(H121="Requisitos (Crédito/Contado)",IF(OR(F121="",G121=""),"Indica primero el Método de Compra y el Tipo de Persona del cliente en la pestaña Clientes.",_xlfn.SWITCH($F121&amp;"|"&amp;$G121,"Crédito|Persona física","Hola, "&amp;$B121&amp;", para continuar con el proceso de tu *"&amp;$D121&amp;"* por "&amp;$F121&amp;",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"&amp;$B121&amp;", para continuar con el proceso de tu *"&amp;$D121&amp;"* por "&amp;$F121&amp;",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"&amp;$B121&amp;", para continuar con el proceso de tu *"&amp;$D121&amp;"* por "&amp;$F121&amp;",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"&amp;$B121&amp;", para continuar con el proceso de tu *"&amp;$D121&amp;"* por "&amp;$F121&amp;", estos son los documentos que necesitamos:"&amp;CHAR(10)&amp;CHAR(10)&amp;"- INE"&amp;CHAR(10)&amp;"- Comprobante de domicilio"&amp;CHAR(10)&amp;"- Constancia de situación fiscal (no mayor a 3 meses)","Contado|Persona física con actividad empresarial","Hola, "&amp;$B121&amp;", para continuar con el proceso de tu *"&amp;$D121&amp;"* por "&amp;$F121&amp;", estos son los documentos que necesitamos:"&amp;CHAR(10)&amp;CHAR(10)&amp;"- INE"&amp;CHAR(10)&amp;"- Comprobante de domicilio"&amp;CHAR(10)&amp;"- Constancia de situación fiscal (no mayor a 3 meses)","Contado|Persona moral","Hola, "&amp;$B121&amp;", para continuar con el proceso de tu *"&amp;$D121&amp;"* por "&amp;$F121&amp;",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Clientes.")&amp;CHAR(10)&amp;CHAR(10)&amp;Config!$B$1),IF(D121="","",SUBSTITUTE(SUBSTITUTE(INDEX('Catálogo Mensajes'!$D:$J,MATCH($D121,'Catálogo Mensajes'!$B:$B,0),MATCH($H121,'Catálogo Mensajes'!$D$4:$J$4,0)),"{NOMBRE}",$B121),"{PROMO}",'Catálogo Mensajes'!$C$2)&amp;CHAR(10)&amp;CHAR(10)&amp;Config!$B$1))))),"")</f>
        <v/>
      </c>
      <c r="P121" s="13">
        <f>IF(OR(O121="",C121=""),"",HYPERLINK("https://wa.me/52"&amp;C121&amp;"?text="&amp;_xlfn.ENCODEURL(O121),"Enviar mensaje"))</f>
        <v/>
      </c>
      <c r="Q121" s="13">
        <f>IF(OR(I121="",L121="Realizado",L121="Cancelado"),"",SUMPRODUCT(($I$2:$I$151&lt;I121)*($I$2:$I$151&gt;=DATE(Calendario!$C$3,Calendario!$C$2,1))*($I$2:$I$151&lt;DATE(Calendario!$C$3,Calendario!$C$2+1,1))*($L$2:$L$151&lt;&gt;"Realizado")*($L$2:$L$151&lt;&gt;"Cancelado"))+SUMPRODUCT(($I$2:$I$151=I121)*(ROW($I$2:$I$151)&lt;=ROW())*($I$2:$I$151&gt;=DATE(Calendario!$C$3,Calendario!$C$2,1))*($I$2:$I$151&lt;DATE(Calendario!$C$3,Calendario!$C$2+1,1))*($L$2:$L$151&lt;&gt;"Realizado")*($L$2:$L$151&lt;&gt;"Cancelado")))</f>
        <v/>
      </c>
    </row>
    <row r="122" ht="15" customHeight="1" s="1">
      <c r="A122" s="13">
        <f>IF(B122="","",ROW()-1)</f>
        <v/>
      </c>
      <c r="B122" s="14" t="n"/>
      <c r="C122" s="13">
        <f>IFERROR(INDEX(Clientes!$C:$C,MATCH(B122,Clientes!$B:$B,0)),"")</f>
        <v/>
      </c>
      <c r="D122" s="14">
        <f>IFERROR(INDEX(Clientes!$D:$D,MATCH(B122,Clientes!$B:$B,0)),"")</f>
        <v/>
      </c>
      <c r="E122" s="14">
        <f>IFERROR(INDEX(Clientes!$M:$M,MATCH(B122,Clientes!$B:$B,0)),"")</f>
        <v/>
      </c>
      <c r="F122" s="14">
        <f>IFERROR(INDEX(Clientes!$F:$F,MATCH(B122,Clientes!$B:$B,0)),"")</f>
        <v/>
      </c>
      <c r="G122" s="14">
        <f>IFERROR(INDEX(Clientes!$G:$G,MATCH(B122,Clientes!$B:$B,0)),"")</f>
        <v/>
      </c>
      <c r="H122" s="14" t="n"/>
      <c r="I122" s="15" t="n"/>
      <c r="J122" s="16" t="n"/>
      <c r="K122" s="14" t="n"/>
      <c r="L122" s="14" t="n"/>
      <c r="M122" s="13">
        <f>IF(I122="","",I122-TODAY())</f>
        <v/>
      </c>
      <c r="N122" s="14" t="n"/>
      <c r="O122" s="14">
        <f>IFERROR(IF(B122="","",IF(H122="","",IF(H122="Otro (mensaje libre)","",IF(H122="Requisitos (Crédito/Contado)",IF(OR(F122="",G122=""),"Indica primero el Método de Compra y el Tipo de Persona del cliente en la pestaña Clientes.",_xlfn.SWITCH($F122&amp;"|"&amp;$G122,"Crédito|Persona física","Hola, "&amp;$B122&amp;", para continuar con el proceso de tu *"&amp;$D122&amp;"* por "&amp;$F122&amp;",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"&amp;$B122&amp;", para continuar con el proceso de tu *"&amp;$D122&amp;"* por "&amp;$F122&amp;",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"&amp;$B122&amp;", para continuar con el proceso de tu *"&amp;$D122&amp;"* por "&amp;$F122&amp;",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"&amp;$B122&amp;", para continuar con el proceso de tu *"&amp;$D122&amp;"* por "&amp;$F122&amp;", estos son los documentos que necesitamos:"&amp;CHAR(10)&amp;CHAR(10)&amp;"- INE"&amp;CHAR(10)&amp;"- Comprobante de domicilio"&amp;CHAR(10)&amp;"- Constancia de situación fiscal (no mayor a 3 meses)","Contado|Persona física con actividad empresarial","Hola, "&amp;$B122&amp;", para continuar con el proceso de tu *"&amp;$D122&amp;"* por "&amp;$F122&amp;", estos son los documentos que necesitamos:"&amp;CHAR(10)&amp;CHAR(10)&amp;"- INE"&amp;CHAR(10)&amp;"- Comprobante de domicilio"&amp;CHAR(10)&amp;"- Constancia de situación fiscal (no mayor a 3 meses)","Contado|Persona moral","Hola, "&amp;$B122&amp;", para continuar con el proceso de tu *"&amp;$D122&amp;"* por "&amp;$F122&amp;",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Clientes.")&amp;CHAR(10)&amp;CHAR(10)&amp;Config!$B$1),IF(D122="","",SUBSTITUTE(SUBSTITUTE(INDEX('Catálogo Mensajes'!$D:$J,MATCH($D122,'Catálogo Mensajes'!$B:$B,0),MATCH($H122,'Catálogo Mensajes'!$D$4:$J$4,0)),"{NOMBRE}",$B122),"{PROMO}",'Catálogo Mensajes'!$C$2)&amp;CHAR(10)&amp;CHAR(10)&amp;Config!$B$1))))),"")</f>
        <v/>
      </c>
      <c r="P122" s="13">
        <f>IF(OR(O122="",C122=""),"",HYPERLINK("https://wa.me/52"&amp;C122&amp;"?text="&amp;_xlfn.ENCODEURL(O122),"Enviar mensaje"))</f>
        <v/>
      </c>
      <c r="Q122" s="13">
        <f>IF(OR(I122="",L122="Realizado",L122="Cancelado"),"",SUMPRODUCT(($I$2:$I$151&lt;I122)*($I$2:$I$151&gt;=DATE(Calendario!$C$3,Calendario!$C$2,1))*($I$2:$I$151&lt;DATE(Calendario!$C$3,Calendario!$C$2+1,1))*($L$2:$L$151&lt;&gt;"Realizado")*($L$2:$L$151&lt;&gt;"Cancelado"))+SUMPRODUCT(($I$2:$I$151=I122)*(ROW($I$2:$I$151)&lt;=ROW())*($I$2:$I$151&gt;=DATE(Calendario!$C$3,Calendario!$C$2,1))*($I$2:$I$151&lt;DATE(Calendario!$C$3,Calendario!$C$2+1,1))*($L$2:$L$151&lt;&gt;"Realizado")*($L$2:$L$151&lt;&gt;"Cancelado")))</f>
        <v/>
      </c>
    </row>
    <row r="123" ht="15" customHeight="1" s="1">
      <c r="A123" s="13">
        <f>IF(B123="","",ROW()-1)</f>
        <v/>
      </c>
      <c r="B123" s="14" t="n"/>
      <c r="C123" s="13">
        <f>IFERROR(INDEX(Clientes!$C:$C,MATCH(B123,Clientes!$B:$B,0)),"")</f>
        <v/>
      </c>
      <c r="D123" s="14">
        <f>IFERROR(INDEX(Clientes!$D:$D,MATCH(B123,Clientes!$B:$B,0)),"")</f>
        <v/>
      </c>
      <c r="E123" s="14">
        <f>IFERROR(INDEX(Clientes!$M:$M,MATCH(B123,Clientes!$B:$B,0)),"")</f>
        <v/>
      </c>
      <c r="F123" s="14">
        <f>IFERROR(INDEX(Clientes!$F:$F,MATCH(B123,Clientes!$B:$B,0)),"")</f>
        <v/>
      </c>
      <c r="G123" s="14">
        <f>IFERROR(INDEX(Clientes!$G:$G,MATCH(B123,Clientes!$B:$B,0)),"")</f>
        <v/>
      </c>
      <c r="H123" s="14" t="n"/>
      <c r="I123" s="15" t="n"/>
      <c r="J123" s="16" t="n"/>
      <c r="K123" s="14" t="n"/>
      <c r="L123" s="14" t="n"/>
      <c r="M123" s="13">
        <f>IF(I123="","",I123-TODAY())</f>
        <v/>
      </c>
      <c r="N123" s="14" t="n"/>
      <c r="O123" s="14">
        <f>IFERROR(IF(B123="","",IF(H123="","",IF(H123="Otro (mensaje libre)","",IF(H123="Requisitos (Crédito/Contado)",IF(OR(F123="",G123=""),"Indica primero el Método de Compra y el Tipo de Persona del cliente en la pestaña Clientes.",_xlfn.SWITCH($F123&amp;"|"&amp;$G123,"Crédito|Persona física","Hola, "&amp;$B123&amp;", para continuar con el proceso de tu *"&amp;$D123&amp;"* por "&amp;$F123&amp;",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"&amp;$B123&amp;", para continuar con el proceso de tu *"&amp;$D123&amp;"* por "&amp;$F123&amp;",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"&amp;$B123&amp;", para continuar con el proceso de tu *"&amp;$D123&amp;"* por "&amp;$F123&amp;",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"&amp;$B123&amp;", para continuar con el proceso de tu *"&amp;$D123&amp;"* por "&amp;$F123&amp;", estos son los documentos que necesitamos:"&amp;CHAR(10)&amp;CHAR(10)&amp;"- INE"&amp;CHAR(10)&amp;"- Comprobante de domicilio"&amp;CHAR(10)&amp;"- Constancia de situación fiscal (no mayor a 3 meses)","Contado|Persona física con actividad empresarial","Hola, "&amp;$B123&amp;", para continuar con el proceso de tu *"&amp;$D123&amp;"* por "&amp;$F123&amp;", estos son los documentos que necesitamos:"&amp;CHAR(10)&amp;CHAR(10)&amp;"- INE"&amp;CHAR(10)&amp;"- Comprobante de domicilio"&amp;CHAR(10)&amp;"- Constancia de situación fiscal (no mayor a 3 meses)","Contado|Persona moral","Hola, "&amp;$B123&amp;", para continuar con el proceso de tu *"&amp;$D123&amp;"* por "&amp;$F123&amp;",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Clientes.")&amp;CHAR(10)&amp;CHAR(10)&amp;Config!$B$1),IF(D123="","",SUBSTITUTE(SUBSTITUTE(INDEX('Catálogo Mensajes'!$D:$J,MATCH($D123,'Catálogo Mensajes'!$B:$B,0),MATCH($H123,'Catálogo Mensajes'!$D$4:$J$4,0)),"{NOMBRE}",$B123),"{PROMO}",'Catálogo Mensajes'!$C$2)&amp;CHAR(10)&amp;CHAR(10)&amp;Config!$B$1))))),"")</f>
        <v/>
      </c>
      <c r="P123" s="13">
        <f>IF(OR(O123="",C123=""),"",HYPERLINK("https://wa.me/52"&amp;C123&amp;"?text="&amp;_xlfn.ENCODEURL(O123),"Enviar mensaje"))</f>
        <v/>
      </c>
      <c r="Q123" s="13">
        <f>IF(OR(I123="",L123="Realizado",L123="Cancelado"),"",SUMPRODUCT(($I$2:$I$151&lt;I123)*($I$2:$I$151&gt;=DATE(Calendario!$C$3,Calendario!$C$2,1))*($I$2:$I$151&lt;DATE(Calendario!$C$3,Calendario!$C$2+1,1))*($L$2:$L$151&lt;&gt;"Realizado")*($L$2:$L$151&lt;&gt;"Cancelado"))+SUMPRODUCT(($I$2:$I$151=I123)*(ROW($I$2:$I$151)&lt;=ROW())*($I$2:$I$151&gt;=DATE(Calendario!$C$3,Calendario!$C$2,1))*($I$2:$I$151&lt;DATE(Calendario!$C$3,Calendario!$C$2+1,1))*($L$2:$L$151&lt;&gt;"Realizado")*($L$2:$L$151&lt;&gt;"Cancelado")))</f>
        <v/>
      </c>
    </row>
    <row r="124" ht="15" customHeight="1" s="1">
      <c r="A124" s="13">
        <f>IF(B124="","",ROW()-1)</f>
        <v/>
      </c>
      <c r="B124" s="14" t="n"/>
      <c r="C124" s="13">
        <f>IFERROR(INDEX(Clientes!$C:$C,MATCH(B124,Clientes!$B:$B,0)),"")</f>
        <v/>
      </c>
      <c r="D124" s="14">
        <f>IFERROR(INDEX(Clientes!$D:$D,MATCH(B124,Clientes!$B:$B,0)),"")</f>
        <v/>
      </c>
      <c r="E124" s="14">
        <f>IFERROR(INDEX(Clientes!$M:$M,MATCH(B124,Clientes!$B:$B,0)),"")</f>
        <v/>
      </c>
      <c r="F124" s="14">
        <f>IFERROR(INDEX(Clientes!$F:$F,MATCH(B124,Clientes!$B:$B,0)),"")</f>
        <v/>
      </c>
      <c r="G124" s="14">
        <f>IFERROR(INDEX(Clientes!$G:$G,MATCH(B124,Clientes!$B:$B,0)),"")</f>
        <v/>
      </c>
      <c r="H124" s="14" t="n"/>
      <c r="I124" s="15" t="n"/>
      <c r="J124" s="16" t="n"/>
      <c r="K124" s="14" t="n"/>
      <c r="L124" s="14" t="n"/>
      <c r="M124" s="13">
        <f>IF(I124="","",I124-TODAY())</f>
        <v/>
      </c>
      <c r="N124" s="14" t="n"/>
      <c r="O124" s="14">
        <f>IFERROR(IF(B124="","",IF(H124="","",IF(H124="Otro (mensaje libre)","",IF(H124="Requisitos (Crédito/Contado)",IF(OR(F124="",G124=""),"Indica primero el Método de Compra y el Tipo de Persona del cliente en la pestaña Clientes.",_xlfn.SWITCH($F124&amp;"|"&amp;$G124,"Crédito|Persona física","Hola, "&amp;$B124&amp;", para continuar con el proceso de tu *"&amp;$D124&amp;"* por "&amp;$F124&amp;",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"&amp;$B124&amp;", para continuar con el proceso de tu *"&amp;$D124&amp;"* por "&amp;$F124&amp;",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"&amp;$B124&amp;", para continuar con el proceso de tu *"&amp;$D124&amp;"* por "&amp;$F124&amp;",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"&amp;$B124&amp;", para continuar con el proceso de tu *"&amp;$D124&amp;"* por "&amp;$F124&amp;", estos son los documentos que necesitamos:"&amp;CHAR(10)&amp;CHAR(10)&amp;"- INE"&amp;CHAR(10)&amp;"- Comprobante de domicilio"&amp;CHAR(10)&amp;"- Constancia de situación fiscal (no mayor a 3 meses)","Contado|Persona física con actividad empresarial","Hola, "&amp;$B124&amp;", para continuar con el proceso de tu *"&amp;$D124&amp;"* por "&amp;$F124&amp;", estos son los documentos que necesitamos:"&amp;CHAR(10)&amp;CHAR(10)&amp;"- INE"&amp;CHAR(10)&amp;"- Comprobante de domicilio"&amp;CHAR(10)&amp;"- Constancia de situación fiscal (no mayor a 3 meses)","Contado|Persona moral","Hola, "&amp;$B124&amp;", para continuar con el proceso de tu *"&amp;$D124&amp;"* por "&amp;$F124&amp;",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Clientes.")&amp;CHAR(10)&amp;CHAR(10)&amp;Config!$B$1),IF(D124="","",SUBSTITUTE(SUBSTITUTE(INDEX('Catálogo Mensajes'!$D:$J,MATCH($D124,'Catálogo Mensajes'!$B:$B,0),MATCH($H124,'Catálogo Mensajes'!$D$4:$J$4,0)),"{NOMBRE}",$B124),"{PROMO}",'Catálogo Mensajes'!$C$2)&amp;CHAR(10)&amp;CHAR(10)&amp;Config!$B$1))))),"")</f>
        <v/>
      </c>
      <c r="P124" s="13">
        <f>IF(OR(O124="",C124=""),"",HYPERLINK("https://wa.me/52"&amp;C124&amp;"?text="&amp;_xlfn.ENCODEURL(O124),"Enviar mensaje"))</f>
        <v/>
      </c>
      <c r="Q124" s="13">
        <f>IF(OR(I124="",L124="Realizado",L124="Cancelado"),"",SUMPRODUCT(($I$2:$I$151&lt;I124)*($I$2:$I$151&gt;=DATE(Calendario!$C$3,Calendario!$C$2,1))*($I$2:$I$151&lt;DATE(Calendario!$C$3,Calendario!$C$2+1,1))*($L$2:$L$151&lt;&gt;"Realizado")*($L$2:$L$151&lt;&gt;"Cancelado"))+SUMPRODUCT(($I$2:$I$151=I124)*(ROW($I$2:$I$151)&lt;=ROW())*($I$2:$I$151&gt;=DATE(Calendario!$C$3,Calendario!$C$2,1))*($I$2:$I$151&lt;DATE(Calendario!$C$3,Calendario!$C$2+1,1))*($L$2:$L$151&lt;&gt;"Realizado")*($L$2:$L$151&lt;&gt;"Cancelado")))</f>
        <v/>
      </c>
    </row>
    <row r="125" ht="15" customHeight="1" s="1">
      <c r="A125" s="13">
        <f>IF(B125="","",ROW()-1)</f>
        <v/>
      </c>
      <c r="B125" s="14" t="n"/>
      <c r="C125" s="13">
        <f>IFERROR(INDEX(Clientes!$C:$C,MATCH(B125,Clientes!$B:$B,0)),"")</f>
        <v/>
      </c>
      <c r="D125" s="14">
        <f>IFERROR(INDEX(Clientes!$D:$D,MATCH(B125,Clientes!$B:$B,0)),"")</f>
        <v/>
      </c>
      <c r="E125" s="14">
        <f>IFERROR(INDEX(Clientes!$M:$M,MATCH(B125,Clientes!$B:$B,0)),"")</f>
        <v/>
      </c>
      <c r="F125" s="14">
        <f>IFERROR(INDEX(Clientes!$F:$F,MATCH(B125,Clientes!$B:$B,0)),"")</f>
        <v/>
      </c>
      <c r="G125" s="14">
        <f>IFERROR(INDEX(Clientes!$G:$G,MATCH(B125,Clientes!$B:$B,0)),"")</f>
        <v/>
      </c>
      <c r="H125" s="14" t="n"/>
      <c r="I125" s="15" t="n"/>
      <c r="J125" s="16" t="n"/>
      <c r="K125" s="14" t="n"/>
      <c r="L125" s="14" t="n"/>
      <c r="M125" s="13">
        <f>IF(I125="","",I125-TODAY())</f>
        <v/>
      </c>
      <c r="N125" s="14" t="n"/>
      <c r="O125" s="14">
        <f>IFERROR(IF(B125="","",IF(H125="","",IF(H125="Otro (mensaje libre)","",IF(H125="Requisitos (Crédito/Contado)",IF(OR(F125="",G125=""),"Indica primero el Método de Compra y el Tipo de Persona del cliente en la pestaña Clientes.",_xlfn.SWITCH($F125&amp;"|"&amp;$G125,"Crédito|Persona física","Hola, "&amp;$B125&amp;", para continuar con el proceso de tu *"&amp;$D125&amp;"* por "&amp;$F125&amp;",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"&amp;$B125&amp;", para continuar con el proceso de tu *"&amp;$D125&amp;"* por "&amp;$F125&amp;",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"&amp;$B125&amp;", para continuar con el proceso de tu *"&amp;$D125&amp;"* por "&amp;$F125&amp;",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"&amp;$B125&amp;", para continuar con el proceso de tu *"&amp;$D125&amp;"* por "&amp;$F125&amp;", estos son los documentos que necesitamos:"&amp;CHAR(10)&amp;CHAR(10)&amp;"- INE"&amp;CHAR(10)&amp;"- Comprobante de domicilio"&amp;CHAR(10)&amp;"- Constancia de situación fiscal (no mayor a 3 meses)","Contado|Persona física con actividad empresarial","Hola, "&amp;$B125&amp;", para continuar con el proceso de tu *"&amp;$D125&amp;"* por "&amp;$F125&amp;", estos son los documentos que necesitamos:"&amp;CHAR(10)&amp;CHAR(10)&amp;"- INE"&amp;CHAR(10)&amp;"- Comprobante de domicilio"&amp;CHAR(10)&amp;"- Constancia de situación fiscal (no mayor a 3 meses)","Contado|Persona moral","Hola, "&amp;$B125&amp;", para continuar con el proceso de tu *"&amp;$D125&amp;"* por "&amp;$F125&amp;",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Clientes.")&amp;CHAR(10)&amp;CHAR(10)&amp;Config!$B$1),IF(D125="","",SUBSTITUTE(SUBSTITUTE(INDEX('Catálogo Mensajes'!$D:$J,MATCH($D125,'Catálogo Mensajes'!$B:$B,0),MATCH($H125,'Catálogo Mensajes'!$D$4:$J$4,0)),"{NOMBRE}",$B125),"{PROMO}",'Catálogo Mensajes'!$C$2)&amp;CHAR(10)&amp;CHAR(10)&amp;Config!$B$1))))),"")</f>
        <v/>
      </c>
      <c r="P125" s="13">
        <f>IF(OR(O125="",C125=""),"",HYPERLINK("https://wa.me/52"&amp;C125&amp;"?text="&amp;_xlfn.ENCODEURL(O125),"Enviar mensaje"))</f>
        <v/>
      </c>
      <c r="Q125" s="13">
        <f>IF(OR(I125="",L125="Realizado",L125="Cancelado"),"",SUMPRODUCT(($I$2:$I$151&lt;I125)*($I$2:$I$151&gt;=DATE(Calendario!$C$3,Calendario!$C$2,1))*($I$2:$I$151&lt;DATE(Calendario!$C$3,Calendario!$C$2+1,1))*($L$2:$L$151&lt;&gt;"Realizado")*($L$2:$L$151&lt;&gt;"Cancelado"))+SUMPRODUCT(($I$2:$I$151=I125)*(ROW($I$2:$I$151)&lt;=ROW())*($I$2:$I$151&gt;=DATE(Calendario!$C$3,Calendario!$C$2,1))*($I$2:$I$151&lt;DATE(Calendario!$C$3,Calendario!$C$2+1,1))*($L$2:$L$151&lt;&gt;"Realizado")*($L$2:$L$151&lt;&gt;"Cancelado")))</f>
        <v/>
      </c>
    </row>
    <row r="126" ht="15" customHeight="1" s="1">
      <c r="A126" s="13">
        <f>IF(B126="","",ROW()-1)</f>
        <v/>
      </c>
      <c r="B126" s="14" t="n"/>
      <c r="C126" s="13">
        <f>IFERROR(INDEX(Clientes!$C:$C,MATCH(B126,Clientes!$B:$B,0)),"")</f>
        <v/>
      </c>
      <c r="D126" s="14">
        <f>IFERROR(INDEX(Clientes!$D:$D,MATCH(B126,Clientes!$B:$B,0)),"")</f>
        <v/>
      </c>
      <c r="E126" s="14">
        <f>IFERROR(INDEX(Clientes!$M:$M,MATCH(B126,Clientes!$B:$B,0)),"")</f>
        <v/>
      </c>
      <c r="F126" s="14">
        <f>IFERROR(INDEX(Clientes!$F:$F,MATCH(B126,Clientes!$B:$B,0)),"")</f>
        <v/>
      </c>
      <c r="G126" s="14">
        <f>IFERROR(INDEX(Clientes!$G:$G,MATCH(B126,Clientes!$B:$B,0)),"")</f>
        <v/>
      </c>
      <c r="H126" s="14" t="n"/>
      <c r="I126" s="15" t="n"/>
      <c r="J126" s="16" t="n"/>
      <c r="K126" s="14" t="n"/>
      <c r="L126" s="14" t="n"/>
      <c r="M126" s="13">
        <f>IF(I126="","",I126-TODAY())</f>
        <v/>
      </c>
      <c r="N126" s="14" t="n"/>
      <c r="O126" s="14">
        <f>IFERROR(IF(B126="","",IF(H126="","",IF(H126="Otro (mensaje libre)","",IF(H126="Requisitos (Crédito/Contado)",IF(OR(F126="",G126=""),"Indica primero el Método de Compra y el Tipo de Persona del cliente en la pestaña Clientes.",_xlfn.SWITCH($F126&amp;"|"&amp;$G126,"Crédito|Persona física","Hola, "&amp;$B126&amp;", para continuar con el proceso de tu *"&amp;$D126&amp;"* por "&amp;$F126&amp;",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"&amp;$B126&amp;", para continuar con el proceso de tu *"&amp;$D126&amp;"* por "&amp;$F126&amp;",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"&amp;$B126&amp;", para continuar con el proceso de tu *"&amp;$D126&amp;"* por "&amp;$F126&amp;",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"&amp;$B126&amp;", para continuar con el proceso de tu *"&amp;$D126&amp;"* por "&amp;$F126&amp;", estos son los documentos que necesitamos:"&amp;CHAR(10)&amp;CHAR(10)&amp;"- INE"&amp;CHAR(10)&amp;"- Comprobante de domicilio"&amp;CHAR(10)&amp;"- Constancia de situación fiscal (no mayor a 3 meses)","Contado|Persona física con actividad empresarial","Hola, "&amp;$B126&amp;", para continuar con el proceso de tu *"&amp;$D126&amp;"* por "&amp;$F126&amp;", estos son los documentos que necesitamos:"&amp;CHAR(10)&amp;CHAR(10)&amp;"- INE"&amp;CHAR(10)&amp;"- Comprobante de domicilio"&amp;CHAR(10)&amp;"- Constancia de situación fiscal (no mayor a 3 meses)","Contado|Persona moral","Hola, "&amp;$B126&amp;", para continuar con el proceso de tu *"&amp;$D126&amp;"* por "&amp;$F126&amp;",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Clientes.")&amp;CHAR(10)&amp;CHAR(10)&amp;Config!$B$1),IF(D126="","",SUBSTITUTE(SUBSTITUTE(INDEX('Catálogo Mensajes'!$D:$J,MATCH($D126,'Catálogo Mensajes'!$B:$B,0),MATCH($H126,'Catálogo Mensajes'!$D$4:$J$4,0)),"{NOMBRE}",$B126),"{PROMO}",'Catálogo Mensajes'!$C$2)&amp;CHAR(10)&amp;CHAR(10)&amp;Config!$B$1))))),"")</f>
        <v/>
      </c>
      <c r="P126" s="13">
        <f>IF(OR(O126="",C126=""),"",HYPERLINK("https://wa.me/52"&amp;C126&amp;"?text="&amp;_xlfn.ENCODEURL(O126),"Enviar mensaje"))</f>
        <v/>
      </c>
      <c r="Q126" s="13">
        <f>IF(OR(I126="",L126="Realizado",L126="Cancelado"),"",SUMPRODUCT(($I$2:$I$151&lt;I126)*($I$2:$I$151&gt;=DATE(Calendario!$C$3,Calendario!$C$2,1))*($I$2:$I$151&lt;DATE(Calendario!$C$3,Calendario!$C$2+1,1))*($L$2:$L$151&lt;&gt;"Realizado")*($L$2:$L$151&lt;&gt;"Cancelado"))+SUMPRODUCT(($I$2:$I$151=I126)*(ROW($I$2:$I$151)&lt;=ROW())*($I$2:$I$151&gt;=DATE(Calendario!$C$3,Calendario!$C$2,1))*($I$2:$I$151&lt;DATE(Calendario!$C$3,Calendario!$C$2+1,1))*($L$2:$L$151&lt;&gt;"Realizado")*($L$2:$L$151&lt;&gt;"Cancelado")))</f>
        <v/>
      </c>
    </row>
    <row r="127" ht="15" customHeight="1" s="1">
      <c r="A127" s="13">
        <f>IF(B127="","",ROW()-1)</f>
        <v/>
      </c>
      <c r="B127" s="14" t="n"/>
      <c r="C127" s="13">
        <f>IFERROR(INDEX(Clientes!$C:$C,MATCH(B127,Clientes!$B:$B,0)),"")</f>
        <v/>
      </c>
      <c r="D127" s="14">
        <f>IFERROR(INDEX(Clientes!$D:$D,MATCH(B127,Clientes!$B:$B,0)),"")</f>
        <v/>
      </c>
      <c r="E127" s="14">
        <f>IFERROR(INDEX(Clientes!$M:$M,MATCH(B127,Clientes!$B:$B,0)),"")</f>
        <v/>
      </c>
      <c r="F127" s="14">
        <f>IFERROR(INDEX(Clientes!$F:$F,MATCH(B127,Clientes!$B:$B,0)),"")</f>
        <v/>
      </c>
      <c r="G127" s="14">
        <f>IFERROR(INDEX(Clientes!$G:$G,MATCH(B127,Clientes!$B:$B,0)),"")</f>
        <v/>
      </c>
      <c r="H127" s="14" t="n"/>
      <c r="I127" s="15" t="n"/>
      <c r="J127" s="16" t="n"/>
      <c r="K127" s="14" t="n"/>
      <c r="L127" s="14" t="n"/>
      <c r="M127" s="13">
        <f>IF(I127="","",I127-TODAY())</f>
        <v/>
      </c>
      <c r="N127" s="14" t="n"/>
      <c r="O127" s="14">
        <f>IFERROR(IF(B127="","",IF(H127="","",IF(H127="Otro (mensaje libre)","",IF(H127="Requisitos (Crédito/Contado)",IF(OR(F127="",G127=""),"Indica primero el Método de Compra y el Tipo de Persona del cliente en la pestaña Clientes.",_xlfn.SWITCH($F127&amp;"|"&amp;$G127,"Crédito|Persona física","Hola, "&amp;$B127&amp;", para continuar con el proceso de tu *"&amp;$D127&amp;"* por "&amp;$F127&amp;",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"&amp;$B127&amp;", para continuar con el proceso de tu *"&amp;$D127&amp;"* por "&amp;$F127&amp;",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"&amp;$B127&amp;", para continuar con el proceso de tu *"&amp;$D127&amp;"* por "&amp;$F127&amp;",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"&amp;$B127&amp;", para continuar con el proceso de tu *"&amp;$D127&amp;"* por "&amp;$F127&amp;", estos son los documentos que necesitamos:"&amp;CHAR(10)&amp;CHAR(10)&amp;"- INE"&amp;CHAR(10)&amp;"- Comprobante de domicilio"&amp;CHAR(10)&amp;"- Constancia de situación fiscal (no mayor a 3 meses)","Contado|Persona física con actividad empresarial","Hola, "&amp;$B127&amp;", para continuar con el proceso de tu *"&amp;$D127&amp;"* por "&amp;$F127&amp;", estos son los documentos que necesitamos:"&amp;CHAR(10)&amp;CHAR(10)&amp;"- INE"&amp;CHAR(10)&amp;"- Comprobante de domicilio"&amp;CHAR(10)&amp;"- Constancia de situación fiscal (no mayor a 3 meses)","Contado|Persona moral","Hola, "&amp;$B127&amp;", para continuar con el proceso de tu *"&amp;$D127&amp;"* por "&amp;$F127&amp;",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Clientes.")&amp;CHAR(10)&amp;CHAR(10)&amp;Config!$B$1),IF(D127="","",SUBSTITUTE(SUBSTITUTE(INDEX('Catálogo Mensajes'!$D:$J,MATCH($D127,'Catálogo Mensajes'!$B:$B,0),MATCH($H127,'Catálogo Mensajes'!$D$4:$J$4,0)),"{NOMBRE}",$B127),"{PROMO}",'Catálogo Mensajes'!$C$2)&amp;CHAR(10)&amp;CHAR(10)&amp;Config!$B$1))))),"")</f>
        <v/>
      </c>
      <c r="P127" s="13">
        <f>IF(OR(O127="",C127=""),"",HYPERLINK("https://wa.me/52"&amp;C127&amp;"?text="&amp;_xlfn.ENCODEURL(O127),"Enviar mensaje"))</f>
        <v/>
      </c>
      <c r="Q127" s="13">
        <f>IF(OR(I127="",L127="Realizado",L127="Cancelado"),"",SUMPRODUCT(($I$2:$I$151&lt;I127)*($I$2:$I$151&gt;=DATE(Calendario!$C$3,Calendario!$C$2,1))*($I$2:$I$151&lt;DATE(Calendario!$C$3,Calendario!$C$2+1,1))*($L$2:$L$151&lt;&gt;"Realizado")*($L$2:$L$151&lt;&gt;"Cancelado"))+SUMPRODUCT(($I$2:$I$151=I127)*(ROW($I$2:$I$151)&lt;=ROW())*($I$2:$I$151&gt;=DATE(Calendario!$C$3,Calendario!$C$2,1))*($I$2:$I$151&lt;DATE(Calendario!$C$3,Calendario!$C$2+1,1))*($L$2:$L$151&lt;&gt;"Realizado")*($L$2:$L$151&lt;&gt;"Cancelado")))</f>
        <v/>
      </c>
    </row>
    <row r="128" ht="15" customHeight="1" s="1">
      <c r="A128" s="13">
        <f>IF(B128="","",ROW()-1)</f>
        <v/>
      </c>
      <c r="B128" s="14" t="n"/>
      <c r="C128" s="13">
        <f>IFERROR(INDEX(Clientes!$C:$C,MATCH(B128,Clientes!$B:$B,0)),"")</f>
        <v/>
      </c>
      <c r="D128" s="14">
        <f>IFERROR(INDEX(Clientes!$D:$D,MATCH(B128,Clientes!$B:$B,0)),"")</f>
        <v/>
      </c>
      <c r="E128" s="14">
        <f>IFERROR(INDEX(Clientes!$M:$M,MATCH(B128,Clientes!$B:$B,0)),"")</f>
        <v/>
      </c>
      <c r="F128" s="14">
        <f>IFERROR(INDEX(Clientes!$F:$F,MATCH(B128,Clientes!$B:$B,0)),"")</f>
        <v/>
      </c>
      <c r="G128" s="14">
        <f>IFERROR(INDEX(Clientes!$G:$G,MATCH(B128,Clientes!$B:$B,0)),"")</f>
        <v/>
      </c>
      <c r="H128" s="14" t="n"/>
      <c r="I128" s="15" t="n"/>
      <c r="J128" s="16" t="n"/>
      <c r="K128" s="14" t="n"/>
      <c r="L128" s="14" t="n"/>
      <c r="M128" s="13">
        <f>IF(I128="","",I128-TODAY())</f>
        <v/>
      </c>
      <c r="N128" s="14" t="n"/>
      <c r="O128" s="14">
        <f>IFERROR(IF(B128="","",IF(H128="","",IF(H128="Otro (mensaje libre)","",IF(H128="Requisitos (Crédito/Contado)",IF(OR(F128="",G128=""),"Indica primero el Método de Compra y el Tipo de Persona del cliente en la pestaña Clientes.",_xlfn.SWITCH($F128&amp;"|"&amp;$G128,"Crédito|Persona física","Hola, "&amp;$B128&amp;", para continuar con el proceso de tu *"&amp;$D128&amp;"* por "&amp;$F128&amp;",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"&amp;$B128&amp;", para continuar con el proceso de tu *"&amp;$D128&amp;"* por "&amp;$F128&amp;",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"&amp;$B128&amp;", para continuar con el proceso de tu *"&amp;$D128&amp;"* por "&amp;$F128&amp;",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"&amp;$B128&amp;", para continuar con el proceso de tu *"&amp;$D128&amp;"* por "&amp;$F128&amp;", estos son los documentos que necesitamos:"&amp;CHAR(10)&amp;CHAR(10)&amp;"- INE"&amp;CHAR(10)&amp;"- Comprobante de domicilio"&amp;CHAR(10)&amp;"- Constancia de situación fiscal (no mayor a 3 meses)","Contado|Persona física con actividad empresarial","Hola, "&amp;$B128&amp;", para continuar con el proceso de tu *"&amp;$D128&amp;"* por "&amp;$F128&amp;", estos son los documentos que necesitamos:"&amp;CHAR(10)&amp;CHAR(10)&amp;"- INE"&amp;CHAR(10)&amp;"- Comprobante de domicilio"&amp;CHAR(10)&amp;"- Constancia de situación fiscal (no mayor a 3 meses)","Contado|Persona moral","Hola, "&amp;$B128&amp;", para continuar con el proceso de tu *"&amp;$D128&amp;"* por "&amp;$F128&amp;",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Clientes.")&amp;CHAR(10)&amp;CHAR(10)&amp;Config!$B$1),IF(D128="","",SUBSTITUTE(SUBSTITUTE(INDEX('Catálogo Mensajes'!$D:$J,MATCH($D128,'Catálogo Mensajes'!$B:$B,0),MATCH($H128,'Catálogo Mensajes'!$D$4:$J$4,0)),"{NOMBRE}",$B128),"{PROMO}",'Catálogo Mensajes'!$C$2)&amp;CHAR(10)&amp;CHAR(10)&amp;Config!$B$1))))),"")</f>
        <v/>
      </c>
      <c r="P128" s="13">
        <f>IF(OR(O128="",C128=""),"",HYPERLINK("https://wa.me/52"&amp;C128&amp;"?text="&amp;_xlfn.ENCODEURL(O128),"Enviar mensaje"))</f>
        <v/>
      </c>
      <c r="Q128" s="13">
        <f>IF(OR(I128="",L128="Realizado",L128="Cancelado"),"",SUMPRODUCT(($I$2:$I$151&lt;I128)*($I$2:$I$151&gt;=DATE(Calendario!$C$3,Calendario!$C$2,1))*($I$2:$I$151&lt;DATE(Calendario!$C$3,Calendario!$C$2+1,1))*($L$2:$L$151&lt;&gt;"Realizado")*($L$2:$L$151&lt;&gt;"Cancelado"))+SUMPRODUCT(($I$2:$I$151=I128)*(ROW($I$2:$I$151)&lt;=ROW())*($I$2:$I$151&gt;=DATE(Calendario!$C$3,Calendario!$C$2,1))*($I$2:$I$151&lt;DATE(Calendario!$C$3,Calendario!$C$2+1,1))*($L$2:$L$151&lt;&gt;"Realizado")*($L$2:$L$151&lt;&gt;"Cancelado")))</f>
        <v/>
      </c>
    </row>
    <row r="129" ht="15" customHeight="1" s="1">
      <c r="A129" s="13">
        <f>IF(B129="","",ROW()-1)</f>
        <v/>
      </c>
      <c r="B129" s="14" t="n"/>
      <c r="C129" s="13">
        <f>IFERROR(INDEX(Clientes!$C:$C,MATCH(B129,Clientes!$B:$B,0)),"")</f>
        <v/>
      </c>
      <c r="D129" s="14">
        <f>IFERROR(INDEX(Clientes!$D:$D,MATCH(B129,Clientes!$B:$B,0)),"")</f>
        <v/>
      </c>
      <c r="E129" s="14">
        <f>IFERROR(INDEX(Clientes!$M:$M,MATCH(B129,Clientes!$B:$B,0)),"")</f>
        <v/>
      </c>
      <c r="F129" s="14">
        <f>IFERROR(INDEX(Clientes!$F:$F,MATCH(B129,Clientes!$B:$B,0)),"")</f>
        <v/>
      </c>
      <c r="G129" s="14">
        <f>IFERROR(INDEX(Clientes!$G:$G,MATCH(B129,Clientes!$B:$B,0)),"")</f>
        <v/>
      </c>
      <c r="H129" s="14" t="n"/>
      <c r="I129" s="15" t="n"/>
      <c r="J129" s="16" t="n"/>
      <c r="K129" s="14" t="n"/>
      <c r="L129" s="14" t="n"/>
      <c r="M129" s="13">
        <f>IF(I129="","",I129-TODAY())</f>
        <v/>
      </c>
      <c r="N129" s="14" t="n"/>
      <c r="O129" s="14">
        <f>IFERROR(IF(B129="","",IF(H129="","",IF(H129="Otro (mensaje libre)","",IF(H129="Requisitos (Crédito/Contado)",IF(OR(F129="",G129=""),"Indica primero el Método de Compra y el Tipo de Persona del cliente en la pestaña Clientes.",_xlfn.SWITCH($F129&amp;"|"&amp;$G129,"Crédito|Persona física","Hola, "&amp;$B129&amp;", para continuar con el proceso de tu *"&amp;$D129&amp;"* por "&amp;$F129&amp;",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"&amp;$B129&amp;", para continuar con el proceso de tu *"&amp;$D129&amp;"* por "&amp;$F129&amp;",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"&amp;$B129&amp;", para continuar con el proceso de tu *"&amp;$D129&amp;"* por "&amp;$F129&amp;",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"&amp;$B129&amp;", para continuar con el proceso de tu *"&amp;$D129&amp;"* por "&amp;$F129&amp;", estos son los documentos que necesitamos:"&amp;CHAR(10)&amp;CHAR(10)&amp;"- INE"&amp;CHAR(10)&amp;"- Comprobante de domicilio"&amp;CHAR(10)&amp;"- Constancia de situación fiscal (no mayor a 3 meses)","Contado|Persona física con actividad empresarial","Hola, "&amp;$B129&amp;", para continuar con el proceso de tu *"&amp;$D129&amp;"* por "&amp;$F129&amp;", estos son los documentos que necesitamos:"&amp;CHAR(10)&amp;CHAR(10)&amp;"- INE"&amp;CHAR(10)&amp;"- Comprobante de domicilio"&amp;CHAR(10)&amp;"- Constancia de situación fiscal (no mayor a 3 meses)","Contado|Persona moral","Hola, "&amp;$B129&amp;", para continuar con el proceso de tu *"&amp;$D129&amp;"* por "&amp;$F129&amp;",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Clientes.")&amp;CHAR(10)&amp;CHAR(10)&amp;Config!$B$1),IF(D129="","",SUBSTITUTE(SUBSTITUTE(INDEX('Catálogo Mensajes'!$D:$J,MATCH($D129,'Catálogo Mensajes'!$B:$B,0),MATCH($H129,'Catálogo Mensajes'!$D$4:$J$4,0)),"{NOMBRE}",$B129),"{PROMO}",'Catálogo Mensajes'!$C$2)&amp;CHAR(10)&amp;CHAR(10)&amp;Config!$B$1))))),"")</f>
        <v/>
      </c>
      <c r="P129" s="13">
        <f>IF(OR(O129="",C129=""),"",HYPERLINK("https://wa.me/52"&amp;C129&amp;"?text="&amp;_xlfn.ENCODEURL(O129),"Enviar mensaje"))</f>
        <v/>
      </c>
      <c r="Q129" s="13">
        <f>IF(OR(I129="",L129="Realizado",L129="Cancelado"),"",SUMPRODUCT(($I$2:$I$151&lt;I129)*($I$2:$I$151&gt;=DATE(Calendario!$C$3,Calendario!$C$2,1))*($I$2:$I$151&lt;DATE(Calendario!$C$3,Calendario!$C$2+1,1))*($L$2:$L$151&lt;&gt;"Realizado")*($L$2:$L$151&lt;&gt;"Cancelado"))+SUMPRODUCT(($I$2:$I$151=I129)*(ROW($I$2:$I$151)&lt;=ROW())*($I$2:$I$151&gt;=DATE(Calendario!$C$3,Calendario!$C$2,1))*($I$2:$I$151&lt;DATE(Calendario!$C$3,Calendario!$C$2+1,1))*($L$2:$L$151&lt;&gt;"Realizado")*($L$2:$L$151&lt;&gt;"Cancelado")))</f>
        <v/>
      </c>
    </row>
    <row r="130" ht="15" customHeight="1" s="1">
      <c r="A130" s="13">
        <f>IF(B130="","",ROW()-1)</f>
        <v/>
      </c>
      <c r="B130" s="14" t="n"/>
      <c r="C130" s="13">
        <f>IFERROR(INDEX(Clientes!$C:$C,MATCH(B130,Clientes!$B:$B,0)),"")</f>
        <v/>
      </c>
      <c r="D130" s="14">
        <f>IFERROR(INDEX(Clientes!$D:$D,MATCH(B130,Clientes!$B:$B,0)),"")</f>
        <v/>
      </c>
      <c r="E130" s="14">
        <f>IFERROR(INDEX(Clientes!$M:$M,MATCH(B130,Clientes!$B:$B,0)),"")</f>
        <v/>
      </c>
      <c r="F130" s="14">
        <f>IFERROR(INDEX(Clientes!$F:$F,MATCH(B130,Clientes!$B:$B,0)),"")</f>
        <v/>
      </c>
      <c r="G130" s="14">
        <f>IFERROR(INDEX(Clientes!$G:$G,MATCH(B130,Clientes!$B:$B,0)),"")</f>
        <v/>
      </c>
      <c r="H130" s="14" t="n"/>
      <c r="I130" s="15" t="n"/>
      <c r="J130" s="16" t="n"/>
      <c r="K130" s="14" t="n"/>
      <c r="L130" s="14" t="n"/>
      <c r="M130" s="13">
        <f>IF(I130="","",I130-TODAY())</f>
        <v/>
      </c>
      <c r="N130" s="14" t="n"/>
      <c r="O130" s="14">
        <f>IFERROR(IF(B130="","",IF(H130="","",IF(H130="Otro (mensaje libre)","",IF(H130="Requisitos (Crédito/Contado)",IF(OR(F130="",G130=""),"Indica primero el Método de Compra y el Tipo de Persona del cliente en la pestaña Clientes.",_xlfn.SWITCH($F130&amp;"|"&amp;$G130,"Crédito|Persona física","Hola, "&amp;$B130&amp;", para continuar con el proceso de tu *"&amp;$D130&amp;"* por "&amp;$F130&amp;",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"&amp;$B130&amp;", para continuar con el proceso de tu *"&amp;$D130&amp;"* por "&amp;$F130&amp;",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"&amp;$B130&amp;", para continuar con el proceso de tu *"&amp;$D130&amp;"* por "&amp;$F130&amp;",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"&amp;$B130&amp;", para continuar con el proceso de tu *"&amp;$D130&amp;"* por "&amp;$F130&amp;", estos son los documentos que necesitamos:"&amp;CHAR(10)&amp;CHAR(10)&amp;"- INE"&amp;CHAR(10)&amp;"- Comprobante de domicilio"&amp;CHAR(10)&amp;"- Constancia de situación fiscal (no mayor a 3 meses)","Contado|Persona física con actividad empresarial","Hola, "&amp;$B130&amp;", para continuar con el proceso de tu *"&amp;$D130&amp;"* por "&amp;$F130&amp;", estos son los documentos que necesitamos:"&amp;CHAR(10)&amp;CHAR(10)&amp;"- INE"&amp;CHAR(10)&amp;"- Comprobante de domicilio"&amp;CHAR(10)&amp;"- Constancia de situación fiscal (no mayor a 3 meses)","Contado|Persona moral","Hola, "&amp;$B130&amp;", para continuar con el proceso de tu *"&amp;$D130&amp;"* por "&amp;$F130&amp;",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Clientes.")&amp;CHAR(10)&amp;CHAR(10)&amp;Config!$B$1),IF(D130="","",SUBSTITUTE(SUBSTITUTE(INDEX('Catálogo Mensajes'!$D:$J,MATCH($D130,'Catálogo Mensajes'!$B:$B,0),MATCH($H130,'Catálogo Mensajes'!$D$4:$J$4,0)),"{NOMBRE}",$B130),"{PROMO}",'Catálogo Mensajes'!$C$2)&amp;CHAR(10)&amp;CHAR(10)&amp;Config!$B$1))))),"")</f>
        <v/>
      </c>
      <c r="P130" s="13">
        <f>IF(OR(O130="",C130=""),"",HYPERLINK("https://wa.me/52"&amp;C130&amp;"?text="&amp;_xlfn.ENCODEURL(O130),"Enviar mensaje"))</f>
        <v/>
      </c>
      <c r="Q130" s="13">
        <f>IF(OR(I130="",L130="Realizado",L130="Cancelado"),"",SUMPRODUCT(($I$2:$I$151&lt;I130)*($I$2:$I$151&gt;=DATE(Calendario!$C$3,Calendario!$C$2,1))*($I$2:$I$151&lt;DATE(Calendario!$C$3,Calendario!$C$2+1,1))*($L$2:$L$151&lt;&gt;"Realizado")*($L$2:$L$151&lt;&gt;"Cancelado"))+SUMPRODUCT(($I$2:$I$151=I130)*(ROW($I$2:$I$151)&lt;=ROW())*($I$2:$I$151&gt;=DATE(Calendario!$C$3,Calendario!$C$2,1))*($I$2:$I$151&lt;DATE(Calendario!$C$3,Calendario!$C$2+1,1))*($L$2:$L$151&lt;&gt;"Realizado")*($L$2:$L$151&lt;&gt;"Cancelado")))</f>
        <v/>
      </c>
    </row>
    <row r="131" ht="15" customHeight="1" s="1">
      <c r="A131" s="13">
        <f>IF(B131="","",ROW()-1)</f>
        <v/>
      </c>
      <c r="B131" s="14" t="n"/>
      <c r="C131" s="13">
        <f>IFERROR(INDEX(Clientes!$C:$C,MATCH(B131,Clientes!$B:$B,0)),"")</f>
        <v/>
      </c>
      <c r="D131" s="14">
        <f>IFERROR(INDEX(Clientes!$D:$D,MATCH(B131,Clientes!$B:$B,0)),"")</f>
        <v/>
      </c>
      <c r="E131" s="14">
        <f>IFERROR(INDEX(Clientes!$M:$M,MATCH(B131,Clientes!$B:$B,0)),"")</f>
        <v/>
      </c>
      <c r="F131" s="14">
        <f>IFERROR(INDEX(Clientes!$F:$F,MATCH(B131,Clientes!$B:$B,0)),"")</f>
        <v/>
      </c>
      <c r="G131" s="14">
        <f>IFERROR(INDEX(Clientes!$G:$G,MATCH(B131,Clientes!$B:$B,0)),"")</f>
        <v/>
      </c>
      <c r="H131" s="14" t="n"/>
      <c r="I131" s="15" t="n"/>
      <c r="J131" s="16" t="n"/>
      <c r="K131" s="14" t="n"/>
      <c r="L131" s="14" t="n"/>
      <c r="M131" s="13">
        <f>IF(I131="","",I131-TODAY())</f>
        <v/>
      </c>
      <c r="N131" s="14" t="n"/>
      <c r="O131" s="14">
        <f>IFERROR(IF(B131="","",IF(H131="","",IF(H131="Otro (mensaje libre)","",IF(H131="Requisitos (Crédito/Contado)",IF(OR(F131="",G131=""),"Indica primero el Método de Compra y el Tipo de Persona del cliente en la pestaña Clientes.",_xlfn.SWITCH($F131&amp;"|"&amp;$G131,"Crédito|Persona física","Hola, "&amp;$B131&amp;", para continuar con el proceso de tu *"&amp;$D131&amp;"* por "&amp;$F131&amp;",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"&amp;$B131&amp;", para continuar con el proceso de tu *"&amp;$D131&amp;"* por "&amp;$F131&amp;",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"&amp;$B131&amp;", para continuar con el proceso de tu *"&amp;$D131&amp;"* por "&amp;$F131&amp;",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"&amp;$B131&amp;", para continuar con el proceso de tu *"&amp;$D131&amp;"* por "&amp;$F131&amp;", estos son los documentos que necesitamos:"&amp;CHAR(10)&amp;CHAR(10)&amp;"- INE"&amp;CHAR(10)&amp;"- Comprobante de domicilio"&amp;CHAR(10)&amp;"- Constancia de situación fiscal (no mayor a 3 meses)","Contado|Persona física con actividad empresarial","Hola, "&amp;$B131&amp;", para continuar con el proceso de tu *"&amp;$D131&amp;"* por "&amp;$F131&amp;", estos son los documentos que necesitamos:"&amp;CHAR(10)&amp;CHAR(10)&amp;"- INE"&amp;CHAR(10)&amp;"- Comprobante de domicilio"&amp;CHAR(10)&amp;"- Constancia de situación fiscal (no mayor a 3 meses)","Contado|Persona moral","Hola, "&amp;$B131&amp;", para continuar con el proceso de tu *"&amp;$D131&amp;"* por "&amp;$F131&amp;",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Clientes.")&amp;CHAR(10)&amp;CHAR(10)&amp;Config!$B$1),IF(D131="","",SUBSTITUTE(SUBSTITUTE(INDEX('Catálogo Mensajes'!$D:$J,MATCH($D131,'Catálogo Mensajes'!$B:$B,0),MATCH($H131,'Catálogo Mensajes'!$D$4:$J$4,0)),"{NOMBRE}",$B131),"{PROMO}",'Catálogo Mensajes'!$C$2)&amp;CHAR(10)&amp;CHAR(10)&amp;Config!$B$1))))),"")</f>
        <v/>
      </c>
      <c r="P131" s="13">
        <f>IF(OR(O131="",C131=""),"",HYPERLINK("https://wa.me/52"&amp;C131&amp;"?text="&amp;_xlfn.ENCODEURL(O131),"Enviar mensaje"))</f>
        <v/>
      </c>
      <c r="Q131" s="13">
        <f>IF(OR(I131="",L131="Realizado",L131="Cancelado"),"",SUMPRODUCT(($I$2:$I$151&lt;I131)*($I$2:$I$151&gt;=DATE(Calendario!$C$3,Calendario!$C$2,1))*($I$2:$I$151&lt;DATE(Calendario!$C$3,Calendario!$C$2+1,1))*($L$2:$L$151&lt;&gt;"Realizado")*($L$2:$L$151&lt;&gt;"Cancelado"))+SUMPRODUCT(($I$2:$I$151=I131)*(ROW($I$2:$I$151)&lt;=ROW())*($I$2:$I$151&gt;=DATE(Calendario!$C$3,Calendario!$C$2,1))*($I$2:$I$151&lt;DATE(Calendario!$C$3,Calendario!$C$2+1,1))*($L$2:$L$151&lt;&gt;"Realizado")*($L$2:$L$151&lt;&gt;"Cancelado")))</f>
        <v/>
      </c>
    </row>
    <row r="132" ht="15" customHeight="1" s="1">
      <c r="A132" s="13">
        <f>IF(B132="","",ROW()-1)</f>
        <v/>
      </c>
      <c r="B132" s="14" t="n"/>
      <c r="C132" s="13">
        <f>IFERROR(INDEX(Clientes!$C:$C,MATCH(B132,Clientes!$B:$B,0)),"")</f>
        <v/>
      </c>
      <c r="D132" s="14">
        <f>IFERROR(INDEX(Clientes!$D:$D,MATCH(B132,Clientes!$B:$B,0)),"")</f>
        <v/>
      </c>
      <c r="E132" s="14">
        <f>IFERROR(INDEX(Clientes!$M:$M,MATCH(B132,Clientes!$B:$B,0)),"")</f>
        <v/>
      </c>
      <c r="F132" s="14">
        <f>IFERROR(INDEX(Clientes!$F:$F,MATCH(B132,Clientes!$B:$B,0)),"")</f>
        <v/>
      </c>
      <c r="G132" s="14">
        <f>IFERROR(INDEX(Clientes!$G:$G,MATCH(B132,Clientes!$B:$B,0)),"")</f>
        <v/>
      </c>
      <c r="H132" s="14" t="n"/>
      <c r="I132" s="15" t="n"/>
      <c r="J132" s="16" t="n"/>
      <c r="K132" s="14" t="n"/>
      <c r="L132" s="14" t="n"/>
      <c r="M132" s="13">
        <f>IF(I132="","",I132-TODAY())</f>
        <v/>
      </c>
      <c r="N132" s="14" t="n"/>
      <c r="O132" s="14">
        <f>IFERROR(IF(B132="","",IF(H132="","",IF(H132="Otro (mensaje libre)","",IF(H132="Requisitos (Crédito/Contado)",IF(OR(F132="",G132=""),"Indica primero el Método de Compra y el Tipo de Persona del cliente en la pestaña Clientes.",_xlfn.SWITCH($F132&amp;"|"&amp;$G132,"Crédito|Persona física","Hola, "&amp;$B132&amp;", para continuar con el proceso de tu *"&amp;$D132&amp;"* por "&amp;$F132&amp;",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"&amp;$B132&amp;", para continuar con el proceso de tu *"&amp;$D132&amp;"* por "&amp;$F132&amp;",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"&amp;$B132&amp;", para continuar con el proceso de tu *"&amp;$D132&amp;"* por "&amp;$F132&amp;",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"&amp;$B132&amp;", para continuar con el proceso de tu *"&amp;$D132&amp;"* por "&amp;$F132&amp;", estos son los documentos que necesitamos:"&amp;CHAR(10)&amp;CHAR(10)&amp;"- INE"&amp;CHAR(10)&amp;"- Comprobante de domicilio"&amp;CHAR(10)&amp;"- Constancia de situación fiscal (no mayor a 3 meses)","Contado|Persona física con actividad empresarial","Hola, "&amp;$B132&amp;", para continuar con el proceso de tu *"&amp;$D132&amp;"* por "&amp;$F132&amp;", estos son los documentos que necesitamos:"&amp;CHAR(10)&amp;CHAR(10)&amp;"- INE"&amp;CHAR(10)&amp;"- Comprobante de domicilio"&amp;CHAR(10)&amp;"- Constancia de situación fiscal (no mayor a 3 meses)","Contado|Persona moral","Hola, "&amp;$B132&amp;", para continuar con el proceso de tu *"&amp;$D132&amp;"* por "&amp;$F132&amp;",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Clientes.")&amp;CHAR(10)&amp;CHAR(10)&amp;Config!$B$1),IF(D132="","",SUBSTITUTE(SUBSTITUTE(INDEX('Catálogo Mensajes'!$D:$J,MATCH($D132,'Catálogo Mensajes'!$B:$B,0),MATCH($H132,'Catálogo Mensajes'!$D$4:$J$4,0)),"{NOMBRE}",$B132),"{PROMO}",'Catálogo Mensajes'!$C$2)&amp;CHAR(10)&amp;CHAR(10)&amp;Config!$B$1))))),"")</f>
        <v/>
      </c>
      <c r="P132" s="13">
        <f>IF(OR(O132="",C132=""),"",HYPERLINK("https://wa.me/52"&amp;C132&amp;"?text="&amp;_xlfn.ENCODEURL(O132),"Enviar mensaje"))</f>
        <v/>
      </c>
      <c r="Q132" s="13">
        <f>IF(OR(I132="",L132="Realizado",L132="Cancelado"),"",SUMPRODUCT(($I$2:$I$151&lt;I132)*($I$2:$I$151&gt;=DATE(Calendario!$C$3,Calendario!$C$2,1))*($I$2:$I$151&lt;DATE(Calendario!$C$3,Calendario!$C$2+1,1))*($L$2:$L$151&lt;&gt;"Realizado")*($L$2:$L$151&lt;&gt;"Cancelado"))+SUMPRODUCT(($I$2:$I$151=I132)*(ROW($I$2:$I$151)&lt;=ROW())*($I$2:$I$151&gt;=DATE(Calendario!$C$3,Calendario!$C$2,1))*($I$2:$I$151&lt;DATE(Calendario!$C$3,Calendario!$C$2+1,1))*($L$2:$L$151&lt;&gt;"Realizado")*($L$2:$L$151&lt;&gt;"Cancelado")))</f>
        <v/>
      </c>
    </row>
    <row r="133" ht="15" customHeight="1" s="1">
      <c r="A133" s="13">
        <f>IF(B133="","",ROW()-1)</f>
        <v/>
      </c>
      <c r="B133" s="14" t="n"/>
      <c r="C133" s="13">
        <f>IFERROR(INDEX(Clientes!$C:$C,MATCH(B133,Clientes!$B:$B,0)),"")</f>
        <v/>
      </c>
      <c r="D133" s="14">
        <f>IFERROR(INDEX(Clientes!$D:$D,MATCH(B133,Clientes!$B:$B,0)),"")</f>
        <v/>
      </c>
      <c r="E133" s="14">
        <f>IFERROR(INDEX(Clientes!$M:$M,MATCH(B133,Clientes!$B:$B,0)),"")</f>
        <v/>
      </c>
      <c r="F133" s="14">
        <f>IFERROR(INDEX(Clientes!$F:$F,MATCH(B133,Clientes!$B:$B,0)),"")</f>
        <v/>
      </c>
      <c r="G133" s="14">
        <f>IFERROR(INDEX(Clientes!$G:$G,MATCH(B133,Clientes!$B:$B,0)),"")</f>
        <v/>
      </c>
      <c r="H133" s="14" t="n"/>
      <c r="I133" s="15" t="n"/>
      <c r="J133" s="16" t="n"/>
      <c r="K133" s="14" t="n"/>
      <c r="L133" s="14" t="n"/>
      <c r="M133" s="13">
        <f>IF(I133="","",I133-TODAY())</f>
        <v/>
      </c>
      <c r="N133" s="14" t="n"/>
      <c r="O133" s="14">
        <f>IFERROR(IF(B133="","",IF(H133="","",IF(H133="Otro (mensaje libre)","",IF(H133="Requisitos (Crédito/Contado)",IF(OR(F133="",G133=""),"Indica primero el Método de Compra y el Tipo de Persona del cliente en la pestaña Clientes.",_xlfn.SWITCH($F133&amp;"|"&amp;$G133,"Crédito|Persona física","Hola, "&amp;$B133&amp;", para continuar con el proceso de tu *"&amp;$D133&amp;"* por "&amp;$F133&amp;",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"&amp;$B133&amp;", para continuar con el proceso de tu *"&amp;$D133&amp;"* por "&amp;$F133&amp;",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"&amp;$B133&amp;", para continuar con el proceso de tu *"&amp;$D133&amp;"* por "&amp;$F133&amp;",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"&amp;$B133&amp;", para continuar con el proceso de tu *"&amp;$D133&amp;"* por "&amp;$F133&amp;", estos son los documentos que necesitamos:"&amp;CHAR(10)&amp;CHAR(10)&amp;"- INE"&amp;CHAR(10)&amp;"- Comprobante de domicilio"&amp;CHAR(10)&amp;"- Constancia de situación fiscal (no mayor a 3 meses)","Contado|Persona física con actividad empresarial","Hola, "&amp;$B133&amp;", para continuar con el proceso de tu *"&amp;$D133&amp;"* por "&amp;$F133&amp;", estos son los documentos que necesitamos:"&amp;CHAR(10)&amp;CHAR(10)&amp;"- INE"&amp;CHAR(10)&amp;"- Comprobante de domicilio"&amp;CHAR(10)&amp;"- Constancia de situación fiscal (no mayor a 3 meses)","Contado|Persona moral","Hola, "&amp;$B133&amp;", para continuar con el proceso de tu *"&amp;$D133&amp;"* por "&amp;$F133&amp;",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Clientes.")&amp;CHAR(10)&amp;CHAR(10)&amp;Config!$B$1),IF(D133="","",SUBSTITUTE(SUBSTITUTE(INDEX('Catálogo Mensajes'!$D:$J,MATCH($D133,'Catálogo Mensajes'!$B:$B,0),MATCH($H133,'Catálogo Mensajes'!$D$4:$J$4,0)),"{NOMBRE}",$B133),"{PROMO}",'Catálogo Mensajes'!$C$2)&amp;CHAR(10)&amp;CHAR(10)&amp;Config!$B$1))))),"")</f>
        <v/>
      </c>
      <c r="P133" s="13">
        <f>IF(OR(O133="",C133=""),"",HYPERLINK("https://wa.me/52"&amp;C133&amp;"?text="&amp;_xlfn.ENCODEURL(O133),"Enviar mensaje"))</f>
        <v/>
      </c>
      <c r="Q133" s="13">
        <f>IF(OR(I133="",L133="Realizado",L133="Cancelado"),"",SUMPRODUCT(($I$2:$I$151&lt;I133)*($I$2:$I$151&gt;=DATE(Calendario!$C$3,Calendario!$C$2,1))*($I$2:$I$151&lt;DATE(Calendario!$C$3,Calendario!$C$2+1,1))*($L$2:$L$151&lt;&gt;"Realizado")*($L$2:$L$151&lt;&gt;"Cancelado"))+SUMPRODUCT(($I$2:$I$151=I133)*(ROW($I$2:$I$151)&lt;=ROW())*($I$2:$I$151&gt;=DATE(Calendario!$C$3,Calendario!$C$2,1))*($I$2:$I$151&lt;DATE(Calendario!$C$3,Calendario!$C$2+1,1))*($L$2:$L$151&lt;&gt;"Realizado")*($L$2:$L$151&lt;&gt;"Cancelado")))</f>
        <v/>
      </c>
    </row>
    <row r="134" ht="15" customHeight="1" s="1">
      <c r="A134" s="13">
        <f>IF(B134="","",ROW()-1)</f>
        <v/>
      </c>
      <c r="B134" s="14" t="n"/>
      <c r="C134" s="13">
        <f>IFERROR(INDEX(Clientes!$C:$C,MATCH(B134,Clientes!$B:$B,0)),"")</f>
        <v/>
      </c>
      <c r="D134" s="14">
        <f>IFERROR(INDEX(Clientes!$D:$D,MATCH(B134,Clientes!$B:$B,0)),"")</f>
        <v/>
      </c>
      <c r="E134" s="14">
        <f>IFERROR(INDEX(Clientes!$M:$M,MATCH(B134,Clientes!$B:$B,0)),"")</f>
        <v/>
      </c>
      <c r="F134" s="14">
        <f>IFERROR(INDEX(Clientes!$F:$F,MATCH(B134,Clientes!$B:$B,0)),"")</f>
        <v/>
      </c>
      <c r="G134" s="14">
        <f>IFERROR(INDEX(Clientes!$G:$G,MATCH(B134,Clientes!$B:$B,0)),"")</f>
        <v/>
      </c>
      <c r="H134" s="14" t="n"/>
      <c r="I134" s="15" t="n"/>
      <c r="J134" s="16" t="n"/>
      <c r="K134" s="14" t="n"/>
      <c r="L134" s="14" t="n"/>
      <c r="M134" s="13">
        <f>IF(I134="","",I134-TODAY())</f>
        <v/>
      </c>
      <c r="N134" s="14" t="n"/>
      <c r="O134" s="14">
        <f>IFERROR(IF(B134="","",IF(H134="","",IF(H134="Otro (mensaje libre)","",IF(H134="Requisitos (Crédito/Contado)",IF(OR(F134="",G134=""),"Indica primero el Método de Compra y el Tipo de Persona del cliente en la pestaña Clientes.",_xlfn.SWITCH($F134&amp;"|"&amp;$G134,"Crédito|Persona física","Hola, "&amp;$B134&amp;", para continuar con el proceso de tu *"&amp;$D134&amp;"* por "&amp;$F134&amp;",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"&amp;$B134&amp;", para continuar con el proceso de tu *"&amp;$D134&amp;"* por "&amp;$F134&amp;",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"&amp;$B134&amp;", para continuar con el proceso de tu *"&amp;$D134&amp;"* por "&amp;$F134&amp;",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"&amp;$B134&amp;", para continuar con el proceso de tu *"&amp;$D134&amp;"* por "&amp;$F134&amp;", estos son los documentos que necesitamos:"&amp;CHAR(10)&amp;CHAR(10)&amp;"- INE"&amp;CHAR(10)&amp;"- Comprobante de domicilio"&amp;CHAR(10)&amp;"- Constancia de situación fiscal (no mayor a 3 meses)","Contado|Persona física con actividad empresarial","Hola, "&amp;$B134&amp;", para continuar con el proceso de tu *"&amp;$D134&amp;"* por "&amp;$F134&amp;", estos son los documentos que necesitamos:"&amp;CHAR(10)&amp;CHAR(10)&amp;"- INE"&amp;CHAR(10)&amp;"- Comprobante de domicilio"&amp;CHAR(10)&amp;"- Constancia de situación fiscal (no mayor a 3 meses)","Contado|Persona moral","Hola, "&amp;$B134&amp;", para continuar con el proceso de tu *"&amp;$D134&amp;"* por "&amp;$F134&amp;",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Clientes.")&amp;CHAR(10)&amp;CHAR(10)&amp;Config!$B$1),IF(D134="","",SUBSTITUTE(SUBSTITUTE(INDEX('Catálogo Mensajes'!$D:$J,MATCH($D134,'Catálogo Mensajes'!$B:$B,0),MATCH($H134,'Catálogo Mensajes'!$D$4:$J$4,0)),"{NOMBRE}",$B134),"{PROMO}",'Catálogo Mensajes'!$C$2)&amp;CHAR(10)&amp;CHAR(10)&amp;Config!$B$1))))),"")</f>
        <v/>
      </c>
      <c r="P134" s="13">
        <f>IF(OR(O134="",C134=""),"",HYPERLINK("https://wa.me/52"&amp;C134&amp;"?text="&amp;_xlfn.ENCODEURL(O134),"Enviar mensaje"))</f>
        <v/>
      </c>
      <c r="Q134" s="13">
        <f>IF(OR(I134="",L134="Realizado",L134="Cancelado"),"",SUMPRODUCT(($I$2:$I$151&lt;I134)*($I$2:$I$151&gt;=DATE(Calendario!$C$3,Calendario!$C$2,1))*($I$2:$I$151&lt;DATE(Calendario!$C$3,Calendario!$C$2+1,1))*($L$2:$L$151&lt;&gt;"Realizado")*($L$2:$L$151&lt;&gt;"Cancelado"))+SUMPRODUCT(($I$2:$I$151=I134)*(ROW($I$2:$I$151)&lt;=ROW())*($I$2:$I$151&gt;=DATE(Calendario!$C$3,Calendario!$C$2,1))*($I$2:$I$151&lt;DATE(Calendario!$C$3,Calendario!$C$2+1,1))*($L$2:$L$151&lt;&gt;"Realizado")*($L$2:$L$151&lt;&gt;"Cancelado")))</f>
        <v/>
      </c>
    </row>
    <row r="135" ht="15" customHeight="1" s="1">
      <c r="A135" s="13">
        <f>IF(B135="","",ROW()-1)</f>
        <v/>
      </c>
      <c r="B135" s="14" t="n"/>
      <c r="C135" s="13">
        <f>IFERROR(INDEX(Clientes!$C:$C,MATCH(B135,Clientes!$B:$B,0)),"")</f>
        <v/>
      </c>
      <c r="D135" s="14">
        <f>IFERROR(INDEX(Clientes!$D:$D,MATCH(B135,Clientes!$B:$B,0)),"")</f>
        <v/>
      </c>
      <c r="E135" s="14">
        <f>IFERROR(INDEX(Clientes!$M:$M,MATCH(B135,Clientes!$B:$B,0)),"")</f>
        <v/>
      </c>
      <c r="F135" s="14">
        <f>IFERROR(INDEX(Clientes!$F:$F,MATCH(B135,Clientes!$B:$B,0)),"")</f>
        <v/>
      </c>
      <c r="G135" s="14">
        <f>IFERROR(INDEX(Clientes!$G:$G,MATCH(B135,Clientes!$B:$B,0)),"")</f>
        <v/>
      </c>
      <c r="H135" s="14" t="n"/>
      <c r="I135" s="15" t="n"/>
      <c r="J135" s="16" t="n"/>
      <c r="K135" s="14" t="n"/>
      <c r="L135" s="14" t="n"/>
      <c r="M135" s="13">
        <f>IF(I135="","",I135-TODAY())</f>
        <v/>
      </c>
      <c r="N135" s="14" t="n"/>
      <c r="O135" s="14">
        <f>IFERROR(IF(B135="","",IF(H135="","",IF(H135="Otro (mensaje libre)","",IF(H135="Requisitos (Crédito/Contado)",IF(OR(F135="",G135=""),"Indica primero el Método de Compra y el Tipo de Persona del cliente en la pestaña Clientes.",_xlfn.SWITCH($F135&amp;"|"&amp;$G135,"Crédito|Persona física","Hola, "&amp;$B135&amp;", para continuar con el proceso de tu *"&amp;$D135&amp;"* por "&amp;$F135&amp;",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"&amp;$B135&amp;", para continuar con el proceso de tu *"&amp;$D135&amp;"* por "&amp;$F135&amp;",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"&amp;$B135&amp;", para continuar con el proceso de tu *"&amp;$D135&amp;"* por "&amp;$F135&amp;",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"&amp;$B135&amp;", para continuar con el proceso de tu *"&amp;$D135&amp;"* por "&amp;$F135&amp;", estos son los documentos que necesitamos:"&amp;CHAR(10)&amp;CHAR(10)&amp;"- INE"&amp;CHAR(10)&amp;"- Comprobante de domicilio"&amp;CHAR(10)&amp;"- Constancia de situación fiscal (no mayor a 3 meses)","Contado|Persona física con actividad empresarial","Hola, "&amp;$B135&amp;", para continuar con el proceso de tu *"&amp;$D135&amp;"* por "&amp;$F135&amp;", estos son los documentos que necesitamos:"&amp;CHAR(10)&amp;CHAR(10)&amp;"- INE"&amp;CHAR(10)&amp;"- Comprobante de domicilio"&amp;CHAR(10)&amp;"- Constancia de situación fiscal (no mayor a 3 meses)","Contado|Persona moral","Hola, "&amp;$B135&amp;", para continuar con el proceso de tu *"&amp;$D135&amp;"* por "&amp;$F135&amp;",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Clientes.")&amp;CHAR(10)&amp;CHAR(10)&amp;Config!$B$1),IF(D135="","",SUBSTITUTE(SUBSTITUTE(INDEX('Catálogo Mensajes'!$D:$J,MATCH($D135,'Catálogo Mensajes'!$B:$B,0),MATCH($H135,'Catálogo Mensajes'!$D$4:$J$4,0)),"{NOMBRE}",$B135),"{PROMO}",'Catálogo Mensajes'!$C$2)&amp;CHAR(10)&amp;CHAR(10)&amp;Config!$B$1))))),"")</f>
        <v/>
      </c>
      <c r="P135" s="13">
        <f>IF(OR(O135="",C135=""),"",HYPERLINK("https://wa.me/52"&amp;C135&amp;"?text="&amp;_xlfn.ENCODEURL(O135),"Enviar mensaje"))</f>
        <v/>
      </c>
      <c r="Q135" s="13">
        <f>IF(OR(I135="",L135="Realizado",L135="Cancelado"),"",SUMPRODUCT(($I$2:$I$151&lt;I135)*($I$2:$I$151&gt;=DATE(Calendario!$C$3,Calendario!$C$2,1))*($I$2:$I$151&lt;DATE(Calendario!$C$3,Calendario!$C$2+1,1))*($L$2:$L$151&lt;&gt;"Realizado")*($L$2:$L$151&lt;&gt;"Cancelado"))+SUMPRODUCT(($I$2:$I$151=I135)*(ROW($I$2:$I$151)&lt;=ROW())*($I$2:$I$151&gt;=DATE(Calendario!$C$3,Calendario!$C$2,1))*($I$2:$I$151&lt;DATE(Calendario!$C$3,Calendario!$C$2+1,1))*($L$2:$L$151&lt;&gt;"Realizado")*($L$2:$L$151&lt;&gt;"Cancelado")))</f>
        <v/>
      </c>
    </row>
    <row r="136" ht="15" customHeight="1" s="1">
      <c r="A136" s="13">
        <f>IF(B136="","",ROW()-1)</f>
        <v/>
      </c>
      <c r="B136" s="14" t="n"/>
      <c r="C136" s="13">
        <f>IFERROR(INDEX(Clientes!$C:$C,MATCH(B136,Clientes!$B:$B,0)),"")</f>
        <v/>
      </c>
      <c r="D136" s="14">
        <f>IFERROR(INDEX(Clientes!$D:$D,MATCH(B136,Clientes!$B:$B,0)),"")</f>
        <v/>
      </c>
      <c r="E136" s="14">
        <f>IFERROR(INDEX(Clientes!$M:$M,MATCH(B136,Clientes!$B:$B,0)),"")</f>
        <v/>
      </c>
      <c r="F136" s="14">
        <f>IFERROR(INDEX(Clientes!$F:$F,MATCH(B136,Clientes!$B:$B,0)),"")</f>
        <v/>
      </c>
      <c r="G136" s="14">
        <f>IFERROR(INDEX(Clientes!$G:$G,MATCH(B136,Clientes!$B:$B,0)),"")</f>
        <v/>
      </c>
      <c r="H136" s="14" t="n"/>
      <c r="I136" s="15" t="n"/>
      <c r="J136" s="16" t="n"/>
      <c r="K136" s="14" t="n"/>
      <c r="L136" s="14" t="n"/>
      <c r="M136" s="13">
        <f>IF(I136="","",I136-TODAY())</f>
        <v/>
      </c>
      <c r="N136" s="14" t="n"/>
      <c r="O136" s="14">
        <f>IFERROR(IF(B136="","",IF(H136="","",IF(H136="Otro (mensaje libre)","",IF(H136="Requisitos (Crédito/Contado)",IF(OR(F136="",G136=""),"Indica primero el Método de Compra y el Tipo de Persona del cliente en la pestaña Clientes.",_xlfn.SWITCH($F136&amp;"|"&amp;$G136,"Crédito|Persona física","Hola, "&amp;$B136&amp;", para continuar con el proceso de tu *"&amp;$D136&amp;"* por "&amp;$F136&amp;",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"&amp;$B136&amp;", para continuar con el proceso de tu *"&amp;$D136&amp;"* por "&amp;$F136&amp;",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"&amp;$B136&amp;", para continuar con el proceso de tu *"&amp;$D136&amp;"* por "&amp;$F136&amp;",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"&amp;$B136&amp;", para continuar con el proceso de tu *"&amp;$D136&amp;"* por "&amp;$F136&amp;", estos son los documentos que necesitamos:"&amp;CHAR(10)&amp;CHAR(10)&amp;"- INE"&amp;CHAR(10)&amp;"- Comprobante de domicilio"&amp;CHAR(10)&amp;"- Constancia de situación fiscal (no mayor a 3 meses)","Contado|Persona física con actividad empresarial","Hola, "&amp;$B136&amp;", para continuar con el proceso de tu *"&amp;$D136&amp;"* por "&amp;$F136&amp;", estos son los documentos que necesitamos:"&amp;CHAR(10)&amp;CHAR(10)&amp;"- INE"&amp;CHAR(10)&amp;"- Comprobante de domicilio"&amp;CHAR(10)&amp;"- Constancia de situación fiscal (no mayor a 3 meses)","Contado|Persona moral","Hola, "&amp;$B136&amp;", para continuar con el proceso de tu *"&amp;$D136&amp;"* por "&amp;$F136&amp;",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Clientes.")&amp;CHAR(10)&amp;CHAR(10)&amp;Config!$B$1),IF(D136="","",SUBSTITUTE(SUBSTITUTE(INDEX('Catálogo Mensajes'!$D:$J,MATCH($D136,'Catálogo Mensajes'!$B:$B,0),MATCH($H136,'Catálogo Mensajes'!$D$4:$J$4,0)),"{NOMBRE}",$B136),"{PROMO}",'Catálogo Mensajes'!$C$2)&amp;CHAR(10)&amp;CHAR(10)&amp;Config!$B$1))))),"")</f>
        <v/>
      </c>
      <c r="P136" s="13">
        <f>IF(OR(O136="",C136=""),"",HYPERLINK("https://wa.me/52"&amp;C136&amp;"?text="&amp;_xlfn.ENCODEURL(O136),"Enviar mensaje"))</f>
        <v/>
      </c>
      <c r="Q136" s="13">
        <f>IF(OR(I136="",L136="Realizado",L136="Cancelado"),"",SUMPRODUCT(($I$2:$I$151&lt;I136)*($I$2:$I$151&gt;=DATE(Calendario!$C$3,Calendario!$C$2,1))*($I$2:$I$151&lt;DATE(Calendario!$C$3,Calendario!$C$2+1,1))*($L$2:$L$151&lt;&gt;"Realizado")*($L$2:$L$151&lt;&gt;"Cancelado"))+SUMPRODUCT(($I$2:$I$151=I136)*(ROW($I$2:$I$151)&lt;=ROW())*($I$2:$I$151&gt;=DATE(Calendario!$C$3,Calendario!$C$2,1))*($I$2:$I$151&lt;DATE(Calendario!$C$3,Calendario!$C$2+1,1))*($L$2:$L$151&lt;&gt;"Realizado")*($L$2:$L$151&lt;&gt;"Cancelado")))</f>
        <v/>
      </c>
    </row>
    <row r="137" ht="15" customHeight="1" s="1">
      <c r="A137" s="13">
        <f>IF(B137="","",ROW()-1)</f>
        <v/>
      </c>
      <c r="B137" s="14" t="n"/>
      <c r="C137" s="13">
        <f>IFERROR(INDEX(Clientes!$C:$C,MATCH(B137,Clientes!$B:$B,0)),"")</f>
        <v/>
      </c>
      <c r="D137" s="14">
        <f>IFERROR(INDEX(Clientes!$D:$D,MATCH(B137,Clientes!$B:$B,0)),"")</f>
        <v/>
      </c>
      <c r="E137" s="14">
        <f>IFERROR(INDEX(Clientes!$M:$M,MATCH(B137,Clientes!$B:$B,0)),"")</f>
        <v/>
      </c>
      <c r="F137" s="14">
        <f>IFERROR(INDEX(Clientes!$F:$F,MATCH(B137,Clientes!$B:$B,0)),"")</f>
        <v/>
      </c>
      <c r="G137" s="14">
        <f>IFERROR(INDEX(Clientes!$G:$G,MATCH(B137,Clientes!$B:$B,0)),"")</f>
        <v/>
      </c>
      <c r="H137" s="14" t="n"/>
      <c r="I137" s="15" t="n"/>
      <c r="J137" s="16" t="n"/>
      <c r="K137" s="14" t="n"/>
      <c r="L137" s="14" t="n"/>
      <c r="M137" s="13">
        <f>IF(I137="","",I137-TODAY())</f>
        <v/>
      </c>
      <c r="N137" s="14" t="n"/>
      <c r="O137" s="14">
        <f>IFERROR(IF(B137="","",IF(H137="","",IF(H137="Otro (mensaje libre)","",IF(H137="Requisitos (Crédito/Contado)",IF(OR(F137="",G137=""),"Indica primero el Método de Compra y el Tipo de Persona del cliente en la pestaña Clientes.",_xlfn.SWITCH($F137&amp;"|"&amp;$G137,"Crédito|Persona física","Hola, "&amp;$B137&amp;", para continuar con el proceso de tu *"&amp;$D137&amp;"* por "&amp;$F137&amp;",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"&amp;$B137&amp;", para continuar con el proceso de tu *"&amp;$D137&amp;"* por "&amp;$F137&amp;",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"&amp;$B137&amp;", para continuar con el proceso de tu *"&amp;$D137&amp;"* por "&amp;$F137&amp;",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"&amp;$B137&amp;", para continuar con el proceso de tu *"&amp;$D137&amp;"* por "&amp;$F137&amp;", estos son los documentos que necesitamos:"&amp;CHAR(10)&amp;CHAR(10)&amp;"- INE"&amp;CHAR(10)&amp;"- Comprobante de domicilio"&amp;CHAR(10)&amp;"- Constancia de situación fiscal (no mayor a 3 meses)","Contado|Persona física con actividad empresarial","Hola, "&amp;$B137&amp;", para continuar con el proceso de tu *"&amp;$D137&amp;"* por "&amp;$F137&amp;", estos son los documentos que necesitamos:"&amp;CHAR(10)&amp;CHAR(10)&amp;"- INE"&amp;CHAR(10)&amp;"- Comprobante de domicilio"&amp;CHAR(10)&amp;"- Constancia de situación fiscal (no mayor a 3 meses)","Contado|Persona moral","Hola, "&amp;$B137&amp;", para continuar con el proceso de tu *"&amp;$D137&amp;"* por "&amp;$F137&amp;",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Clientes.")&amp;CHAR(10)&amp;CHAR(10)&amp;Config!$B$1),IF(D137="","",SUBSTITUTE(SUBSTITUTE(INDEX('Catálogo Mensajes'!$D:$J,MATCH($D137,'Catálogo Mensajes'!$B:$B,0),MATCH($H137,'Catálogo Mensajes'!$D$4:$J$4,0)),"{NOMBRE}",$B137),"{PROMO}",'Catálogo Mensajes'!$C$2)&amp;CHAR(10)&amp;CHAR(10)&amp;Config!$B$1))))),"")</f>
        <v/>
      </c>
      <c r="P137" s="13">
        <f>IF(OR(O137="",C137=""),"",HYPERLINK("https://wa.me/52"&amp;C137&amp;"?text="&amp;_xlfn.ENCODEURL(O137),"Enviar mensaje"))</f>
        <v/>
      </c>
      <c r="Q137" s="13">
        <f>IF(OR(I137="",L137="Realizado",L137="Cancelado"),"",SUMPRODUCT(($I$2:$I$151&lt;I137)*($I$2:$I$151&gt;=DATE(Calendario!$C$3,Calendario!$C$2,1))*($I$2:$I$151&lt;DATE(Calendario!$C$3,Calendario!$C$2+1,1))*($L$2:$L$151&lt;&gt;"Realizado")*($L$2:$L$151&lt;&gt;"Cancelado"))+SUMPRODUCT(($I$2:$I$151=I137)*(ROW($I$2:$I$151)&lt;=ROW())*($I$2:$I$151&gt;=DATE(Calendario!$C$3,Calendario!$C$2,1))*($I$2:$I$151&lt;DATE(Calendario!$C$3,Calendario!$C$2+1,1))*($L$2:$L$151&lt;&gt;"Realizado")*($L$2:$L$151&lt;&gt;"Cancelado")))</f>
        <v/>
      </c>
    </row>
    <row r="138" ht="15" customHeight="1" s="1">
      <c r="A138" s="13">
        <f>IF(B138="","",ROW()-1)</f>
        <v/>
      </c>
      <c r="B138" s="14" t="n"/>
      <c r="C138" s="13">
        <f>IFERROR(INDEX(Clientes!$C:$C,MATCH(B138,Clientes!$B:$B,0)),"")</f>
        <v/>
      </c>
      <c r="D138" s="14">
        <f>IFERROR(INDEX(Clientes!$D:$D,MATCH(B138,Clientes!$B:$B,0)),"")</f>
        <v/>
      </c>
      <c r="E138" s="14">
        <f>IFERROR(INDEX(Clientes!$M:$M,MATCH(B138,Clientes!$B:$B,0)),"")</f>
        <v/>
      </c>
      <c r="F138" s="14">
        <f>IFERROR(INDEX(Clientes!$F:$F,MATCH(B138,Clientes!$B:$B,0)),"")</f>
        <v/>
      </c>
      <c r="G138" s="14">
        <f>IFERROR(INDEX(Clientes!$G:$G,MATCH(B138,Clientes!$B:$B,0)),"")</f>
        <v/>
      </c>
      <c r="H138" s="14" t="n"/>
      <c r="I138" s="15" t="n"/>
      <c r="J138" s="16" t="n"/>
      <c r="K138" s="14" t="n"/>
      <c r="L138" s="14" t="n"/>
      <c r="M138" s="13">
        <f>IF(I138="","",I138-TODAY())</f>
        <v/>
      </c>
      <c r="N138" s="14" t="n"/>
      <c r="O138" s="14">
        <f>IFERROR(IF(B138="","",IF(H138="","",IF(H138="Otro (mensaje libre)","",IF(H138="Requisitos (Crédito/Contado)",IF(OR(F138="",G138=""),"Indica primero el Método de Compra y el Tipo de Persona del cliente en la pestaña Clientes.",_xlfn.SWITCH($F138&amp;"|"&amp;$G138,"Crédito|Persona física","Hola, "&amp;$B138&amp;", para continuar con el proceso de tu *"&amp;$D138&amp;"* por "&amp;$F138&amp;",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"&amp;$B138&amp;", para continuar con el proceso de tu *"&amp;$D138&amp;"* por "&amp;$F138&amp;",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"&amp;$B138&amp;", para continuar con el proceso de tu *"&amp;$D138&amp;"* por "&amp;$F138&amp;",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"&amp;$B138&amp;", para continuar con el proceso de tu *"&amp;$D138&amp;"* por "&amp;$F138&amp;", estos son los documentos que necesitamos:"&amp;CHAR(10)&amp;CHAR(10)&amp;"- INE"&amp;CHAR(10)&amp;"- Comprobante de domicilio"&amp;CHAR(10)&amp;"- Constancia de situación fiscal (no mayor a 3 meses)","Contado|Persona física con actividad empresarial","Hola, "&amp;$B138&amp;", para continuar con el proceso de tu *"&amp;$D138&amp;"* por "&amp;$F138&amp;", estos son los documentos que necesitamos:"&amp;CHAR(10)&amp;CHAR(10)&amp;"- INE"&amp;CHAR(10)&amp;"- Comprobante de domicilio"&amp;CHAR(10)&amp;"- Constancia de situación fiscal (no mayor a 3 meses)","Contado|Persona moral","Hola, "&amp;$B138&amp;", para continuar con el proceso de tu *"&amp;$D138&amp;"* por "&amp;$F138&amp;",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Clientes.")&amp;CHAR(10)&amp;CHAR(10)&amp;Config!$B$1),IF(D138="","",SUBSTITUTE(SUBSTITUTE(INDEX('Catálogo Mensajes'!$D:$J,MATCH($D138,'Catálogo Mensajes'!$B:$B,0),MATCH($H138,'Catálogo Mensajes'!$D$4:$J$4,0)),"{NOMBRE}",$B138),"{PROMO}",'Catálogo Mensajes'!$C$2)&amp;CHAR(10)&amp;CHAR(10)&amp;Config!$B$1))))),"")</f>
        <v/>
      </c>
      <c r="P138" s="13">
        <f>IF(OR(O138="",C138=""),"",HYPERLINK("https://wa.me/52"&amp;C138&amp;"?text="&amp;_xlfn.ENCODEURL(O138),"Enviar mensaje"))</f>
        <v/>
      </c>
      <c r="Q138" s="13">
        <f>IF(OR(I138="",L138="Realizado",L138="Cancelado"),"",SUMPRODUCT(($I$2:$I$151&lt;I138)*($I$2:$I$151&gt;=DATE(Calendario!$C$3,Calendario!$C$2,1))*($I$2:$I$151&lt;DATE(Calendario!$C$3,Calendario!$C$2+1,1))*($L$2:$L$151&lt;&gt;"Realizado")*($L$2:$L$151&lt;&gt;"Cancelado"))+SUMPRODUCT(($I$2:$I$151=I138)*(ROW($I$2:$I$151)&lt;=ROW())*($I$2:$I$151&gt;=DATE(Calendario!$C$3,Calendario!$C$2,1))*($I$2:$I$151&lt;DATE(Calendario!$C$3,Calendario!$C$2+1,1))*($L$2:$L$151&lt;&gt;"Realizado")*($L$2:$L$151&lt;&gt;"Cancelado")))</f>
        <v/>
      </c>
    </row>
    <row r="139" ht="15" customHeight="1" s="1">
      <c r="A139" s="13">
        <f>IF(B139="","",ROW()-1)</f>
        <v/>
      </c>
      <c r="B139" s="14" t="n"/>
      <c r="C139" s="13">
        <f>IFERROR(INDEX(Clientes!$C:$C,MATCH(B139,Clientes!$B:$B,0)),"")</f>
        <v/>
      </c>
      <c r="D139" s="14">
        <f>IFERROR(INDEX(Clientes!$D:$D,MATCH(B139,Clientes!$B:$B,0)),"")</f>
        <v/>
      </c>
      <c r="E139" s="14">
        <f>IFERROR(INDEX(Clientes!$M:$M,MATCH(B139,Clientes!$B:$B,0)),"")</f>
        <v/>
      </c>
      <c r="F139" s="14">
        <f>IFERROR(INDEX(Clientes!$F:$F,MATCH(B139,Clientes!$B:$B,0)),"")</f>
        <v/>
      </c>
      <c r="G139" s="14">
        <f>IFERROR(INDEX(Clientes!$G:$G,MATCH(B139,Clientes!$B:$B,0)),"")</f>
        <v/>
      </c>
      <c r="H139" s="14" t="n"/>
      <c r="I139" s="15" t="n"/>
      <c r="J139" s="16" t="n"/>
      <c r="K139" s="14" t="n"/>
      <c r="L139" s="14" t="n"/>
      <c r="M139" s="13">
        <f>IF(I139="","",I139-TODAY())</f>
        <v/>
      </c>
      <c r="N139" s="14" t="n"/>
      <c r="O139" s="14">
        <f>IFERROR(IF(B139="","",IF(H139="","",IF(H139="Otro (mensaje libre)","",IF(H139="Requisitos (Crédito/Contado)",IF(OR(F139="",G139=""),"Indica primero el Método de Compra y el Tipo de Persona del cliente en la pestaña Clientes.",_xlfn.SWITCH($F139&amp;"|"&amp;$G139,"Crédito|Persona física","Hola, "&amp;$B139&amp;", para continuar con el proceso de tu *"&amp;$D139&amp;"* por "&amp;$F139&amp;",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"&amp;$B139&amp;", para continuar con el proceso de tu *"&amp;$D139&amp;"* por "&amp;$F139&amp;",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"&amp;$B139&amp;", para continuar con el proceso de tu *"&amp;$D139&amp;"* por "&amp;$F139&amp;",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"&amp;$B139&amp;", para continuar con el proceso de tu *"&amp;$D139&amp;"* por "&amp;$F139&amp;", estos son los documentos que necesitamos:"&amp;CHAR(10)&amp;CHAR(10)&amp;"- INE"&amp;CHAR(10)&amp;"- Comprobante de domicilio"&amp;CHAR(10)&amp;"- Constancia de situación fiscal (no mayor a 3 meses)","Contado|Persona física con actividad empresarial","Hola, "&amp;$B139&amp;", para continuar con el proceso de tu *"&amp;$D139&amp;"* por "&amp;$F139&amp;", estos son los documentos que necesitamos:"&amp;CHAR(10)&amp;CHAR(10)&amp;"- INE"&amp;CHAR(10)&amp;"- Comprobante de domicilio"&amp;CHAR(10)&amp;"- Constancia de situación fiscal (no mayor a 3 meses)","Contado|Persona moral","Hola, "&amp;$B139&amp;", para continuar con el proceso de tu *"&amp;$D139&amp;"* por "&amp;$F139&amp;",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Clientes.")&amp;CHAR(10)&amp;CHAR(10)&amp;Config!$B$1),IF(D139="","",SUBSTITUTE(SUBSTITUTE(INDEX('Catálogo Mensajes'!$D:$J,MATCH($D139,'Catálogo Mensajes'!$B:$B,0),MATCH($H139,'Catálogo Mensajes'!$D$4:$J$4,0)),"{NOMBRE}",$B139),"{PROMO}",'Catálogo Mensajes'!$C$2)&amp;CHAR(10)&amp;CHAR(10)&amp;Config!$B$1))))),"")</f>
        <v/>
      </c>
      <c r="P139" s="13">
        <f>IF(OR(O139="",C139=""),"",HYPERLINK("https://wa.me/52"&amp;C139&amp;"?text="&amp;_xlfn.ENCODEURL(O139),"Enviar mensaje"))</f>
        <v/>
      </c>
      <c r="Q139" s="13">
        <f>IF(OR(I139="",L139="Realizado",L139="Cancelado"),"",SUMPRODUCT(($I$2:$I$151&lt;I139)*($I$2:$I$151&gt;=DATE(Calendario!$C$3,Calendario!$C$2,1))*($I$2:$I$151&lt;DATE(Calendario!$C$3,Calendario!$C$2+1,1))*($L$2:$L$151&lt;&gt;"Realizado")*($L$2:$L$151&lt;&gt;"Cancelado"))+SUMPRODUCT(($I$2:$I$151=I139)*(ROW($I$2:$I$151)&lt;=ROW())*($I$2:$I$151&gt;=DATE(Calendario!$C$3,Calendario!$C$2,1))*($I$2:$I$151&lt;DATE(Calendario!$C$3,Calendario!$C$2+1,1))*($L$2:$L$151&lt;&gt;"Realizado")*($L$2:$L$151&lt;&gt;"Cancelado")))</f>
        <v/>
      </c>
    </row>
    <row r="140" ht="15" customHeight="1" s="1">
      <c r="A140" s="13">
        <f>IF(B140="","",ROW()-1)</f>
        <v/>
      </c>
      <c r="B140" s="14" t="n"/>
      <c r="C140" s="13">
        <f>IFERROR(INDEX(Clientes!$C:$C,MATCH(B140,Clientes!$B:$B,0)),"")</f>
        <v/>
      </c>
      <c r="D140" s="14">
        <f>IFERROR(INDEX(Clientes!$D:$D,MATCH(B140,Clientes!$B:$B,0)),"")</f>
        <v/>
      </c>
      <c r="E140" s="14">
        <f>IFERROR(INDEX(Clientes!$M:$M,MATCH(B140,Clientes!$B:$B,0)),"")</f>
        <v/>
      </c>
      <c r="F140" s="14">
        <f>IFERROR(INDEX(Clientes!$F:$F,MATCH(B140,Clientes!$B:$B,0)),"")</f>
        <v/>
      </c>
      <c r="G140" s="14">
        <f>IFERROR(INDEX(Clientes!$G:$G,MATCH(B140,Clientes!$B:$B,0)),"")</f>
        <v/>
      </c>
      <c r="H140" s="14" t="n"/>
      <c r="I140" s="15" t="n"/>
      <c r="J140" s="16" t="n"/>
      <c r="K140" s="14" t="n"/>
      <c r="L140" s="14" t="n"/>
      <c r="M140" s="13">
        <f>IF(I140="","",I140-TODAY())</f>
        <v/>
      </c>
      <c r="N140" s="14" t="n"/>
      <c r="O140" s="14">
        <f>IFERROR(IF(B140="","",IF(H140="","",IF(H140="Otro (mensaje libre)","",IF(H140="Requisitos (Crédito/Contado)",IF(OR(F140="",G140=""),"Indica primero el Método de Compra y el Tipo de Persona del cliente en la pestaña Clientes.",_xlfn.SWITCH($F140&amp;"|"&amp;$G140,"Crédito|Persona física","Hola, "&amp;$B140&amp;", para continuar con el proceso de tu *"&amp;$D140&amp;"* por "&amp;$F140&amp;",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"&amp;$B140&amp;", para continuar con el proceso de tu *"&amp;$D140&amp;"* por "&amp;$F140&amp;",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"&amp;$B140&amp;", para continuar con el proceso de tu *"&amp;$D140&amp;"* por "&amp;$F140&amp;",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"&amp;$B140&amp;", para continuar con el proceso de tu *"&amp;$D140&amp;"* por "&amp;$F140&amp;", estos son los documentos que necesitamos:"&amp;CHAR(10)&amp;CHAR(10)&amp;"- INE"&amp;CHAR(10)&amp;"- Comprobante de domicilio"&amp;CHAR(10)&amp;"- Constancia de situación fiscal (no mayor a 3 meses)","Contado|Persona física con actividad empresarial","Hola, "&amp;$B140&amp;", para continuar con el proceso de tu *"&amp;$D140&amp;"* por "&amp;$F140&amp;", estos son los documentos que necesitamos:"&amp;CHAR(10)&amp;CHAR(10)&amp;"- INE"&amp;CHAR(10)&amp;"- Comprobante de domicilio"&amp;CHAR(10)&amp;"- Constancia de situación fiscal (no mayor a 3 meses)","Contado|Persona moral","Hola, "&amp;$B140&amp;", para continuar con el proceso de tu *"&amp;$D140&amp;"* por "&amp;$F140&amp;",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Clientes.")&amp;CHAR(10)&amp;CHAR(10)&amp;Config!$B$1),IF(D140="","",SUBSTITUTE(SUBSTITUTE(INDEX('Catálogo Mensajes'!$D:$J,MATCH($D140,'Catálogo Mensajes'!$B:$B,0),MATCH($H140,'Catálogo Mensajes'!$D$4:$J$4,0)),"{NOMBRE}",$B140),"{PROMO}",'Catálogo Mensajes'!$C$2)&amp;CHAR(10)&amp;CHAR(10)&amp;Config!$B$1))))),"")</f>
        <v/>
      </c>
      <c r="P140" s="13">
        <f>IF(OR(O140="",C140=""),"",HYPERLINK("https://wa.me/52"&amp;C140&amp;"?text="&amp;_xlfn.ENCODEURL(O140),"Enviar mensaje"))</f>
        <v/>
      </c>
      <c r="Q140" s="13">
        <f>IF(OR(I140="",L140="Realizado",L140="Cancelado"),"",SUMPRODUCT(($I$2:$I$151&lt;I140)*($I$2:$I$151&gt;=DATE(Calendario!$C$3,Calendario!$C$2,1))*($I$2:$I$151&lt;DATE(Calendario!$C$3,Calendario!$C$2+1,1))*($L$2:$L$151&lt;&gt;"Realizado")*($L$2:$L$151&lt;&gt;"Cancelado"))+SUMPRODUCT(($I$2:$I$151=I140)*(ROW($I$2:$I$151)&lt;=ROW())*($I$2:$I$151&gt;=DATE(Calendario!$C$3,Calendario!$C$2,1))*($I$2:$I$151&lt;DATE(Calendario!$C$3,Calendario!$C$2+1,1))*($L$2:$L$151&lt;&gt;"Realizado")*($L$2:$L$151&lt;&gt;"Cancelado")))</f>
        <v/>
      </c>
    </row>
    <row r="141" ht="15" customHeight="1" s="1">
      <c r="A141" s="13">
        <f>IF(B141="","",ROW()-1)</f>
        <v/>
      </c>
      <c r="B141" s="14" t="n"/>
      <c r="C141" s="13">
        <f>IFERROR(INDEX(Clientes!$C:$C,MATCH(B141,Clientes!$B:$B,0)),"")</f>
        <v/>
      </c>
      <c r="D141" s="14">
        <f>IFERROR(INDEX(Clientes!$D:$D,MATCH(B141,Clientes!$B:$B,0)),"")</f>
        <v/>
      </c>
      <c r="E141" s="14">
        <f>IFERROR(INDEX(Clientes!$M:$M,MATCH(B141,Clientes!$B:$B,0)),"")</f>
        <v/>
      </c>
      <c r="F141" s="14">
        <f>IFERROR(INDEX(Clientes!$F:$F,MATCH(B141,Clientes!$B:$B,0)),"")</f>
        <v/>
      </c>
      <c r="G141" s="14">
        <f>IFERROR(INDEX(Clientes!$G:$G,MATCH(B141,Clientes!$B:$B,0)),"")</f>
        <v/>
      </c>
      <c r="H141" s="14" t="n"/>
      <c r="I141" s="15" t="n"/>
      <c r="J141" s="16" t="n"/>
      <c r="K141" s="14" t="n"/>
      <c r="L141" s="14" t="n"/>
      <c r="M141" s="13">
        <f>IF(I141="","",I141-TODAY())</f>
        <v/>
      </c>
      <c r="N141" s="14" t="n"/>
      <c r="O141" s="14">
        <f>IFERROR(IF(B141="","",IF(H141="","",IF(H141="Otro (mensaje libre)","",IF(H141="Requisitos (Crédito/Contado)",IF(OR(F141="",G141=""),"Indica primero el Método de Compra y el Tipo de Persona del cliente en la pestaña Clientes.",_xlfn.SWITCH($F141&amp;"|"&amp;$G141,"Crédito|Persona física","Hola, "&amp;$B141&amp;", para continuar con el proceso de tu *"&amp;$D141&amp;"* por "&amp;$F141&amp;",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"&amp;$B141&amp;", para continuar con el proceso de tu *"&amp;$D141&amp;"* por "&amp;$F141&amp;",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"&amp;$B141&amp;", para continuar con el proceso de tu *"&amp;$D141&amp;"* por "&amp;$F141&amp;",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"&amp;$B141&amp;", para continuar con el proceso de tu *"&amp;$D141&amp;"* por "&amp;$F141&amp;", estos son los documentos que necesitamos:"&amp;CHAR(10)&amp;CHAR(10)&amp;"- INE"&amp;CHAR(10)&amp;"- Comprobante de domicilio"&amp;CHAR(10)&amp;"- Constancia de situación fiscal (no mayor a 3 meses)","Contado|Persona física con actividad empresarial","Hola, "&amp;$B141&amp;", para continuar con el proceso de tu *"&amp;$D141&amp;"* por "&amp;$F141&amp;", estos son los documentos que necesitamos:"&amp;CHAR(10)&amp;CHAR(10)&amp;"- INE"&amp;CHAR(10)&amp;"- Comprobante de domicilio"&amp;CHAR(10)&amp;"- Constancia de situación fiscal (no mayor a 3 meses)","Contado|Persona moral","Hola, "&amp;$B141&amp;", para continuar con el proceso de tu *"&amp;$D141&amp;"* por "&amp;$F141&amp;",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Clientes.")&amp;CHAR(10)&amp;CHAR(10)&amp;Config!$B$1),IF(D141="","",SUBSTITUTE(SUBSTITUTE(INDEX('Catálogo Mensajes'!$D:$J,MATCH($D141,'Catálogo Mensajes'!$B:$B,0),MATCH($H141,'Catálogo Mensajes'!$D$4:$J$4,0)),"{NOMBRE}",$B141),"{PROMO}",'Catálogo Mensajes'!$C$2)&amp;CHAR(10)&amp;CHAR(10)&amp;Config!$B$1))))),"")</f>
        <v/>
      </c>
      <c r="P141" s="13">
        <f>IF(OR(O141="",C141=""),"",HYPERLINK("https://wa.me/52"&amp;C141&amp;"?text="&amp;_xlfn.ENCODEURL(O141),"Enviar mensaje"))</f>
        <v/>
      </c>
      <c r="Q141" s="13">
        <f>IF(OR(I141="",L141="Realizado",L141="Cancelado"),"",SUMPRODUCT(($I$2:$I$151&lt;I141)*($I$2:$I$151&gt;=DATE(Calendario!$C$3,Calendario!$C$2,1))*($I$2:$I$151&lt;DATE(Calendario!$C$3,Calendario!$C$2+1,1))*($L$2:$L$151&lt;&gt;"Realizado")*($L$2:$L$151&lt;&gt;"Cancelado"))+SUMPRODUCT(($I$2:$I$151=I141)*(ROW($I$2:$I$151)&lt;=ROW())*($I$2:$I$151&gt;=DATE(Calendario!$C$3,Calendario!$C$2,1))*($I$2:$I$151&lt;DATE(Calendario!$C$3,Calendario!$C$2+1,1))*($L$2:$L$151&lt;&gt;"Realizado")*($L$2:$L$151&lt;&gt;"Cancelado")))</f>
        <v/>
      </c>
    </row>
    <row r="142" ht="15" customHeight="1" s="1">
      <c r="A142" s="13">
        <f>IF(B142="","",ROW()-1)</f>
        <v/>
      </c>
      <c r="B142" s="14" t="n"/>
      <c r="C142" s="13">
        <f>IFERROR(INDEX(Clientes!$C:$C,MATCH(B142,Clientes!$B:$B,0)),"")</f>
        <v/>
      </c>
      <c r="D142" s="14">
        <f>IFERROR(INDEX(Clientes!$D:$D,MATCH(B142,Clientes!$B:$B,0)),"")</f>
        <v/>
      </c>
      <c r="E142" s="14">
        <f>IFERROR(INDEX(Clientes!$M:$M,MATCH(B142,Clientes!$B:$B,0)),"")</f>
        <v/>
      </c>
      <c r="F142" s="14">
        <f>IFERROR(INDEX(Clientes!$F:$F,MATCH(B142,Clientes!$B:$B,0)),"")</f>
        <v/>
      </c>
      <c r="G142" s="14">
        <f>IFERROR(INDEX(Clientes!$G:$G,MATCH(B142,Clientes!$B:$B,0)),"")</f>
        <v/>
      </c>
      <c r="H142" s="14" t="n"/>
      <c r="I142" s="15" t="n"/>
      <c r="J142" s="16" t="n"/>
      <c r="K142" s="14" t="n"/>
      <c r="L142" s="14" t="n"/>
      <c r="M142" s="13">
        <f>IF(I142="","",I142-TODAY())</f>
        <v/>
      </c>
      <c r="N142" s="14" t="n"/>
      <c r="O142" s="14">
        <f>IFERROR(IF(B142="","",IF(H142="","",IF(H142="Otro (mensaje libre)","",IF(H142="Requisitos (Crédito/Contado)",IF(OR(F142="",G142=""),"Indica primero el Método de Compra y el Tipo de Persona del cliente en la pestaña Clientes.",_xlfn.SWITCH($F142&amp;"|"&amp;$G142,"Crédito|Persona física","Hola, "&amp;$B142&amp;", para continuar con el proceso de tu *"&amp;$D142&amp;"* por "&amp;$F142&amp;",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"&amp;$B142&amp;", para continuar con el proceso de tu *"&amp;$D142&amp;"* por "&amp;$F142&amp;",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"&amp;$B142&amp;", para continuar con el proceso de tu *"&amp;$D142&amp;"* por "&amp;$F142&amp;",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"&amp;$B142&amp;", para continuar con el proceso de tu *"&amp;$D142&amp;"* por "&amp;$F142&amp;", estos son los documentos que necesitamos:"&amp;CHAR(10)&amp;CHAR(10)&amp;"- INE"&amp;CHAR(10)&amp;"- Comprobante de domicilio"&amp;CHAR(10)&amp;"- Constancia de situación fiscal (no mayor a 3 meses)","Contado|Persona física con actividad empresarial","Hola, "&amp;$B142&amp;", para continuar con el proceso de tu *"&amp;$D142&amp;"* por "&amp;$F142&amp;", estos son los documentos que necesitamos:"&amp;CHAR(10)&amp;CHAR(10)&amp;"- INE"&amp;CHAR(10)&amp;"- Comprobante de domicilio"&amp;CHAR(10)&amp;"- Constancia de situación fiscal (no mayor a 3 meses)","Contado|Persona moral","Hola, "&amp;$B142&amp;", para continuar con el proceso de tu *"&amp;$D142&amp;"* por "&amp;$F142&amp;",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Clientes.")&amp;CHAR(10)&amp;CHAR(10)&amp;Config!$B$1),IF(D142="","",SUBSTITUTE(SUBSTITUTE(INDEX('Catálogo Mensajes'!$D:$J,MATCH($D142,'Catálogo Mensajes'!$B:$B,0),MATCH($H142,'Catálogo Mensajes'!$D$4:$J$4,0)),"{NOMBRE}",$B142),"{PROMO}",'Catálogo Mensajes'!$C$2)&amp;CHAR(10)&amp;CHAR(10)&amp;Config!$B$1))))),"")</f>
        <v/>
      </c>
      <c r="P142" s="13">
        <f>IF(OR(O142="",C142=""),"",HYPERLINK("https://wa.me/52"&amp;C142&amp;"?text="&amp;_xlfn.ENCODEURL(O142),"Enviar mensaje"))</f>
        <v/>
      </c>
      <c r="Q142" s="13">
        <f>IF(OR(I142="",L142="Realizado",L142="Cancelado"),"",SUMPRODUCT(($I$2:$I$151&lt;I142)*($I$2:$I$151&gt;=DATE(Calendario!$C$3,Calendario!$C$2,1))*($I$2:$I$151&lt;DATE(Calendario!$C$3,Calendario!$C$2+1,1))*($L$2:$L$151&lt;&gt;"Realizado")*($L$2:$L$151&lt;&gt;"Cancelado"))+SUMPRODUCT(($I$2:$I$151=I142)*(ROW($I$2:$I$151)&lt;=ROW())*($I$2:$I$151&gt;=DATE(Calendario!$C$3,Calendario!$C$2,1))*($I$2:$I$151&lt;DATE(Calendario!$C$3,Calendario!$C$2+1,1))*($L$2:$L$151&lt;&gt;"Realizado")*($L$2:$L$151&lt;&gt;"Cancelado")))</f>
        <v/>
      </c>
    </row>
    <row r="143" ht="15" customHeight="1" s="1">
      <c r="A143" s="13">
        <f>IF(B143="","",ROW()-1)</f>
        <v/>
      </c>
      <c r="B143" s="14" t="n"/>
      <c r="C143" s="13">
        <f>IFERROR(INDEX(Clientes!$C:$C,MATCH(B143,Clientes!$B:$B,0)),"")</f>
        <v/>
      </c>
      <c r="D143" s="14">
        <f>IFERROR(INDEX(Clientes!$D:$D,MATCH(B143,Clientes!$B:$B,0)),"")</f>
        <v/>
      </c>
      <c r="E143" s="14">
        <f>IFERROR(INDEX(Clientes!$M:$M,MATCH(B143,Clientes!$B:$B,0)),"")</f>
        <v/>
      </c>
      <c r="F143" s="14">
        <f>IFERROR(INDEX(Clientes!$F:$F,MATCH(B143,Clientes!$B:$B,0)),"")</f>
        <v/>
      </c>
      <c r="G143" s="14">
        <f>IFERROR(INDEX(Clientes!$G:$G,MATCH(B143,Clientes!$B:$B,0)),"")</f>
        <v/>
      </c>
      <c r="H143" s="14" t="n"/>
      <c r="I143" s="15" t="n"/>
      <c r="J143" s="16" t="n"/>
      <c r="K143" s="14" t="n"/>
      <c r="L143" s="14" t="n"/>
      <c r="M143" s="13">
        <f>IF(I143="","",I143-TODAY())</f>
        <v/>
      </c>
      <c r="N143" s="14" t="n"/>
      <c r="O143" s="14">
        <f>IFERROR(IF(B143="","",IF(H143="","",IF(H143="Otro (mensaje libre)","",IF(H143="Requisitos (Crédito/Contado)",IF(OR(F143="",G143=""),"Indica primero el Método de Compra y el Tipo de Persona del cliente en la pestaña Clientes.",_xlfn.SWITCH($F143&amp;"|"&amp;$G143,"Crédito|Persona física","Hola, "&amp;$B143&amp;", para continuar con el proceso de tu *"&amp;$D143&amp;"* por "&amp;$F143&amp;",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"&amp;$B143&amp;", para continuar con el proceso de tu *"&amp;$D143&amp;"* por "&amp;$F143&amp;",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"&amp;$B143&amp;", para continuar con el proceso de tu *"&amp;$D143&amp;"* por "&amp;$F143&amp;",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"&amp;$B143&amp;", para continuar con el proceso de tu *"&amp;$D143&amp;"* por "&amp;$F143&amp;", estos son los documentos que necesitamos:"&amp;CHAR(10)&amp;CHAR(10)&amp;"- INE"&amp;CHAR(10)&amp;"- Comprobante de domicilio"&amp;CHAR(10)&amp;"- Constancia de situación fiscal (no mayor a 3 meses)","Contado|Persona física con actividad empresarial","Hola, "&amp;$B143&amp;", para continuar con el proceso de tu *"&amp;$D143&amp;"* por "&amp;$F143&amp;", estos son los documentos que necesitamos:"&amp;CHAR(10)&amp;CHAR(10)&amp;"- INE"&amp;CHAR(10)&amp;"- Comprobante de domicilio"&amp;CHAR(10)&amp;"- Constancia de situación fiscal (no mayor a 3 meses)","Contado|Persona moral","Hola, "&amp;$B143&amp;", para continuar con el proceso de tu *"&amp;$D143&amp;"* por "&amp;$F143&amp;",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Clientes.")&amp;CHAR(10)&amp;CHAR(10)&amp;Config!$B$1),IF(D143="","",SUBSTITUTE(SUBSTITUTE(INDEX('Catálogo Mensajes'!$D:$J,MATCH($D143,'Catálogo Mensajes'!$B:$B,0),MATCH($H143,'Catálogo Mensajes'!$D$4:$J$4,0)),"{NOMBRE}",$B143),"{PROMO}",'Catálogo Mensajes'!$C$2)&amp;CHAR(10)&amp;CHAR(10)&amp;Config!$B$1))))),"")</f>
        <v/>
      </c>
      <c r="P143" s="13">
        <f>IF(OR(O143="",C143=""),"",HYPERLINK("https://wa.me/52"&amp;C143&amp;"?text="&amp;_xlfn.ENCODEURL(O143),"Enviar mensaje"))</f>
        <v/>
      </c>
      <c r="Q143" s="13">
        <f>IF(OR(I143="",L143="Realizado",L143="Cancelado"),"",SUMPRODUCT(($I$2:$I$151&lt;I143)*($I$2:$I$151&gt;=DATE(Calendario!$C$3,Calendario!$C$2,1))*($I$2:$I$151&lt;DATE(Calendario!$C$3,Calendario!$C$2+1,1))*($L$2:$L$151&lt;&gt;"Realizado")*($L$2:$L$151&lt;&gt;"Cancelado"))+SUMPRODUCT(($I$2:$I$151=I143)*(ROW($I$2:$I$151)&lt;=ROW())*($I$2:$I$151&gt;=DATE(Calendario!$C$3,Calendario!$C$2,1))*($I$2:$I$151&lt;DATE(Calendario!$C$3,Calendario!$C$2+1,1))*($L$2:$L$151&lt;&gt;"Realizado")*($L$2:$L$151&lt;&gt;"Cancelado")))</f>
        <v/>
      </c>
    </row>
    <row r="144" ht="15" customHeight="1" s="1">
      <c r="A144" s="13">
        <f>IF(B144="","",ROW()-1)</f>
        <v/>
      </c>
      <c r="B144" s="14" t="n"/>
      <c r="C144" s="13">
        <f>IFERROR(INDEX(Clientes!$C:$C,MATCH(B144,Clientes!$B:$B,0)),"")</f>
        <v/>
      </c>
      <c r="D144" s="14">
        <f>IFERROR(INDEX(Clientes!$D:$D,MATCH(B144,Clientes!$B:$B,0)),"")</f>
        <v/>
      </c>
      <c r="E144" s="14">
        <f>IFERROR(INDEX(Clientes!$M:$M,MATCH(B144,Clientes!$B:$B,0)),"")</f>
        <v/>
      </c>
      <c r="F144" s="14">
        <f>IFERROR(INDEX(Clientes!$F:$F,MATCH(B144,Clientes!$B:$B,0)),"")</f>
        <v/>
      </c>
      <c r="G144" s="14">
        <f>IFERROR(INDEX(Clientes!$G:$G,MATCH(B144,Clientes!$B:$B,0)),"")</f>
        <v/>
      </c>
      <c r="H144" s="14" t="n"/>
      <c r="I144" s="15" t="n"/>
      <c r="J144" s="16" t="n"/>
      <c r="K144" s="14" t="n"/>
      <c r="L144" s="14" t="n"/>
      <c r="M144" s="13">
        <f>IF(I144="","",I144-TODAY())</f>
        <v/>
      </c>
      <c r="N144" s="14" t="n"/>
      <c r="O144" s="14">
        <f>IFERROR(IF(B144="","",IF(H144="","",IF(H144="Otro (mensaje libre)","",IF(H144="Requisitos (Crédito/Contado)",IF(OR(F144="",G144=""),"Indica primero el Método de Compra y el Tipo de Persona del cliente en la pestaña Clientes.",_xlfn.SWITCH($F144&amp;"|"&amp;$G144,"Crédito|Persona física","Hola, "&amp;$B144&amp;", para continuar con el proceso de tu *"&amp;$D144&amp;"* por "&amp;$F144&amp;",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"&amp;$B144&amp;", para continuar con el proceso de tu *"&amp;$D144&amp;"* por "&amp;$F144&amp;",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"&amp;$B144&amp;", para continuar con el proceso de tu *"&amp;$D144&amp;"* por "&amp;$F144&amp;",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"&amp;$B144&amp;", para continuar con el proceso de tu *"&amp;$D144&amp;"* por "&amp;$F144&amp;", estos son los documentos que necesitamos:"&amp;CHAR(10)&amp;CHAR(10)&amp;"- INE"&amp;CHAR(10)&amp;"- Comprobante de domicilio"&amp;CHAR(10)&amp;"- Constancia de situación fiscal (no mayor a 3 meses)","Contado|Persona física con actividad empresarial","Hola, "&amp;$B144&amp;", para continuar con el proceso de tu *"&amp;$D144&amp;"* por "&amp;$F144&amp;", estos son los documentos que necesitamos:"&amp;CHAR(10)&amp;CHAR(10)&amp;"- INE"&amp;CHAR(10)&amp;"- Comprobante de domicilio"&amp;CHAR(10)&amp;"- Constancia de situación fiscal (no mayor a 3 meses)","Contado|Persona moral","Hola, "&amp;$B144&amp;", para continuar con el proceso de tu *"&amp;$D144&amp;"* por "&amp;$F144&amp;",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Clientes.")&amp;CHAR(10)&amp;CHAR(10)&amp;Config!$B$1),IF(D144="","",SUBSTITUTE(SUBSTITUTE(INDEX('Catálogo Mensajes'!$D:$J,MATCH($D144,'Catálogo Mensajes'!$B:$B,0),MATCH($H144,'Catálogo Mensajes'!$D$4:$J$4,0)),"{NOMBRE}",$B144),"{PROMO}",'Catálogo Mensajes'!$C$2)&amp;CHAR(10)&amp;CHAR(10)&amp;Config!$B$1))))),"")</f>
        <v/>
      </c>
      <c r="P144" s="13">
        <f>IF(OR(O144="",C144=""),"",HYPERLINK("https://wa.me/52"&amp;C144&amp;"?text="&amp;_xlfn.ENCODEURL(O144),"Enviar mensaje"))</f>
        <v/>
      </c>
      <c r="Q144" s="13">
        <f>IF(OR(I144="",L144="Realizado",L144="Cancelado"),"",SUMPRODUCT(($I$2:$I$151&lt;I144)*($I$2:$I$151&gt;=DATE(Calendario!$C$3,Calendario!$C$2,1))*($I$2:$I$151&lt;DATE(Calendario!$C$3,Calendario!$C$2+1,1))*($L$2:$L$151&lt;&gt;"Realizado")*($L$2:$L$151&lt;&gt;"Cancelado"))+SUMPRODUCT(($I$2:$I$151=I144)*(ROW($I$2:$I$151)&lt;=ROW())*($I$2:$I$151&gt;=DATE(Calendario!$C$3,Calendario!$C$2,1))*($I$2:$I$151&lt;DATE(Calendario!$C$3,Calendario!$C$2+1,1))*($L$2:$L$151&lt;&gt;"Realizado")*($L$2:$L$151&lt;&gt;"Cancelado")))</f>
        <v/>
      </c>
    </row>
    <row r="145" ht="15" customHeight="1" s="1">
      <c r="A145" s="13">
        <f>IF(B145="","",ROW()-1)</f>
        <v/>
      </c>
      <c r="B145" s="14" t="n"/>
      <c r="C145" s="13">
        <f>IFERROR(INDEX(Clientes!$C:$C,MATCH(B145,Clientes!$B:$B,0)),"")</f>
        <v/>
      </c>
      <c r="D145" s="14">
        <f>IFERROR(INDEX(Clientes!$D:$D,MATCH(B145,Clientes!$B:$B,0)),"")</f>
        <v/>
      </c>
      <c r="E145" s="14">
        <f>IFERROR(INDEX(Clientes!$M:$M,MATCH(B145,Clientes!$B:$B,0)),"")</f>
        <v/>
      </c>
      <c r="F145" s="14">
        <f>IFERROR(INDEX(Clientes!$F:$F,MATCH(B145,Clientes!$B:$B,0)),"")</f>
        <v/>
      </c>
      <c r="G145" s="14">
        <f>IFERROR(INDEX(Clientes!$G:$G,MATCH(B145,Clientes!$B:$B,0)),"")</f>
        <v/>
      </c>
      <c r="H145" s="14" t="n"/>
      <c r="I145" s="15" t="n"/>
      <c r="J145" s="16" t="n"/>
      <c r="K145" s="14" t="n"/>
      <c r="L145" s="14" t="n"/>
      <c r="M145" s="13">
        <f>IF(I145="","",I145-TODAY())</f>
        <v/>
      </c>
      <c r="N145" s="14" t="n"/>
      <c r="O145" s="14">
        <f>IFERROR(IF(B145="","",IF(H145="","",IF(H145="Otro (mensaje libre)","",IF(H145="Requisitos (Crédito/Contado)",IF(OR(F145="",G145=""),"Indica primero el Método de Compra y el Tipo de Persona del cliente en la pestaña Clientes.",_xlfn.SWITCH($F145&amp;"|"&amp;$G145,"Crédito|Persona física","Hola, "&amp;$B145&amp;", para continuar con el proceso de tu *"&amp;$D145&amp;"* por "&amp;$F145&amp;",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"&amp;$B145&amp;", para continuar con el proceso de tu *"&amp;$D145&amp;"* por "&amp;$F145&amp;",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"&amp;$B145&amp;", para continuar con el proceso de tu *"&amp;$D145&amp;"* por "&amp;$F145&amp;",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"&amp;$B145&amp;", para continuar con el proceso de tu *"&amp;$D145&amp;"* por "&amp;$F145&amp;", estos son los documentos que necesitamos:"&amp;CHAR(10)&amp;CHAR(10)&amp;"- INE"&amp;CHAR(10)&amp;"- Comprobante de domicilio"&amp;CHAR(10)&amp;"- Constancia de situación fiscal (no mayor a 3 meses)","Contado|Persona física con actividad empresarial","Hola, "&amp;$B145&amp;", para continuar con el proceso de tu *"&amp;$D145&amp;"* por "&amp;$F145&amp;", estos son los documentos que necesitamos:"&amp;CHAR(10)&amp;CHAR(10)&amp;"- INE"&amp;CHAR(10)&amp;"- Comprobante de domicilio"&amp;CHAR(10)&amp;"- Constancia de situación fiscal (no mayor a 3 meses)","Contado|Persona moral","Hola, "&amp;$B145&amp;", para continuar con el proceso de tu *"&amp;$D145&amp;"* por "&amp;$F145&amp;",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Clientes.")&amp;CHAR(10)&amp;CHAR(10)&amp;Config!$B$1),IF(D145="","",SUBSTITUTE(SUBSTITUTE(INDEX('Catálogo Mensajes'!$D:$J,MATCH($D145,'Catálogo Mensajes'!$B:$B,0),MATCH($H145,'Catálogo Mensajes'!$D$4:$J$4,0)),"{NOMBRE}",$B145),"{PROMO}",'Catálogo Mensajes'!$C$2)&amp;CHAR(10)&amp;CHAR(10)&amp;Config!$B$1))))),"")</f>
        <v/>
      </c>
      <c r="P145" s="13">
        <f>IF(OR(O145="",C145=""),"",HYPERLINK("https://wa.me/52"&amp;C145&amp;"?text="&amp;_xlfn.ENCODEURL(O145),"Enviar mensaje"))</f>
        <v/>
      </c>
      <c r="Q145" s="13">
        <f>IF(OR(I145="",L145="Realizado",L145="Cancelado"),"",SUMPRODUCT(($I$2:$I$151&lt;I145)*($I$2:$I$151&gt;=DATE(Calendario!$C$3,Calendario!$C$2,1))*($I$2:$I$151&lt;DATE(Calendario!$C$3,Calendario!$C$2+1,1))*($L$2:$L$151&lt;&gt;"Realizado")*($L$2:$L$151&lt;&gt;"Cancelado"))+SUMPRODUCT(($I$2:$I$151=I145)*(ROW($I$2:$I$151)&lt;=ROW())*($I$2:$I$151&gt;=DATE(Calendario!$C$3,Calendario!$C$2,1))*($I$2:$I$151&lt;DATE(Calendario!$C$3,Calendario!$C$2+1,1))*($L$2:$L$151&lt;&gt;"Realizado")*($L$2:$L$151&lt;&gt;"Cancelado")))</f>
        <v/>
      </c>
    </row>
    <row r="146" ht="15" customHeight="1" s="1">
      <c r="A146" s="13">
        <f>IF(B146="","",ROW()-1)</f>
        <v/>
      </c>
      <c r="B146" s="14" t="n"/>
      <c r="C146" s="13">
        <f>IFERROR(INDEX(Clientes!$C:$C,MATCH(B146,Clientes!$B:$B,0)),"")</f>
        <v/>
      </c>
      <c r="D146" s="14">
        <f>IFERROR(INDEX(Clientes!$D:$D,MATCH(B146,Clientes!$B:$B,0)),"")</f>
        <v/>
      </c>
      <c r="E146" s="14">
        <f>IFERROR(INDEX(Clientes!$M:$M,MATCH(B146,Clientes!$B:$B,0)),"")</f>
        <v/>
      </c>
      <c r="F146" s="14">
        <f>IFERROR(INDEX(Clientes!$F:$F,MATCH(B146,Clientes!$B:$B,0)),"")</f>
        <v/>
      </c>
      <c r="G146" s="14">
        <f>IFERROR(INDEX(Clientes!$G:$G,MATCH(B146,Clientes!$B:$B,0)),"")</f>
        <v/>
      </c>
      <c r="H146" s="14" t="n"/>
      <c r="I146" s="15" t="n"/>
      <c r="J146" s="16" t="n"/>
      <c r="K146" s="14" t="n"/>
      <c r="L146" s="14" t="n"/>
      <c r="M146" s="13">
        <f>IF(I146="","",I146-TODAY())</f>
        <v/>
      </c>
      <c r="N146" s="14" t="n"/>
      <c r="O146" s="14">
        <f>IFERROR(IF(B146="","",IF(H146="","",IF(H146="Otro (mensaje libre)","",IF(H146="Requisitos (Crédito/Contado)",IF(OR(F146="",G146=""),"Indica primero el Método de Compra y el Tipo de Persona del cliente en la pestaña Clientes.",_xlfn.SWITCH($F146&amp;"|"&amp;$G146,"Crédito|Persona física","Hola, "&amp;$B146&amp;", para continuar con el proceso de tu *"&amp;$D146&amp;"* por "&amp;$F146&amp;",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"&amp;$B146&amp;", para continuar con el proceso de tu *"&amp;$D146&amp;"* por "&amp;$F146&amp;",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"&amp;$B146&amp;", para continuar con el proceso de tu *"&amp;$D146&amp;"* por "&amp;$F146&amp;",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"&amp;$B146&amp;", para continuar con el proceso de tu *"&amp;$D146&amp;"* por "&amp;$F146&amp;", estos son los documentos que necesitamos:"&amp;CHAR(10)&amp;CHAR(10)&amp;"- INE"&amp;CHAR(10)&amp;"- Comprobante de domicilio"&amp;CHAR(10)&amp;"- Constancia de situación fiscal (no mayor a 3 meses)","Contado|Persona física con actividad empresarial","Hola, "&amp;$B146&amp;", para continuar con el proceso de tu *"&amp;$D146&amp;"* por "&amp;$F146&amp;", estos son los documentos que necesitamos:"&amp;CHAR(10)&amp;CHAR(10)&amp;"- INE"&amp;CHAR(10)&amp;"- Comprobante de domicilio"&amp;CHAR(10)&amp;"- Constancia de situación fiscal (no mayor a 3 meses)","Contado|Persona moral","Hola, "&amp;$B146&amp;", para continuar con el proceso de tu *"&amp;$D146&amp;"* por "&amp;$F146&amp;",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Clientes.")&amp;CHAR(10)&amp;CHAR(10)&amp;Config!$B$1),IF(D146="","",SUBSTITUTE(SUBSTITUTE(INDEX('Catálogo Mensajes'!$D:$J,MATCH($D146,'Catálogo Mensajes'!$B:$B,0),MATCH($H146,'Catálogo Mensajes'!$D$4:$J$4,0)),"{NOMBRE}",$B146),"{PROMO}",'Catálogo Mensajes'!$C$2)&amp;CHAR(10)&amp;CHAR(10)&amp;Config!$B$1))))),"")</f>
        <v/>
      </c>
      <c r="P146" s="13">
        <f>IF(OR(O146="",C146=""),"",HYPERLINK("https://wa.me/52"&amp;C146&amp;"?text="&amp;_xlfn.ENCODEURL(O146),"Enviar mensaje"))</f>
        <v/>
      </c>
      <c r="Q146" s="13">
        <f>IF(OR(I146="",L146="Realizado",L146="Cancelado"),"",SUMPRODUCT(($I$2:$I$151&lt;I146)*($I$2:$I$151&gt;=DATE(Calendario!$C$3,Calendario!$C$2,1))*($I$2:$I$151&lt;DATE(Calendario!$C$3,Calendario!$C$2+1,1))*($L$2:$L$151&lt;&gt;"Realizado")*($L$2:$L$151&lt;&gt;"Cancelado"))+SUMPRODUCT(($I$2:$I$151=I146)*(ROW($I$2:$I$151)&lt;=ROW())*($I$2:$I$151&gt;=DATE(Calendario!$C$3,Calendario!$C$2,1))*($I$2:$I$151&lt;DATE(Calendario!$C$3,Calendario!$C$2+1,1))*($L$2:$L$151&lt;&gt;"Realizado")*($L$2:$L$151&lt;&gt;"Cancelado")))</f>
        <v/>
      </c>
    </row>
    <row r="147" ht="15" customHeight="1" s="1">
      <c r="A147" s="13">
        <f>IF(B147="","",ROW()-1)</f>
        <v/>
      </c>
      <c r="B147" s="14" t="n"/>
      <c r="C147" s="13">
        <f>IFERROR(INDEX(Clientes!$C:$C,MATCH(B147,Clientes!$B:$B,0)),"")</f>
        <v/>
      </c>
      <c r="D147" s="14">
        <f>IFERROR(INDEX(Clientes!$D:$D,MATCH(B147,Clientes!$B:$B,0)),"")</f>
        <v/>
      </c>
      <c r="E147" s="14">
        <f>IFERROR(INDEX(Clientes!$M:$M,MATCH(B147,Clientes!$B:$B,0)),"")</f>
        <v/>
      </c>
      <c r="F147" s="14">
        <f>IFERROR(INDEX(Clientes!$F:$F,MATCH(B147,Clientes!$B:$B,0)),"")</f>
        <v/>
      </c>
      <c r="G147" s="14">
        <f>IFERROR(INDEX(Clientes!$G:$G,MATCH(B147,Clientes!$B:$B,0)),"")</f>
        <v/>
      </c>
      <c r="H147" s="14" t="n"/>
      <c r="I147" s="15" t="n"/>
      <c r="J147" s="16" t="n"/>
      <c r="K147" s="14" t="n"/>
      <c r="L147" s="14" t="n"/>
      <c r="M147" s="13">
        <f>IF(I147="","",I147-TODAY())</f>
        <v/>
      </c>
      <c r="N147" s="14" t="n"/>
      <c r="O147" s="14">
        <f>IFERROR(IF(B147="","",IF(H147="","",IF(H147="Otro (mensaje libre)","",IF(H147="Requisitos (Crédito/Contado)",IF(OR(F147="",G147=""),"Indica primero el Método de Compra y el Tipo de Persona del cliente en la pestaña Clientes.",_xlfn.SWITCH($F147&amp;"|"&amp;$G147,"Crédito|Persona física","Hola, "&amp;$B147&amp;", para continuar con el proceso de tu *"&amp;$D147&amp;"* por "&amp;$F147&amp;",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"&amp;$B147&amp;", para continuar con el proceso de tu *"&amp;$D147&amp;"* por "&amp;$F147&amp;",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"&amp;$B147&amp;", para continuar con el proceso de tu *"&amp;$D147&amp;"* por "&amp;$F147&amp;",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"&amp;$B147&amp;", para continuar con el proceso de tu *"&amp;$D147&amp;"* por "&amp;$F147&amp;", estos son los documentos que necesitamos:"&amp;CHAR(10)&amp;CHAR(10)&amp;"- INE"&amp;CHAR(10)&amp;"- Comprobante de domicilio"&amp;CHAR(10)&amp;"- Constancia de situación fiscal (no mayor a 3 meses)","Contado|Persona física con actividad empresarial","Hola, "&amp;$B147&amp;", para continuar con el proceso de tu *"&amp;$D147&amp;"* por "&amp;$F147&amp;", estos son los documentos que necesitamos:"&amp;CHAR(10)&amp;CHAR(10)&amp;"- INE"&amp;CHAR(10)&amp;"- Comprobante de domicilio"&amp;CHAR(10)&amp;"- Constancia de situación fiscal (no mayor a 3 meses)","Contado|Persona moral","Hola, "&amp;$B147&amp;", para continuar con el proceso de tu *"&amp;$D147&amp;"* por "&amp;$F147&amp;",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Clientes.")&amp;CHAR(10)&amp;CHAR(10)&amp;Config!$B$1),IF(D147="","",SUBSTITUTE(SUBSTITUTE(INDEX('Catálogo Mensajes'!$D:$J,MATCH($D147,'Catálogo Mensajes'!$B:$B,0),MATCH($H147,'Catálogo Mensajes'!$D$4:$J$4,0)),"{NOMBRE}",$B147),"{PROMO}",'Catálogo Mensajes'!$C$2)&amp;CHAR(10)&amp;CHAR(10)&amp;Config!$B$1))))),"")</f>
        <v/>
      </c>
      <c r="P147" s="13">
        <f>IF(OR(O147="",C147=""),"",HYPERLINK("https://wa.me/52"&amp;C147&amp;"?text="&amp;_xlfn.ENCODEURL(O147),"Enviar mensaje"))</f>
        <v/>
      </c>
      <c r="Q147" s="13">
        <f>IF(OR(I147="",L147="Realizado",L147="Cancelado"),"",SUMPRODUCT(($I$2:$I$151&lt;I147)*($I$2:$I$151&gt;=DATE(Calendario!$C$3,Calendario!$C$2,1))*($I$2:$I$151&lt;DATE(Calendario!$C$3,Calendario!$C$2+1,1))*($L$2:$L$151&lt;&gt;"Realizado")*($L$2:$L$151&lt;&gt;"Cancelado"))+SUMPRODUCT(($I$2:$I$151=I147)*(ROW($I$2:$I$151)&lt;=ROW())*($I$2:$I$151&gt;=DATE(Calendario!$C$3,Calendario!$C$2,1))*($I$2:$I$151&lt;DATE(Calendario!$C$3,Calendario!$C$2+1,1))*($L$2:$L$151&lt;&gt;"Realizado")*($L$2:$L$151&lt;&gt;"Cancelado")))</f>
        <v/>
      </c>
    </row>
    <row r="148" ht="15" customHeight="1" s="1">
      <c r="A148" s="13">
        <f>IF(B148="","",ROW()-1)</f>
        <v/>
      </c>
      <c r="B148" s="14" t="n"/>
      <c r="C148" s="13">
        <f>IFERROR(INDEX(Clientes!$C:$C,MATCH(B148,Clientes!$B:$B,0)),"")</f>
        <v/>
      </c>
      <c r="D148" s="14">
        <f>IFERROR(INDEX(Clientes!$D:$D,MATCH(B148,Clientes!$B:$B,0)),"")</f>
        <v/>
      </c>
      <c r="E148" s="14">
        <f>IFERROR(INDEX(Clientes!$M:$M,MATCH(B148,Clientes!$B:$B,0)),"")</f>
        <v/>
      </c>
      <c r="F148" s="14">
        <f>IFERROR(INDEX(Clientes!$F:$F,MATCH(B148,Clientes!$B:$B,0)),"")</f>
        <v/>
      </c>
      <c r="G148" s="14">
        <f>IFERROR(INDEX(Clientes!$G:$G,MATCH(B148,Clientes!$B:$B,0)),"")</f>
        <v/>
      </c>
      <c r="H148" s="14" t="n"/>
      <c r="I148" s="15" t="n"/>
      <c r="J148" s="16" t="n"/>
      <c r="K148" s="14" t="n"/>
      <c r="L148" s="14" t="n"/>
      <c r="M148" s="13">
        <f>IF(I148="","",I148-TODAY())</f>
        <v/>
      </c>
      <c r="N148" s="14" t="n"/>
      <c r="O148" s="14">
        <f>IFERROR(IF(B148="","",IF(H148="","",IF(H148="Otro (mensaje libre)","",IF(H148="Requisitos (Crédito/Contado)",IF(OR(F148="",G148=""),"Indica primero el Método de Compra y el Tipo de Persona del cliente en la pestaña Clientes.",_xlfn.SWITCH($F148&amp;"|"&amp;$G148,"Crédito|Persona física","Hola, "&amp;$B148&amp;", para continuar con el proceso de tu *"&amp;$D148&amp;"* por "&amp;$F148&amp;",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"&amp;$B148&amp;", para continuar con el proceso de tu *"&amp;$D148&amp;"* por "&amp;$F148&amp;",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"&amp;$B148&amp;", para continuar con el proceso de tu *"&amp;$D148&amp;"* por "&amp;$F148&amp;",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"&amp;$B148&amp;", para continuar con el proceso de tu *"&amp;$D148&amp;"* por "&amp;$F148&amp;", estos son los documentos que necesitamos:"&amp;CHAR(10)&amp;CHAR(10)&amp;"- INE"&amp;CHAR(10)&amp;"- Comprobante de domicilio"&amp;CHAR(10)&amp;"- Constancia de situación fiscal (no mayor a 3 meses)","Contado|Persona física con actividad empresarial","Hola, "&amp;$B148&amp;", para continuar con el proceso de tu *"&amp;$D148&amp;"* por "&amp;$F148&amp;", estos son los documentos que necesitamos:"&amp;CHAR(10)&amp;CHAR(10)&amp;"- INE"&amp;CHAR(10)&amp;"- Comprobante de domicilio"&amp;CHAR(10)&amp;"- Constancia de situación fiscal (no mayor a 3 meses)","Contado|Persona moral","Hola, "&amp;$B148&amp;", para continuar con el proceso de tu *"&amp;$D148&amp;"* por "&amp;$F148&amp;",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Clientes.")&amp;CHAR(10)&amp;CHAR(10)&amp;Config!$B$1),IF(D148="","",SUBSTITUTE(SUBSTITUTE(INDEX('Catálogo Mensajes'!$D:$J,MATCH($D148,'Catálogo Mensajes'!$B:$B,0),MATCH($H148,'Catálogo Mensajes'!$D$4:$J$4,0)),"{NOMBRE}",$B148),"{PROMO}",'Catálogo Mensajes'!$C$2)&amp;CHAR(10)&amp;CHAR(10)&amp;Config!$B$1))))),"")</f>
        <v/>
      </c>
      <c r="P148" s="13">
        <f>IF(OR(O148="",C148=""),"",HYPERLINK("https://wa.me/52"&amp;C148&amp;"?text="&amp;_xlfn.ENCODEURL(O148),"Enviar mensaje"))</f>
        <v/>
      </c>
      <c r="Q148" s="13">
        <f>IF(OR(I148="",L148="Realizado",L148="Cancelado"),"",SUMPRODUCT(($I$2:$I$151&lt;I148)*($I$2:$I$151&gt;=DATE(Calendario!$C$3,Calendario!$C$2,1))*($I$2:$I$151&lt;DATE(Calendario!$C$3,Calendario!$C$2+1,1))*($L$2:$L$151&lt;&gt;"Realizado")*($L$2:$L$151&lt;&gt;"Cancelado"))+SUMPRODUCT(($I$2:$I$151=I148)*(ROW($I$2:$I$151)&lt;=ROW())*($I$2:$I$151&gt;=DATE(Calendario!$C$3,Calendario!$C$2,1))*($I$2:$I$151&lt;DATE(Calendario!$C$3,Calendario!$C$2+1,1))*($L$2:$L$151&lt;&gt;"Realizado")*($L$2:$L$151&lt;&gt;"Cancelado")))</f>
        <v/>
      </c>
    </row>
    <row r="149" ht="15" customHeight="1" s="1">
      <c r="A149" s="13">
        <f>IF(B149="","",ROW()-1)</f>
        <v/>
      </c>
      <c r="B149" s="14" t="n"/>
      <c r="C149" s="13">
        <f>IFERROR(INDEX(Clientes!$C:$C,MATCH(B149,Clientes!$B:$B,0)),"")</f>
        <v/>
      </c>
      <c r="D149" s="14">
        <f>IFERROR(INDEX(Clientes!$D:$D,MATCH(B149,Clientes!$B:$B,0)),"")</f>
        <v/>
      </c>
      <c r="E149" s="14">
        <f>IFERROR(INDEX(Clientes!$M:$M,MATCH(B149,Clientes!$B:$B,0)),"")</f>
        <v/>
      </c>
      <c r="F149" s="14">
        <f>IFERROR(INDEX(Clientes!$F:$F,MATCH(B149,Clientes!$B:$B,0)),"")</f>
        <v/>
      </c>
      <c r="G149" s="14">
        <f>IFERROR(INDEX(Clientes!$G:$G,MATCH(B149,Clientes!$B:$B,0)),"")</f>
        <v/>
      </c>
      <c r="H149" s="14" t="n"/>
      <c r="I149" s="15" t="n"/>
      <c r="J149" s="16" t="n"/>
      <c r="K149" s="14" t="n"/>
      <c r="L149" s="14" t="n"/>
      <c r="M149" s="13">
        <f>IF(I149="","",I149-TODAY())</f>
        <v/>
      </c>
      <c r="N149" s="14" t="n"/>
      <c r="O149" s="14">
        <f>IFERROR(IF(B149="","",IF(H149="","",IF(H149="Otro (mensaje libre)","",IF(H149="Requisitos (Crédito/Contado)",IF(OR(F149="",G149=""),"Indica primero el Método de Compra y el Tipo de Persona del cliente en la pestaña Clientes.",_xlfn.SWITCH($F149&amp;"|"&amp;$G149,"Crédito|Persona física","Hola, "&amp;$B149&amp;", para continuar con el proceso de tu *"&amp;$D149&amp;"* por "&amp;$F149&amp;",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"&amp;$B149&amp;", para continuar con el proceso de tu *"&amp;$D149&amp;"* por "&amp;$F149&amp;",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"&amp;$B149&amp;", para continuar con el proceso de tu *"&amp;$D149&amp;"* por "&amp;$F149&amp;",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"&amp;$B149&amp;", para continuar con el proceso de tu *"&amp;$D149&amp;"* por "&amp;$F149&amp;", estos son los documentos que necesitamos:"&amp;CHAR(10)&amp;CHAR(10)&amp;"- INE"&amp;CHAR(10)&amp;"- Comprobante de domicilio"&amp;CHAR(10)&amp;"- Constancia de situación fiscal (no mayor a 3 meses)","Contado|Persona física con actividad empresarial","Hola, "&amp;$B149&amp;", para continuar con el proceso de tu *"&amp;$D149&amp;"* por "&amp;$F149&amp;", estos son los documentos que necesitamos:"&amp;CHAR(10)&amp;CHAR(10)&amp;"- INE"&amp;CHAR(10)&amp;"- Comprobante de domicilio"&amp;CHAR(10)&amp;"- Constancia de situación fiscal (no mayor a 3 meses)","Contado|Persona moral","Hola, "&amp;$B149&amp;", para continuar con el proceso de tu *"&amp;$D149&amp;"* por "&amp;$F149&amp;",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Clientes.")&amp;CHAR(10)&amp;CHAR(10)&amp;Config!$B$1),IF(D149="","",SUBSTITUTE(SUBSTITUTE(INDEX('Catálogo Mensajes'!$D:$J,MATCH($D149,'Catálogo Mensajes'!$B:$B,0),MATCH($H149,'Catálogo Mensajes'!$D$4:$J$4,0)),"{NOMBRE}",$B149),"{PROMO}",'Catálogo Mensajes'!$C$2)&amp;CHAR(10)&amp;CHAR(10)&amp;Config!$B$1))))),"")</f>
        <v/>
      </c>
      <c r="P149" s="13">
        <f>IF(OR(O149="",C149=""),"",HYPERLINK("https://wa.me/52"&amp;C149&amp;"?text="&amp;_xlfn.ENCODEURL(O149),"Enviar mensaje"))</f>
        <v/>
      </c>
      <c r="Q149" s="13">
        <f>IF(OR(I149="",L149="Realizado",L149="Cancelado"),"",SUMPRODUCT(($I$2:$I$151&lt;I149)*($I$2:$I$151&gt;=DATE(Calendario!$C$3,Calendario!$C$2,1))*($I$2:$I$151&lt;DATE(Calendario!$C$3,Calendario!$C$2+1,1))*($L$2:$L$151&lt;&gt;"Realizado")*($L$2:$L$151&lt;&gt;"Cancelado"))+SUMPRODUCT(($I$2:$I$151=I149)*(ROW($I$2:$I$151)&lt;=ROW())*($I$2:$I$151&gt;=DATE(Calendario!$C$3,Calendario!$C$2,1))*($I$2:$I$151&lt;DATE(Calendario!$C$3,Calendario!$C$2+1,1))*($L$2:$L$151&lt;&gt;"Realizado")*($L$2:$L$151&lt;&gt;"Cancelado")))</f>
        <v/>
      </c>
    </row>
    <row r="150" ht="15" customHeight="1" s="1">
      <c r="A150" s="13">
        <f>IF(B150="","",ROW()-1)</f>
        <v/>
      </c>
      <c r="B150" s="14" t="n"/>
      <c r="C150" s="13">
        <f>IFERROR(INDEX(Clientes!$C:$C,MATCH(B150,Clientes!$B:$B,0)),"")</f>
        <v/>
      </c>
      <c r="D150" s="14">
        <f>IFERROR(INDEX(Clientes!$D:$D,MATCH(B150,Clientes!$B:$B,0)),"")</f>
        <v/>
      </c>
      <c r="E150" s="14">
        <f>IFERROR(INDEX(Clientes!$M:$M,MATCH(B150,Clientes!$B:$B,0)),"")</f>
        <v/>
      </c>
      <c r="F150" s="14">
        <f>IFERROR(INDEX(Clientes!$F:$F,MATCH(B150,Clientes!$B:$B,0)),"")</f>
        <v/>
      </c>
      <c r="G150" s="14">
        <f>IFERROR(INDEX(Clientes!$G:$G,MATCH(B150,Clientes!$B:$B,0)),"")</f>
        <v/>
      </c>
      <c r="H150" s="14" t="n"/>
      <c r="I150" s="15" t="n"/>
      <c r="J150" s="16" t="n"/>
      <c r="K150" s="14" t="n"/>
      <c r="L150" s="14" t="n"/>
      <c r="M150" s="13">
        <f>IF(I150="","",I150-TODAY())</f>
        <v/>
      </c>
      <c r="N150" s="14" t="n"/>
      <c r="O150" s="14">
        <f>IFERROR(IF(B150="","",IF(H150="","",IF(H150="Otro (mensaje libre)","",IF(H150="Requisitos (Crédito/Contado)",IF(OR(F150="",G150=""),"Indica primero el Método de Compra y el Tipo de Persona del cliente en la pestaña Clientes.",_xlfn.SWITCH($F150&amp;"|"&amp;$G150,"Crédito|Persona física","Hola, "&amp;$B150&amp;", para continuar con el proceso de tu *"&amp;$D150&amp;"* por "&amp;$F150&amp;",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"&amp;$B150&amp;", para continuar con el proceso de tu *"&amp;$D150&amp;"* por "&amp;$F150&amp;",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"&amp;$B150&amp;", para continuar con el proceso de tu *"&amp;$D150&amp;"* por "&amp;$F150&amp;",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"&amp;$B150&amp;", para continuar con el proceso de tu *"&amp;$D150&amp;"* por "&amp;$F150&amp;", estos son los documentos que necesitamos:"&amp;CHAR(10)&amp;CHAR(10)&amp;"- INE"&amp;CHAR(10)&amp;"- Comprobante de domicilio"&amp;CHAR(10)&amp;"- Constancia de situación fiscal (no mayor a 3 meses)","Contado|Persona física con actividad empresarial","Hola, "&amp;$B150&amp;", para continuar con el proceso de tu *"&amp;$D150&amp;"* por "&amp;$F150&amp;", estos son los documentos que necesitamos:"&amp;CHAR(10)&amp;CHAR(10)&amp;"- INE"&amp;CHAR(10)&amp;"- Comprobante de domicilio"&amp;CHAR(10)&amp;"- Constancia de situación fiscal (no mayor a 3 meses)","Contado|Persona moral","Hola, "&amp;$B150&amp;", para continuar con el proceso de tu *"&amp;$D150&amp;"* por "&amp;$F150&amp;",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Clientes.")&amp;CHAR(10)&amp;CHAR(10)&amp;Config!$B$1),IF(D150="","",SUBSTITUTE(SUBSTITUTE(INDEX('Catálogo Mensajes'!$D:$J,MATCH($D150,'Catálogo Mensajes'!$B:$B,0),MATCH($H150,'Catálogo Mensajes'!$D$4:$J$4,0)),"{NOMBRE}",$B150),"{PROMO}",'Catálogo Mensajes'!$C$2)&amp;CHAR(10)&amp;CHAR(10)&amp;Config!$B$1))))),"")</f>
        <v/>
      </c>
      <c r="P150" s="13">
        <f>IF(OR(O150="",C150=""),"",HYPERLINK("https://wa.me/52"&amp;C150&amp;"?text="&amp;_xlfn.ENCODEURL(O150),"Enviar mensaje"))</f>
        <v/>
      </c>
      <c r="Q150" s="13">
        <f>IF(OR(I150="",L150="Realizado",L150="Cancelado"),"",SUMPRODUCT(($I$2:$I$151&lt;I150)*($I$2:$I$151&gt;=DATE(Calendario!$C$3,Calendario!$C$2,1))*($I$2:$I$151&lt;DATE(Calendario!$C$3,Calendario!$C$2+1,1))*($L$2:$L$151&lt;&gt;"Realizado")*($L$2:$L$151&lt;&gt;"Cancelado"))+SUMPRODUCT(($I$2:$I$151=I150)*(ROW($I$2:$I$151)&lt;=ROW())*($I$2:$I$151&gt;=DATE(Calendario!$C$3,Calendario!$C$2,1))*($I$2:$I$151&lt;DATE(Calendario!$C$3,Calendario!$C$2+1,1))*($L$2:$L$151&lt;&gt;"Realizado")*($L$2:$L$151&lt;&gt;"Cancelado")))</f>
        <v/>
      </c>
    </row>
    <row r="151" ht="15" customHeight="1" s="1">
      <c r="A151" s="13">
        <f>IF(B151="","",ROW()-1)</f>
        <v/>
      </c>
      <c r="B151" s="14" t="n"/>
      <c r="C151" s="13">
        <f>IFERROR(INDEX(Clientes!$C:$C,MATCH(B151,Clientes!$B:$B,0)),"")</f>
        <v/>
      </c>
      <c r="D151" s="14">
        <f>IFERROR(INDEX(Clientes!$D:$D,MATCH(B151,Clientes!$B:$B,0)),"")</f>
        <v/>
      </c>
      <c r="E151" s="14">
        <f>IFERROR(INDEX(Clientes!$M:$M,MATCH(B151,Clientes!$B:$B,0)),"")</f>
        <v/>
      </c>
      <c r="F151" s="14">
        <f>IFERROR(INDEX(Clientes!$F:$F,MATCH(B151,Clientes!$B:$B,0)),"")</f>
        <v/>
      </c>
      <c r="G151" s="14">
        <f>IFERROR(INDEX(Clientes!$G:$G,MATCH(B151,Clientes!$B:$B,0)),"")</f>
        <v/>
      </c>
      <c r="H151" s="14" t="n"/>
      <c r="I151" s="15" t="n"/>
      <c r="J151" s="16" t="n"/>
      <c r="K151" s="14" t="n"/>
      <c r="L151" s="14" t="n"/>
      <c r="M151" s="13">
        <f>IF(I151="","",I151-TODAY())</f>
        <v/>
      </c>
      <c r="N151" s="14" t="n"/>
      <c r="O151" s="14">
        <f>IFERROR(IF(B151="","",IF(H151="","",IF(H151="Otro (mensaje libre)","",IF(H151="Requisitos (Crédito/Contado)",IF(OR(F151="",G151=""),"Indica primero el Método de Compra y el Tipo de Persona del cliente en la pestaña Clientes.",_xlfn.SWITCH($F151&amp;"|"&amp;$G151,"Crédito|Persona física","Hola, "&amp;$B151&amp;", para continuar con el proceso de tu *"&amp;$D151&amp;"* por "&amp;$F151&amp;",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meses)","Crédito|Persona física con actividad empresarial","Hola, "&amp;$B151&amp;", para continuar con el proceso de tu *"&amp;$D151&amp;"* por "&amp;$F151&amp;", estos son los documentos que necesitamos:"&amp;CHAR(10)&amp;CHAR(10)&amp;"- INE"&amp;CHAR(10)&amp;"- Comprobante de domicilio (luz), a nombre del titular"&amp;CHAR(10)&amp;"- Estados de cuenta de los últimos 3 meses"&amp;CHAR(10)&amp;"- Constancia de situación fiscal (no mayor a 3 meses)"&amp;CHAR(10)&amp;"- Última declaración anual con acuse de recibo","Crédito|Persona moral","Hola, "&amp;$B151&amp;", para continuar con el proceso de tu *"&amp;$D151&amp;"* por "&amp;$F151&amp;", estos son los documentos que necesitamos:"&amp;CHAR(10)&amp;CHAR(10)&amp;"- Identificación oficial vigente del representante legal (INE o pasaporte)"&amp;CHAR(10)&amp;"- Comprobante de domicilio fiscal de la empresa (CFE, no mayor a 3 meses)"&amp;CHAR(10)&amp;"- Comprobante de domicilio del representante legal (CFE, no mayor a 3 meses)"&amp;CHAR(10)&amp;"- Últimos 3 meses de estados de cuenta bancarios de la empresa"&amp;CHAR(10)&amp;"- Constancia de situación fiscal de la empresa (no mayor a 3 meses)"&amp;CHAR(10)&amp;"- Constancia de situación fiscal del representante legal (no mayor a 3 meses)"&amp;CHAR(10)&amp;"- Declaración anual del último ejercicio, en digital, con acuse de recibo"&amp;CHAR(10)&amp;"- Estados financieros de la empresa (Resultados y Balance General), no mayor a 3 meses"&amp;CHAR(10)&amp;"- Escritura constitutiva, poderes o reformas de estatutos (primer acta, poder del representante y última acta)","Contado|Persona física","Hola, "&amp;$B151&amp;", para continuar con el proceso de tu *"&amp;$D151&amp;"* por "&amp;$F151&amp;", estos son los documentos que necesitamos:"&amp;CHAR(10)&amp;CHAR(10)&amp;"- INE"&amp;CHAR(10)&amp;"- Comprobante de domicilio"&amp;CHAR(10)&amp;"- Constancia de situación fiscal (no mayor a 3 meses)","Contado|Persona física con actividad empresarial","Hola, "&amp;$B151&amp;", para continuar con el proceso de tu *"&amp;$D151&amp;"* por "&amp;$F151&amp;", estos son los documentos que necesitamos:"&amp;CHAR(10)&amp;CHAR(10)&amp;"- INE"&amp;CHAR(10)&amp;"- Comprobante de domicilio"&amp;CHAR(10)&amp;"- Constancia de situación fiscal (no mayor a 3 meses)","Contado|Persona moral","Hola, "&amp;$B151&amp;", para continuar con el proceso de tu *"&amp;$D151&amp;"* por "&amp;$F151&amp;", estos son los documentos que necesitamos:"&amp;CHAR(10)&amp;CHAR(10)&amp;"- Identificación oficial vigente del representante legal y accionistas"&amp;CHAR(10)&amp;"- Comprobante de domicilio fiscal de la empresa (no mayor a 3 meses)"&amp;CHAR(10)&amp;"- Comprobante de domicilio del representante legal y accionistas (no mayor a 3 meses)"&amp;CHAR(10)&amp;"- Constancia de situación fiscal de la empresa (no mayor a 3 meses)"&amp;CHAR(10)&amp;"- Constancia de situación fiscal del representante legal y accionistas (no mayor a 3 meses)"&amp;CHAR(10)&amp;"- Escritura constitutiva, poderes o reformas de estatutos (primer acta, poder del representante y última acta)","Selecciona Método de Compra y Tipo de Persona en la pestaña Clientes.")&amp;CHAR(10)&amp;CHAR(10)&amp;Config!$B$1),IF(D151="","",SUBSTITUTE(SUBSTITUTE(INDEX('Catálogo Mensajes'!$D:$J,MATCH($D151,'Catálogo Mensajes'!$B:$B,0),MATCH($H151,'Catálogo Mensajes'!$D$4:$J$4,0)),"{NOMBRE}",$B151),"{PROMO}",'Catálogo Mensajes'!$C$2)&amp;CHAR(10)&amp;CHAR(10)&amp;Config!$B$1))))),"")</f>
        <v/>
      </c>
      <c r="P151" s="13">
        <f>IF(OR(O151="",C151=""),"",HYPERLINK("https://wa.me/52"&amp;C151&amp;"?text="&amp;_xlfn.ENCODEURL(O151),"Enviar mensaje"))</f>
        <v/>
      </c>
      <c r="Q151" s="13">
        <f>IF(OR(I151="",L151="Realizado",L151="Cancelado"),"",SUMPRODUCT(($I$2:$I$151&lt;I151)*($I$2:$I$151&gt;=DATE(Calendario!$C$3,Calendario!$C$2,1))*($I$2:$I$151&lt;DATE(Calendario!$C$3,Calendario!$C$2+1,1))*($L$2:$L$151&lt;&gt;"Realizado")*($L$2:$L$151&lt;&gt;"Cancelado"))+SUMPRODUCT(($I$2:$I$151=I151)*(ROW($I$2:$I$151)&lt;=ROW())*($I$2:$I$151&gt;=DATE(Calendario!$C$3,Calendario!$C$2,1))*($I$2:$I$151&lt;DATE(Calendario!$C$3,Calendario!$C$2+1,1))*($L$2:$L$151&lt;&gt;"Realizado")*($L$2:$L$151&lt;&gt;"Cancelado")))</f>
        <v/>
      </c>
    </row>
  </sheetData>
  <autoFilter ref="A1:P151"/>
  <conditionalFormatting sqref="A2:P151">
    <cfRule type="expression" priority="2" dxfId="5">
      <formula>AND($L2="Pendiente",$I2&lt;&gt;"",$I2&lt;TODAY())</formula>
    </cfRule>
    <cfRule type="expression" priority="3" dxfId="0">
      <formula>AND($L2="Pendiente",$I2=TODAY())</formula>
    </cfRule>
    <cfRule type="expression" priority="4" dxfId="3">
      <formula>$L2="Realizado"</formula>
    </cfRule>
    <cfRule type="expression" priority="5" dxfId="2">
      <formula>$L2="Reprogramado"</formula>
    </cfRule>
    <cfRule type="expression" priority="6" dxfId="1">
      <formula>$L2="Cancelado"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16A34A"/>
    <outlinePr summaryBelow="1" summaryRight="1"/>
    <pageSetUpPr/>
  </sheetPr>
  <dimension ref="A1:H44"/>
  <sheetViews>
    <sheetView showGridLines="0" zoomScaleNormal="100" workbookViewId="0">
      <pane xSplit="1" ySplit="5" topLeftCell="C10" activePane="bottomRight" state="frozen"/>
      <selection pane="bottomLeft" activeCell="A6" sqref="A6"/>
      <selection pane="topRight" activeCell="B1" sqref="B1"/>
      <selection pane="bottomRight" activeCell="A1" sqref="A1"/>
    </sheetView>
  </sheetViews>
  <sheetFormatPr baseColWidth="8" defaultColWidth="8.7421875" defaultRowHeight="15"/>
  <cols>
    <col width="14.9296875" customWidth="1" style="1" min="2" max="8"/>
  </cols>
  <sheetData>
    <row r="1" ht="24" customHeight="1" s="1">
      <c r="A1" s="29" t="inlineStr">
        <is>
          <t>Calendario de Seguimiento</t>
        </is>
      </c>
    </row>
    <row r="2" ht="15" customHeight="1" s="1">
      <c r="B2" s="17" t="inlineStr">
        <is>
          <t>Mes:</t>
        </is>
      </c>
      <c r="C2" s="18" t="n">
        <v>8</v>
      </c>
      <c r="D2" s="30" t="inlineStr">
        <is>
          <t>Cambia el mes y el año aquí; el calendario y la agenda de abajo se actualizan solos. 🔸 indica cuántos pendientes tienes ese día.</t>
        </is>
      </c>
    </row>
    <row r="3">
      <c r="B3" s="17" t="inlineStr">
        <is>
          <t>Año:</t>
        </is>
      </c>
      <c r="C3" s="18" t="n">
        <v>2026</v>
      </c>
    </row>
    <row r="5" ht="19.5" customHeight="1" s="1">
      <c r="B5" s="12" t="inlineStr">
        <is>
          <t>Lunes</t>
        </is>
      </c>
      <c r="C5" s="12" t="inlineStr">
        <is>
          <t>Martes</t>
        </is>
      </c>
      <c r="D5" s="12" t="inlineStr">
        <is>
          <t>Miércoles</t>
        </is>
      </c>
      <c r="E5" s="12" t="inlineStr">
        <is>
          <t>Jueves</t>
        </is>
      </c>
      <c r="F5" s="12" t="inlineStr">
        <is>
          <t>Viernes</t>
        </is>
      </c>
      <c r="G5" s="12" t="inlineStr">
        <is>
          <t>Sábado</t>
        </is>
      </c>
      <c r="H5" s="12" t="inlineStr">
        <is>
          <t>Domingo</t>
        </is>
      </c>
    </row>
    <row r="6" ht="33.75" customHeight="1" s="1">
      <c r="B6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C6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D6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E6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F6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G6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H6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</row>
    <row r="7" ht="33.75" customHeight="1" s="1">
      <c r="B7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C7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D7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E7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F7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G7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H7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</row>
    <row r="8" ht="33.75" customHeight="1" s="1">
      <c r="B8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C8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D8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E8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F8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G8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H8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</row>
    <row r="9" ht="33.75" customHeight="1" s="1">
      <c r="B9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C9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D9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E9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F9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G9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H9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</row>
    <row r="10" ht="33.75" customHeight="1" s="1">
      <c r="B10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C10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D10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E10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F10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G10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H10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</row>
    <row r="11" ht="33.75" customHeight="1" s="1">
      <c r="B11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C11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D11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E11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F11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G11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  <c r="H11" s="19">
        <f>IF(MONTH((DATE($C$3,$C$2,1)-(WEEKDAY(DATE($C$3,$C$2,1),2)-1)+(ROW()-6)*7+(COLUMN()-2)))&lt;&gt;$C$2,"",DAY((DATE($C$3,$C$2,1)-(WEEKDAY(DATE($C$3,$C$2,1),2)-1)+(ROW()-6)*7+(COLUMN()-2)))&amp;IF(COUNTIFS('Plan de Seguimiento'!$I:$I,(DATE($C$3,$C$2,1)-(WEEKDAY(DATE($C$3,$C$2,1),2)-1)+(ROW()-6)*7+(COLUMN()-2)),'Plan de Seguimiento'!$L:$L,"Pendiente")&gt;0,CHAR(10)&amp;"🔸 "&amp;COUNTIFS('Plan de Seguimiento'!$I:$I,(DATE($C$3,$C$2,1)-(WEEKDAY(DATE($C$3,$C$2,1),2)-1)+(ROW()-6)*7+(COLUMN()-2)),'Plan de Seguimiento'!$L:$L,"Pendiente")&amp;" pend.",""))</f>
        <v/>
      </c>
    </row>
    <row r="13">
      <c r="B13" s="31" t="inlineStr">
        <is>
          <t>Agenda del mes seleccionado (pendientes en orden)</t>
        </is>
      </c>
    </row>
    <row r="14" ht="19.5" customHeight="1" s="1">
      <c r="B14" s="12" t="inlineStr">
        <is>
          <t>Fecha</t>
        </is>
      </c>
      <c r="C14" s="12" t="inlineStr">
        <is>
          <t>Cliente</t>
        </is>
      </c>
      <c r="D14" s="12" t="inlineStr">
        <is>
          <t>Vehículo</t>
        </is>
      </c>
      <c r="E14" s="12" t="inlineStr">
        <is>
          <t>Tipo de Acción</t>
        </is>
      </c>
      <c r="F14" s="12" t="inlineStr">
        <is>
          <t>Prioridad</t>
        </is>
      </c>
      <c r="G14" s="12" t="inlineStr">
        <is>
          <t>Estatus</t>
        </is>
      </c>
    </row>
    <row r="15">
      <c r="B15" s="20">
        <f>IFERROR(TEXT(INDEX('Plan de Seguimiento'!$I:$I,MATCH((ROW()-14),'Plan de Seguimiento'!$Q:$Q,0)),"dd/mm/yyyy"),"")</f>
        <v/>
      </c>
      <c r="C15" s="20">
        <f>IFERROR(INDEX('Plan de Seguimiento'!$B:$B,MATCH((ROW()-14),'Plan de Seguimiento'!$Q:$Q,0)),"")</f>
        <v/>
      </c>
      <c r="D15" s="20">
        <f>IFERROR(INDEX('Plan de Seguimiento'!$D:$D,MATCH((ROW()-14),'Plan de Seguimiento'!$Q:$Q,0)),"")</f>
        <v/>
      </c>
      <c r="E15" s="20">
        <f>IFERROR(INDEX('Plan de Seguimiento'!$H:$H,MATCH((ROW()-14),'Plan de Seguimiento'!$Q:$Q,0)),"")</f>
        <v/>
      </c>
      <c r="F15" s="20">
        <f>IFERROR(INDEX('Plan de Seguimiento'!$K:$K,MATCH((ROW()-14),'Plan de Seguimiento'!$Q:$Q,0)),"")</f>
        <v/>
      </c>
      <c r="G15" s="20">
        <f>IFERROR(INDEX('Plan de Seguimiento'!$L:$L,MATCH((ROW()-14),'Plan de Seguimiento'!$Q:$Q,0)),"")</f>
        <v/>
      </c>
    </row>
    <row r="16">
      <c r="B16" s="20">
        <f>IFERROR(TEXT(INDEX('Plan de Seguimiento'!$I:$I,MATCH((ROW()-14),'Plan de Seguimiento'!$Q:$Q,0)),"dd/mm/yyyy"),"")</f>
        <v/>
      </c>
      <c r="C16" s="20">
        <f>IFERROR(INDEX('Plan de Seguimiento'!$B:$B,MATCH((ROW()-14),'Plan de Seguimiento'!$Q:$Q,0)),"")</f>
        <v/>
      </c>
      <c r="D16" s="20">
        <f>IFERROR(INDEX('Plan de Seguimiento'!$D:$D,MATCH((ROW()-14),'Plan de Seguimiento'!$Q:$Q,0)),"")</f>
        <v/>
      </c>
      <c r="E16" s="20">
        <f>IFERROR(INDEX('Plan de Seguimiento'!$H:$H,MATCH((ROW()-14),'Plan de Seguimiento'!$Q:$Q,0)),"")</f>
        <v/>
      </c>
      <c r="F16" s="20">
        <f>IFERROR(INDEX('Plan de Seguimiento'!$K:$K,MATCH((ROW()-14),'Plan de Seguimiento'!$Q:$Q,0)),"")</f>
        <v/>
      </c>
      <c r="G16" s="20">
        <f>IFERROR(INDEX('Plan de Seguimiento'!$L:$L,MATCH((ROW()-14),'Plan de Seguimiento'!$Q:$Q,0)),"")</f>
        <v/>
      </c>
    </row>
    <row r="17">
      <c r="B17" s="20">
        <f>IFERROR(TEXT(INDEX('Plan de Seguimiento'!$I:$I,MATCH((ROW()-14),'Plan de Seguimiento'!$Q:$Q,0)),"dd/mm/yyyy"),"")</f>
        <v/>
      </c>
      <c r="C17" s="20">
        <f>IFERROR(INDEX('Plan de Seguimiento'!$B:$B,MATCH((ROW()-14),'Plan de Seguimiento'!$Q:$Q,0)),"")</f>
        <v/>
      </c>
      <c r="D17" s="20">
        <f>IFERROR(INDEX('Plan de Seguimiento'!$D:$D,MATCH((ROW()-14),'Plan de Seguimiento'!$Q:$Q,0)),"")</f>
        <v/>
      </c>
      <c r="E17" s="20">
        <f>IFERROR(INDEX('Plan de Seguimiento'!$H:$H,MATCH((ROW()-14),'Plan de Seguimiento'!$Q:$Q,0)),"")</f>
        <v/>
      </c>
      <c r="F17" s="20">
        <f>IFERROR(INDEX('Plan de Seguimiento'!$K:$K,MATCH((ROW()-14),'Plan de Seguimiento'!$Q:$Q,0)),"")</f>
        <v/>
      </c>
      <c r="G17" s="20">
        <f>IFERROR(INDEX('Plan de Seguimiento'!$L:$L,MATCH((ROW()-14),'Plan de Seguimiento'!$Q:$Q,0)),"")</f>
        <v/>
      </c>
    </row>
    <row r="18">
      <c r="B18" s="20">
        <f>IFERROR(TEXT(INDEX('Plan de Seguimiento'!$I:$I,MATCH((ROW()-14),'Plan de Seguimiento'!$Q:$Q,0)),"dd/mm/yyyy"),"")</f>
        <v/>
      </c>
      <c r="C18" s="20">
        <f>IFERROR(INDEX('Plan de Seguimiento'!$B:$B,MATCH((ROW()-14),'Plan de Seguimiento'!$Q:$Q,0)),"")</f>
        <v/>
      </c>
      <c r="D18" s="20">
        <f>IFERROR(INDEX('Plan de Seguimiento'!$D:$D,MATCH((ROW()-14),'Plan de Seguimiento'!$Q:$Q,0)),"")</f>
        <v/>
      </c>
      <c r="E18" s="20">
        <f>IFERROR(INDEX('Plan de Seguimiento'!$H:$H,MATCH((ROW()-14),'Plan de Seguimiento'!$Q:$Q,0)),"")</f>
        <v/>
      </c>
      <c r="F18" s="20">
        <f>IFERROR(INDEX('Plan de Seguimiento'!$K:$K,MATCH((ROW()-14),'Plan de Seguimiento'!$Q:$Q,0)),"")</f>
        <v/>
      </c>
      <c r="G18" s="20">
        <f>IFERROR(INDEX('Plan de Seguimiento'!$L:$L,MATCH((ROW()-14),'Plan de Seguimiento'!$Q:$Q,0)),"")</f>
        <v/>
      </c>
    </row>
    <row r="19">
      <c r="B19" s="20">
        <f>IFERROR(TEXT(INDEX('Plan de Seguimiento'!$I:$I,MATCH((ROW()-14),'Plan de Seguimiento'!$Q:$Q,0)),"dd/mm/yyyy"),"")</f>
        <v/>
      </c>
      <c r="C19" s="20">
        <f>IFERROR(INDEX('Plan de Seguimiento'!$B:$B,MATCH((ROW()-14),'Plan de Seguimiento'!$Q:$Q,0)),"")</f>
        <v/>
      </c>
      <c r="D19" s="20">
        <f>IFERROR(INDEX('Plan de Seguimiento'!$D:$D,MATCH((ROW()-14),'Plan de Seguimiento'!$Q:$Q,0)),"")</f>
        <v/>
      </c>
      <c r="E19" s="20">
        <f>IFERROR(INDEX('Plan de Seguimiento'!$H:$H,MATCH((ROW()-14),'Plan de Seguimiento'!$Q:$Q,0)),"")</f>
        <v/>
      </c>
      <c r="F19" s="20">
        <f>IFERROR(INDEX('Plan de Seguimiento'!$K:$K,MATCH((ROW()-14),'Plan de Seguimiento'!$Q:$Q,0)),"")</f>
        <v/>
      </c>
      <c r="G19" s="20">
        <f>IFERROR(INDEX('Plan de Seguimiento'!$L:$L,MATCH((ROW()-14),'Plan de Seguimiento'!$Q:$Q,0)),"")</f>
        <v/>
      </c>
    </row>
    <row r="20">
      <c r="B20" s="20">
        <f>IFERROR(TEXT(INDEX('Plan de Seguimiento'!$I:$I,MATCH((ROW()-14),'Plan de Seguimiento'!$Q:$Q,0)),"dd/mm/yyyy"),"")</f>
        <v/>
      </c>
      <c r="C20" s="20">
        <f>IFERROR(INDEX('Plan de Seguimiento'!$B:$B,MATCH((ROW()-14),'Plan de Seguimiento'!$Q:$Q,0)),"")</f>
        <v/>
      </c>
      <c r="D20" s="20">
        <f>IFERROR(INDEX('Plan de Seguimiento'!$D:$D,MATCH((ROW()-14),'Plan de Seguimiento'!$Q:$Q,0)),"")</f>
        <v/>
      </c>
      <c r="E20" s="20">
        <f>IFERROR(INDEX('Plan de Seguimiento'!$H:$H,MATCH((ROW()-14),'Plan de Seguimiento'!$Q:$Q,0)),"")</f>
        <v/>
      </c>
      <c r="F20" s="20">
        <f>IFERROR(INDEX('Plan de Seguimiento'!$K:$K,MATCH((ROW()-14),'Plan de Seguimiento'!$Q:$Q,0)),"")</f>
        <v/>
      </c>
      <c r="G20" s="20">
        <f>IFERROR(INDEX('Plan de Seguimiento'!$L:$L,MATCH((ROW()-14),'Plan de Seguimiento'!$Q:$Q,0)),"")</f>
        <v/>
      </c>
    </row>
    <row r="21">
      <c r="B21" s="20">
        <f>IFERROR(TEXT(INDEX('Plan de Seguimiento'!$I:$I,MATCH((ROW()-14),'Plan de Seguimiento'!$Q:$Q,0)),"dd/mm/yyyy"),"")</f>
        <v/>
      </c>
      <c r="C21" s="20">
        <f>IFERROR(INDEX('Plan de Seguimiento'!$B:$B,MATCH((ROW()-14),'Plan de Seguimiento'!$Q:$Q,0)),"")</f>
        <v/>
      </c>
      <c r="D21" s="20">
        <f>IFERROR(INDEX('Plan de Seguimiento'!$D:$D,MATCH((ROW()-14),'Plan de Seguimiento'!$Q:$Q,0)),"")</f>
        <v/>
      </c>
      <c r="E21" s="20">
        <f>IFERROR(INDEX('Plan de Seguimiento'!$H:$H,MATCH((ROW()-14),'Plan de Seguimiento'!$Q:$Q,0)),"")</f>
        <v/>
      </c>
      <c r="F21" s="20">
        <f>IFERROR(INDEX('Plan de Seguimiento'!$K:$K,MATCH((ROW()-14),'Plan de Seguimiento'!$Q:$Q,0)),"")</f>
        <v/>
      </c>
      <c r="G21" s="20">
        <f>IFERROR(INDEX('Plan de Seguimiento'!$L:$L,MATCH((ROW()-14),'Plan de Seguimiento'!$Q:$Q,0)),"")</f>
        <v/>
      </c>
    </row>
    <row r="22">
      <c r="B22" s="20">
        <f>IFERROR(TEXT(INDEX('Plan de Seguimiento'!$I:$I,MATCH((ROW()-14),'Plan de Seguimiento'!$Q:$Q,0)),"dd/mm/yyyy"),"")</f>
        <v/>
      </c>
      <c r="C22" s="20">
        <f>IFERROR(INDEX('Plan de Seguimiento'!$B:$B,MATCH((ROW()-14),'Plan de Seguimiento'!$Q:$Q,0)),"")</f>
        <v/>
      </c>
      <c r="D22" s="20">
        <f>IFERROR(INDEX('Plan de Seguimiento'!$D:$D,MATCH((ROW()-14),'Plan de Seguimiento'!$Q:$Q,0)),"")</f>
        <v/>
      </c>
      <c r="E22" s="20">
        <f>IFERROR(INDEX('Plan de Seguimiento'!$H:$H,MATCH((ROW()-14),'Plan de Seguimiento'!$Q:$Q,0)),"")</f>
        <v/>
      </c>
      <c r="F22" s="20">
        <f>IFERROR(INDEX('Plan de Seguimiento'!$K:$K,MATCH((ROW()-14),'Plan de Seguimiento'!$Q:$Q,0)),"")</f>
        <v/>
      </c>
      <c r="G22" s="20">
        <f>IFERROR(INDEX('Plan de Seguimiento'!$L:$L,MATCH((ROW()-14),'Plan de Seguimiento'!$Q:$Q,0)),"")</f>
        <v/>
      </c>
    </row>
    <row r="23">
      <c r="B23" s="20">
        <f>IFERROR(TEXT(INDEX('Plan de Seguimiento'!$I:$I,MATCH((ROW()-14),'Plan de Seguimiento'!$Q:$Q,0)),"dd/mm/yyyy"),"")</f>
        <v/>
      </c>
      <c r="C23" s="20">
        <f>IFERROR(INDEX('Plan de Seguimiento'!$B:$B,MATCH((ROW()-14),'Plan de Seguimiento'!$Q:$Q,0)),"")</f>
        <v/>
      </c>
      <c r="D23" s="20">
        <f>IFERROR(INDEX('Plan de Seguimiento'!$D:$D,MATCH((ROW()-14),'Plan de Seguimiento'!$Q:$Q,0)),"")</f>
        <v/>
      </c>
      <c r="E23" s="20">
        <f>IFERROR(INDEX('Plan de Seguimiento'!$H:$H,MATCH((ROW()-14),'Plan de Seguimiento'!$Q:$Q,0)),"")</f>
        <v/>
      </c>
      <c r="F23" s="20">
        <f>IFERROR(INDEX('Plan de Seguimiento'!$K:$K,MATCH((ROW()-14),'Plan de Seguimiento'!$Q:$Q,0)),"")</f>
        <v/>
      </c>
      <c r="G23" s="20">
        <f>IFERROR(INDEX('Plan de Seguimiento'!$L:$L,MATCH((ROW()-14),'Plan de Seguimiento'!$Q:$Q,0)),"")</f>
        <v/>
      </c>
    </row>
    <row r="24">
      <c r="B24" s="20">
        <f>IFERROR(TEXT(INDEX('Plan de Seguimiento'!$I:$I,MATCH((ROW()-14),'Plan de Seguimiento'!$Q:$Q,0)),"dd/mm/yyyy"),"")</f>
        <v/>
      </c>
      <c r="C24" s="20">
        <f>IFERROR(INDEX('Plan de Seguimiento'!$B:$B,MATCH((ROW()-14),'Plan de Seguimiento'!$Q:$Q,0)),"")</f>
        <v/>
      </c>
      <c r="D24" s="20">
        <f>IFERROR(INDEX('Plan de Seguimiento'!$D:$D,MATCH((ROW()-14),'Plan de Seguimiento'!$Q:$Q,0)),"")</f>
        <v/>
      </c>
      <c r="E24" s="20">
        <f>IFERROR(INDEX('Plan de Seguimiento'!$H:$H,MATCH((ROW()-14),'Plan de Seguimiento'!$Q:$Q,0)),"")</f>
        <v/>
      </c>
      <c r="F24" s="20">
        <f>IFERROR(INDEX('Plan de Seguimiento'!$K:$K,MATCH((ROW()-14),'Plan de Seguimiento'!$Q:$Q,0)),"")</f>
        <v/>
      </c>
      <c r="G24" s="20">
        <f>IFERROR(INDEX('Plan de Seguimiento'!$L:$L,MATCH((ROW()-14),'Plan de Seguimiento'!$Q:$Q,0)),"")</f>
        <v/>
      </c>
    </row>
    <row r="25">
      <c r="B25" s="20">
        <f>IFERROR(TEXT(INDEX('Plan de Seguimiento'!$I:$I,MATCH((ROW()-14),'Plan de Seguimiento'!$Q:$Q,0)),"dd/mm/yyyy"),"")</f>
        <v/>
      </c>
      <c r="C25" s="20">
        <f>IFERROR(INDEX('Plan de Seguimiento'!$B:$B,MATCH((ROW()-14),'Plan de Seguimiento'!$Q:$Q,0)),"")</f>
        <v/>
      </c>
      <c r="D25" s="20">
        <f>IFERROR(INDEX('Plan de Seguimiento'!$D:$D,MATCH((ROW()-14),'Plan de Seguimiento'!$Q:$Q,0)),"")</f>
        <v/>
      </c>
      <c r="E25" s="20">
        <f>IFERROR(INDEX('Plan de Seguimiento'!$H:$H,MATCH((ROW()-14),'Plan de Seguimiento'!$Q:$Q,0)),"")</f>
        <v/>
      </c>
      <c r="F25" s="20">
        <f>IFERROR(INDEX('Plan de Seguimiento'!$K:$K,MATCH((ROW()-14),'Plan de Seguimiento'!$Q:$Q,0)),"")</f>
        <v/>
      </c>
      <c r="G25" s="20">
        <f>IFERROR(INDEX('Plan de Seguimiento'!$L:$L,MATCH((ROW()-14),'Plan de Seguimiento'!$Q:$Q,0)),"")</f>
        <v/>
      </c>
    </row>
    <row r="26">
      <c r="B26" s="20">
        <f>IFERROR(TEXT(INDEX('Plan de Seguimiento'!$I:$I,MATCH((ROW()-14),'Plan de Seguimiento'!$Q:$Q,0)),"dd/mm/yyyy"),"")</f>
        <v/>
      </c>
      <c r="C26" s="20">
        <f>IFERROR(INDEX('Plan de Seguimiento'!$B:$B,MATCH((ROW()-14),'Plan de Seguimiento'!$Q:$Q,0)),"")</f>
        <v/>
      </c>
      <c r="D26" s="20">
        <f>IFERROR(INDEX('Plan de Seguimiento'!$D:$D,MATCH((ROW()-14),'Plan de Seguimiento'!$Q:$Q,0)),"")</f>
        <v/>
      </c>
      <c r="E26" s="20">
        <f>IFERROR(INDEX('Plan de Seguimiento'!$H:$H,MATCH((ROW()-14),'Plan de Seguimiento'!$Q:$Q,0)),"")</f>
        <v/>
      </c>
      <c r="F26" s="20">
        <f>IFERROR(INDEX('Plan de Seguimiento'!$K:$K,MATCH((ROW()-14),'Plan de Seguimiento'!$Q:$Q,0)),"")</f>
        <v/>
      </c>
      <c r="G26" s="20">
        <f>IFERROR(INDEX('Plan de Seguimiento'!$L:$L,MATCH((ROW()-14),'Plan de Seguimiento'!$Q:$Q,0)),"")</f>
        <v/>
      </c>
    </row>
    <row r="27">
      <c r="B27" s="20">
        <f>IFERROR(TEXT(INDEX('Plan de Seguimiento'!$I:$I,MATCH((ROW()-14),'Plan de Seguimiento'!$Q:$Q,0)),"dd/mm/yyyy"),"")</f>
        <v/>
      </c>
      <c r="C27" s="20">
        <f>IFERROR(INDEX('Plan de Seguimiento'!$B:$B,MATCH((ROW()-14),'Plan de Seguimiento'!$Q:$Q,0)),"")</f>
        <v/>
      </c>
      <c r="D27" s="20">
        <f>IFERROR(INDEX('Plan de Seguimiento'!$D:$D,MATCH((ROW()-14),'Plan de Seguimiento'!$Q:$Q,0)),"")</f>
        <v/>
      </c>
      <c r="E27" s="20">
        <f>IFERROR(INDEX('Plan de Seguimiento'!$H:$H,MATCH((ROW()-14),'Plan de Seguimiento'!$Q:$Q,0)),"")</f>
        <v/>
      </c>
      <c r="F27" s="20">
        <f>IFERROR(INDEX('Plan de Seguimiento'!$K:$K,MATCH((ROW()-14),'Plan de Seguimiento'!$Q:$Q,0)),"")</f>
        <v/>
      </c>
      <c r="G27" s="20">
        <f>IFERROR(INDEX('Plan de Seguimiento'!$L:$L,MATCH((ROW()-14),'Plan de Seguimiento'!$Q:$Q,0)),"")</f>
        <v/>
      </c>
    </row>
    <row r="28">
      <c r="B28" s="20">
        <f>IFERROR(TEXT(INDEX('Plan de Seguimiento'!$I:$I,MATCH((ROW()-14),'Plan de Seguimiento'!$Q:$Q,0)),"dd/mm/yyyy"),"")</f>
        <v/>
      </c>
      <c r="C28" s="20">
        <f>IFERROR(INDEX('Plan de Seguimiento'!$B:$B,MATCH((ROW()-14),'Plan de Seguimiento'!$Q:$Q,0)),"")</f>
        <v/>
      </c>
      <c r="D28" s="20">
        <f>IFERROR(INDEX('Plan de Seguimiento'!$D:$D,MATCH((ROW()-14),'Plan de Seguimiento'!$Q:$Q,0)),"")</f>
        <v/>
      </c>
      <c r="E28" s="20">
        <f>IFERROR(INDEX('Plan de Seguimiento'!$H:$H,MATCH((ROW()-14),'Plan de Seguimiento'!$Q:$Q,0)),"")</f>
        <v/>
      </c>
      <c r="F28" s="20">
        <f>IFERROR(INDEX('Plan de Seguimiento'!$K:$K,MATCH((ROW()-14),'Plan de Seguimiento'!$Q:$Q,0)),"")</f>
        <v/>
      </c>
      <c r="G28" s="20">
        <f>IFERROR(INDEX('Plan de Seguimiento'!$L:$L,MATCH((ROW()-14),'Plan de Seguimiento'!$Q:$Q,0)),"")</f>
        <v/>
      </c>
    </row>
    <row r="29">
      <c r="B29" s="20">
        <f>IFERROR(TEXT(INDEX('Plan de Seguimiento'!$I:$I,MATCH((ROW()-14),'Plan de Seguimiento'!$Q:$Q,0)),"dd/mm/yyyy"),"")</f>
        <v/>
      </c>
      <c r="C29" s="20">
        <f>IFERROR(INDEX('Plan de Seguimiento'!$B:$B,MATCH((ROW()-14),'Plan de Seguimiento'!$Q:$Q,0)),"")</f>
        <v/>
      </c>
      <c r="D29" s="20">
        <f>IFERROR(INDEX('Plan de Seguimiento'!$D:$D,MATCH((ROW()-14),'Plan de Seguimiento'!$Q:$Q,0)),"")</f>
        <v/>
      </c>
      <c r="E29" s="20">
        <f>IFERROR(INDEX('Plan de Seguimiento'!$H:$H,MATCH((ROW()-14),'Plan de Seguimiento'!$Q:$Q,0)),"")</f>
        <v/>
      </c>
      <c r="F29" s="20">
        <f>IFERROR(INDEX('Plan de Seguimiento'!$K:$K,MATCH((ROW()-14),'Plan de Seguimiento'!$Q:$Q,0)),"")</f>
        <v/>
      </c>
      <c r="G29" s="20">
        <f>IFERROR(INDEX('Plan de Seguimiento'!$L:$L,MATCH((ROW()-14),'Plan de Seguimiento'!$Q:$Q,0)),"")</f>
        <v/>
      </c>
    </row>
    <row r="30">
      <c r="B30" s="20">
        <f>IFERROR(TEXT(INDEX('Plan de Seguimiento'!$I:$I,MATCH((ROW()-14),'Plan de Seguimiento'!$Q:$Q,0)),"dd/mm/yyyy"),"")</f>
        <v/>
      </c>
      <c r="C30" s="20">
        <f>IFERROR(INDEX('Plan de Seguimiento'!$B:$B,MATCH((ROW()-14),'Plan de Seguimiento'!$Q:$Q,0)),"")</f>
        <v/>
      </c>
      <c r="D30" s="20">
        <f>IFERROR(INDEX('Plan de Seguimiento'!$D:$D,MATCH((ROW()-14),'Plan de Seguimiento'!$Q:$Q,0)),"")</f>
        <v/>
      </c>
      <c r="E30" s="20">
        <f>IFERROR(INDEX('Plan de Seguimiento'!$H:$H,MATCH((ROW()-14),'Plan de Seguimiento'!$Q:$Q,0)),"")</f>
        <v/>
      </c>
      <c r="F30" s="20">
        <f>IFERROR(INDEX('Plan de Seguimiento'!$K:$K,MATCH((ROW()-14),'Plan de Seguimiento'!$Q:$Q,0)),"")</f>
        <v/>
      </c>
      <c r="G30" s="20">
        <f>IFERROR(INDEX('Plan de Seguimiento'!$L:$L,MATCH((ROW()-14),'Plan de Seguimiento'!$Q:$Q,0)),"")</f>
        <v/>
      </c>
    </row>
    <row r="31">
      <c r="B31" s="20">
        <f>IFERROR(TEXT(INDEX('Plan de Seguimiento'!$I:$I,MATCH((ROW()-14),'Plan de Seguimiento'!$Q:$Q,0)),"dd/mm/yyyy"),"")</f>
        <v/>
      </c>
      <c r="C31" s="20">
        <f>IFERROR(INDEX('Plan de Seguimiento'!$B:$B,MATCH((ROW()-14),'Plan de Seguimiento'!$Q:$Q,0)),"")</f>
        <v/>
      </c>
      <c r="D31" s="20">
        <f>IFERROR(INDEX('Plan de Seguimiento'!$D:$D,MATCH((ROW()-14),'Plan de Seguimiento'!$Q:$Q,0)),"")</f>
        <v/>
      </c>
      <c r="E31" s="20">
        <f>IFERROR(INDEX('Plan de Seguimiento'!$H:$H,MATCH((ROW()-14),'Plan de Seguimiento'!$Q:$Q,0)),"")</f>
        <v/>
      </c>
      <c r="F31" s="20">
        <f>IFERROR(INDEX('Plan de Seguimiento'!$K:$K,MATCH((ROW()-14),'Plan de Seguimiento'!$Q:$Q,0)),"")</f>
        <v/>
      </c>
      <c r="G31" s="20">
        <f>IFERROR(INDEX('Plan de Seguimiento'!$L:$L,MATCH((ROW()-14),'Plan de Seguimiento'!$Q:$Q,0)),"")</f>
        <v/>
      </c>
    </row>
    <row r="32">
      <c r="B32" s="20">
        <f>IFERROR(TEXT(INDEX('Plan de Seguimiento'!$I:$I,MATCH((ROW()-14),'Plan de Seguimiento'!$Q:$Q,0)),"dd/mm/yyyy"),"")</f>
        <v/>
      </c>
      <c r="C32" s="20">
        <f>IFERROR(INDEX('Plan de Seguimiento'!$B:$B,MATCH((ROW()-14),'Plan de Seguimiento'!$Q:$Q,0)),"")</f>
        <v/>
      </c>
      <c r="D32" s="20">
        <f>IFERROR(INDEX('Plan de Seguimiento'!$D:$D,MATCH((ROW()-14),'Plan de Seguimiento'!$Q:$Q,0)),"")</f>
        <v/>
      </c>
      <c r="E32" s="20">
        <f>IFERROR(INDEX('Plan de Seguimiento'!$H:$H,MATCH((ROW()-14),'Plan de Seguimiento'!$Q:$Q,0)),"")</f>
        <v/>
      </c>
      <c r="F32" s="20">
        <f>IFERROR(INDEX('Plan de Seguimiento'!$K:$K,MATCH((ROW()-14),'Plan de Seguimiento'!$Q:$Q,0)),"")</f>
        <v/>
      </c>
      <c r="G32" s="20">
        <f>IFERROR(INDEX('Plan de Seguimiento'!$L:$L,MATCH((ROW()-14),'Plan de Seguimiento'!$Q:$Q,0)),"")</f>
        <v/>
      </c>
    </row>
    <row r="33">
      <c r="B33" s="20">
        <f>IFERROR(TEXT(INDEX('Plan de Seguimiento'!$I:$I,MATCH((ROW()-14),'Plan de Seguimiento'!$Q:$Q,0)),"dd/mm/yyyy"),"")</f>
        <v/>
      </c>
      <c r="C33" s="20">
        <f>IFERROR(INDEX('Plan de Seguimiento'!$B:$B,MATCH((ROW()-14),'Plan de Seguimiento'!$Q:$Q,0)),"")</f>
        <v/>
      </c>
      <c r="D33" s="20">
        <f>IFERROR(INDEX('Plan de Seguimiento'!$D:$D,MATCH((ROW()-14),'Plan de Seguimiento'!$Q:$Q,0)),"")</f>
        <v/>
      </c>
      <c r="E33" s="20">
        <f>IFERROR(INDEX('Plan de Seguimiento'!$H:$H,MATCH((ROW()-14),'Plan de Seguimiento'!$Q:$Q,0)),"")</f>
        <v/>
      </c>
      <c r="F33" s="20">
        <f>IFERROR(INDEX('Plan de Seguimiento'!$K:$K,MATCH((ROW()-14),'Plan de Seguimiento'!$Q:$Q,0)),"")</f>
        <v/>
      </c>
      <c r="G33" s="20">
        <f>IFERROR(INDEX('Plan de Seguimiento'!$L:$L,MATCH((ROW()-14),'Plan de Seguimiento'!$Q:$Q,0)),"")</f>
        <v/>
      </c>
    </row>
    <row r="34">
      <c r="B34" s="20">
        <f>IFERROR(TEXT(INDEX('Plan de Seguimiento'!$I:$I,MATCH((ROW()-14),'Plan de Seguimiento'!$Q:$Q,0)),"dd/mm/yyyy"),"")</f>
        <v/>
      </c>
      <c r="C34" s="20">
        <f>IFERROR(INDEX('Plan de Seguimiento'!$B:$B,MATCH((ROW()-14),'Plan de Seguimiento'!$Q:$Q,0)),"")</f>
        <v/>
      </c>
      <c r="D34" s="20">
        <f>IFERROR(INDEX('Plan de Seguimiento'!$D:$D,MATCH((ROW()-14),'Plan de Seguimiento'!$Q:$Q,0)),"")</f>
        <v/>
      </c>
      <c r="E34" s="20">
        <f>IFERROR(INDEX('Plan de Seguimiento'!$H:$H,MATCH((ROW()-14),'Plan de Seguimiento'!$Q:$Q,0)),"")</f>
        <v/>
      </c>
      <c r="F34" s="20">
        <f>IFERROR(INDEX('Plan de Seguimiento'!$K:$K,MATCH((ROW()-14),'Plan de Seguimiento'!$Q:$Q,0)),"")</f>
        <v/>
      </c>
      <c r="G34" s="20">
        <f>IFERROR(INDEX('Plan de Seguimiento'!$L:$L,MATCH((ROW()-14),'Plan de Seguimiento'!$Q:$Q,0)),"")</f>
        <v/>
      </c>
    </row>
    <row r="35">
      <c r="B35" s="20">
        <f>IFERROR(TEXT(INDEX('Plan de Seguimiento'!$I:$I,MATCH((ROW()-14),'Plan de Seguimiento'!$Q:$Q,0)),"dd/mm/yyyy"),"")</f>
        <v/>
      </c>
      <c r="C35" s="20">
        <f>IFERROR(INDEX('Plan de Seguimiento'!$B:$B,MATCH((ROW()-14),'Plan de Seguimiento'!$Q:$Q,0)),"")</f>
        <v/>
      </c>
      <c r="D35" s="20">
        <f>IFERROR(INDEX('Plan de Seguimiento'!$D:$D,MATCH((ROW()-14),'Plan de Seguimiento'!$Q:$Q,0)),"")</f>
        <v/>
      </c>
      <c r="E35" s="20">
        <f>IFERROR(INDEX('Plan de Seguimiento'!$H:$H,MATCH((ROW()-14),'Plan de Seguimiento'!$Q:$Q,0)),"")</f>
        <v/>
      </c>
      <c r="F35" s="20">
        <f>IFERROR(INDEX('Plan de Seguimiento'!$K:$K,MATCH((ROW()-14),'Plan de Seguimiento'!$Q:$Q,0)),"")</f>
        <v/>
      </c>
      <c r="G35" s="20">
        <f>IFERROR(INDEX('Plan de Seguimiento'!$L:$L,MATCH((ROW()-14),'Plan de Seguimiento'!$Q:$Q,0)),"")</f>
        <v/>
      </c>
    </row>
    <row r="36">
      <c r="B36" s="20">
        <f>IFERROR(TEXT(INDEX('Plan de Seguimiento'!$I:$I,MATCH((ROW()-14),'Plan de Seguimiento'!$Q:$Q,0)),"dd/mm/yyyy"),"")</f>
        <v/>
      </c>
      <c r="C36" s="20">
        <f>IFERROR(INDEX('Plan de Seguimiento'!$B:$B,MATCH((ROW()-14),'Plan de Seguimiento'!$Q:$Q,0)),"")</f>
        <v/>
      </c>
      <c r="D36" s="20">
        <f>IFERROR(INDEX('Plan de Seguimiento'!$D:$D,MATCH((ROW()-14),'Plan de Seguimiento'!$Q:$Q,0)),"")</f>
        <v/>
      </c>
      <c r="E36" s="20">
        <f>IFERROR(INDEX('Plan de Seguimiento'!$H:$H,MATCH((ROW()-14),'Plan de Seguimiento'!$Q:$Q,0)),"")</f>
        <v/>
      </c>
      <c r="F36" s="20">
        <f>IFERROR(INDEX('Plan de Seguimiento'!$K:$K,MATCH((ROW()-14),'Plan de Seguimiento'!$Q:$Q,0)),"")</f>
        <v/>
      </c>
      <c r="G36" s="20">
        <f>IFERROR(INDEX('Plan de Seguimiento'!$L:$L,MATCH((ROW()-14),'Plan de Seguimiento'!$Q:$Q,0)),"")</f>
        <v/>
      </c>
    </row>
    <row r="37">
      <c r="B37" s="20">
        <f>IFERROR(TEXT(INDEX('Plan de Seguimiento'!$I:$I,MATCH((ROW()-14),'Plan de Seguimiento'!$Q:$Q,0)),"dd/mm/yyyy"),"")</f>
        <v/>
      </c>
      <c r="C37" s="20">
        <f>IFERROR(INDEX('Plan de Seguimiento'!$B:$B,MATCH((ROW()-14),'Plan de Seguimiento'!$Q:$Q,0)),"")</f>
        <v/>
      </c>
      <c r="D37" s="20">
        <f>IFERROR(INDEX('Plan de Seguimiento'!$D:$D,MATCH((ROW()-14),'Plan de Seguimiento'!$Q:$Q,0)),"")</f>
        <v/>
      </c>
      <c r="E37" s="20">
        <f>IFERROR(INDEX('Plan de Seguimiento'!$H:$H,MATCH((ROW()-14),'Plan de Seguimiento'!$Q:$Q,0)),"")</f>
        <v/>
      </c>
      <c r="F37" s="20">
        <f>IFERROR(INDEX('Plan de Seguimiento'!$K:$K,MATCH((ROW()-14),'Plan de Seguimiento'!$Q:$Q,0)),"")</f>
        <v/>
      </c>
      <c r="G37" s="20">
        <f>IFERROR(INDEX('Plan de Seguimiento'!$L:$L,MATCH((ROW()-14),'Plan de Seguimiento'!$Q:$Q,0)),"")</f>
        <v/>
      </c>
    </row>
    <row r="38">
      <c r="B38" s="20">
        <f>IFERROR(TEXT(INDEX('Plan de Seguimiento'!$I:$I,MATCH((ROW()-14),'Plan de Seguimiento'!$Q:$Q,0)),"dd/mm/yyyy"),"")</f>
        <v/>
      </c>
      <c r="C38" s="20">
        <f>IFERROR(INDEX('Plan de Seguimiento'!$B:$B,MATCH((ROW()-14),'Plan de Seguimiento'!$Q:$Q,0)),"")</f>
        <v/>
      </c>
      <c r="D38" s="20">
        <f>IFERROR(INDEX('Plan de Seguimiento'!$D:$D,MATCH((ROW()-14),'Plan de Seguimiento'!$Q:$Q,0)),"")</f>
        <v/>
      </c>
      <c r="E38" s="20">
        <f>IFERROR(INDEX('Plan de Seguimiento'!$H:$H,MATCH((ROW()-14),'Plan de Seguimiento'!$Q:$Q,0)),"")</f>
        <v/>
      </c>
      <c r="F38" s="20">
        <f>IFERROR(INDEX('Plan de Seguimiento'!$K:$K,MATCH((ROW()-14),'Plan de Seguimiento'!$Q:$Q,0)),"")</f>
        <v/>
      </c>
      <c r="G38" s="20">
        <f>IFERROR(INDEX('Plan de Seguimiento'!$L:$L,MATCH((ROW()-14),'Plan de Seguimiento'!$Q:$Q,0)),"")</f>
        <v/>
      </c>
    </row>
    <row r="39">
      <c r="B39" s="20">
        <f>IFERROR(TEXT(INDEX('Plan de Seguimiento'!$I:$I,MATCH((ROW()-14),'Plan de Seguimiento'!$Q:$Q,0)),"dd/mm/yyyy"),"")</f>
        <v/>
      </c>
      <c r="C39" s="20">
        <f>IFERROR(INDEX('Plan de Seguimiento'!$B:$B,MATCH((ROW()-14),'Plan de Seguimiento'!$Q:$Q,0)),"")</f>
        <v/>
      </c>
      <c r="D39" s="20">
        <f>IFERROR(INDEX('Plan de Seguimiento'!$D:$D,MATCH((ROW()-14),'Plan de Seguimiento'!$Q:$Q,0)),"")</f>
        <v/>
      </c>
      <c r="E39" s="20">
        <f>IFERROR(INDEX('Plan de Seguimiento'!$H:$H,MATCH((ROW()-14),'Plan de Seguimiento'!$Q:$Q,0)),"")</f>
        <v/>
      </c>
      <c r="F39" s="20">
        <f>IFERROR(INDEX('Plan de Seguimiento'!$K:$K,MATCH((ROW()-14),'Plan de Seguimiento'!$Q:$Q,0)),"")</f>
        <v/>
      </c>
      <c r="G39" s="20">
        <f>IFERROR(INDEX('Plan de Seguimiento'!$L:$L,MATCH((ROW()-14),'Plan de Seguimiento'!$Q:$Q,0)),"")</f>
        <v/>
      </c>
    </row>
    <row r="40">
      <c r="B40" s="20">
        <f>IFERROR(TEXT(INDEX('Plan de Seguimiento'!$I:$I,MATCH((ROW()-14),'Plan de Seguimiento'!$Q:$Q,0)),"dd/mm/yyyy"),"")</f>
        <v/>
      </c>
      <c r="C40" s="20">
        <f>IFERROR(INDEX('Plan de Seguimiento'!$B:$B,MATCH((ROW()-14),'Plan de Seguimiento'!$Q:$Q,0)),"")</f>
        <v/>
      </c>
      <c r="D40" s="20">
        <f>IFERROR(INDEX('Plan de Seguimiento'!$D:$D,MATCH((ROW()-14),'Plan de Seguimiento'!$Q:$Q,0)),"")</f>
        <v/>
      </c>
      <c r="E40" s="20">
        <f>IFERROR(INDEX('Plan de Seguimiento'!$H:$H,MATCH((ROW()-14),'Plan de Seguimiento'!$Q:$Q,0)),"")</f>
        <v/>
      </c>
      <c r="F40" s="20">
        <f>IFERROR(INDEX('Plan de Seguimiento'!$K:$K,MATCH((ROW()-14),'Plan de Seguimiento'!$Q:$Q,0)),"")</f>
        <v/>
      </c>
      <c r="G40" s="20">
        <f>IFERROR(INDEX('Plan de Seguimiento'!$L:$L,MATCH((ROW()-14),'Plan de Seguimiento'!$Q:$Q,0)),"")</f>
        <v/>
      </c>
    </row>
    <row r="41">
      <c r="B41" s="20">
        <f>IFERROR(TEXT(INDEX('Plan de Seguimiento'!$I:$I,MATCH((ROW()-14),'Plan de Seguimiento'!$Q:$Q,0)),"dd/mm/yyyy"),"")</f>
        <v/>
      </c>
      <c r="C41" s="20">
        <f>IFERROR(INDEX('Plan de Seguimiento'!$B:$B,MATCH((ROW()-14),'Plan de Seguimiento'!$Q:$Q,0)),"")</f>
        <v/>
      </c>
      <c r="D41" s="20">
        <f>IFERROR(INDEX('Plan de Seguimiento'!$D:$D,MATCH((ROW()-14),'Plan de Seguimiento'!$Q:$Q,0)),"")</f>
        <v/>
      </c>
      <c r="E41" s="20">
        <f>IFERROR(INDEX('Plan de Seguimiento'!$H:$H,MATCH((ROW()-14),'Plan de Seguimiento'!$Q:$Q,0)),"")</f>
        <v/>
      </c>
      <c r="F41" s="20">
        <f>IFERROR(INDEX('Plan de Seguimiento'!$K:$K,MATCH((ROW()-14),'Plan de Seguimiento'!$Q:$Q,0)),"")</f>
        <v/>
      </c>
      <c r="G41" s="20">
        <f>IFERROR(INDEX('Plan de Seguimiento'!$L:$L,MATCH((ROW()-14),'Plan de Seguimiento'!$Q:$Q,0)),"")</f>
        <v/>
      </c>
    </row>
    <row r="42">
      <c r="B42" s="20">
        <f>IFERROR(TEXT(INDEX('Plan de Seguimiento'!$I:$I,MATCH((ROW()-14),'Plan de Seguimiento'!$Q:$Q,0)),"dd/mm/yyyy"),"")</f>
        <v/>
      </c>
      <c r="C42" s="20">
        <f>IFERROR(INDEX('Plan de Seguimiento'!$B:$B,MATCH((ROW()-14),'Plan de Seguimiento'!$Q:$Q,0)),"")</f>
        <v/>
      </c>
      <c r="D42" s="20">
        <f>IFERROR(INDEX('Plan de Seguimiento'!$D:$D,MATCH((ROW()-14),'Plan de Seguimiento'!$Q:$Q,0)),"")</f>
        <v/>
      </c>
      <c r="E42" s="20">
        <f>IFERROR(INDEX('Plan de Seguimiento'!$H:$H,MATCH((ROW()-14),'Plan de Seguimiento'!$Q:$Q,0)),"")</f>
        <v/>
      </c>
      <c r="F42" s="20">
        <f>IFERROR(INDEX('Plan de Seguimiento'!$K:$K,MATCH((ROW()-14),'Plan de Seguimiento'!$Q:$Q,0)),"")</f>
        <v/>
      </c>
      <c r="G42" s="20">
        <f>IFERROR(INDEX('Plan de Seguimiento'!$L:$L,MATCH((ROW()-14),'Plan de Seguimiento'!$Q:$Q,0)),"")</f>
        <v/>
      </c>
    </row>
    <row r="43">
      <c r="B43" s="20">
        <f>IFERROR(TEXT(INDEX('Plan de Seguimiento'!$I:$I,MATCH((ROW()-14),'Plan de Seguimiento'!$Q:$Q,0)),"dd/mm/yyyy"),"")</f>
        <v/>
      </c>
      <c r="C43" s="20">
        <f>IFERROR(INDEX('Plan de Seguimiento'!$B:$B,MATCH((ROW()-14),'Plan de Seguimiento'!$Q:$Q,0)),"")</f>
        <v/>
      </c>
      <c r="D43" s="20">
        <f>IFERROR(INDEX('Plan de Seguimiento'!$D:$D,MATCH((ROW()-14),'Plan de Seguimiento'!$Q:$Q,0)),"")</f>
        <v/>
      </c>
      <c r="E43" s="20">
        <f>IFERROR(INDEX('Plan de Seguimiento'!$H:$H,MATCH((ROW()-14),'Plan de Seguimiento'!$Q:$Q,0)),"")</f>
        <v/>
      </c>
      <c r="F43" s="20">
        <f>IFERROR(INDEX('Plan de Seguimiento'!$K:$K,MATCH((ROW()-14),'Plan de Seguimiento'!$Q:$Q,0)),"")</f>
        <v/>
      </c>
      <c r="G43" s="20">
        <f>IFERROR(INDEX('Plan de Seguimiento'!$L:$L,MATCH((ROW()-14),'Plan de Seguimiento'!$Q:$Q,0)),"")</f>
        <v/>
      </c>
    </row>
    <row r="44">
      <c r="B44" s="20">
        <f>IFERROR(TEXT(INDEX('Plan de Seguimiento'!$I:$I,MATCH((ROW()-14),'Plan de Seguimiento'!$Q:$Q,0)),"dd/mm/yyyy"),"")</f>
        <v/>
      </c>
      <c r="C44" s="20">
        <f>IFERROR(INDEX('Plan de Seguimiento'!$B:$B,MATCH((ROW()-14),'Plan de Seguimiento'!$Q:$Q,0)),"")</f>
        <v/>
      </c>
      <c r="D44" s="20">
        <f>IFERROR(INDEX('Plan de Seguimiento'!$D:$D,MATCH((ROW()-14),'Plan de Seguimiento'!$Q:$Q,0)),"")</f>
        <v/>
      </c>
      <c r="E44" s="20">
        <f>IFERROR(INDEX('Plan de Seguimiento'!$H:$H,MATCH((ROW()-14),'Plan de Seguimiento'!$Q:$Q,0)),"")</f>
        <v/>
      </c>
      <c r="F44" s="20">
        <f>IFERROR(INDEX('Plan de Seguimiento'!$K:$K,MATCH((ROW()-14),'Plan de Seguimiento'!$Q:$Q,0)),"")</f>
        <v/>
      </c>
      <c r="G44" s="20">
        <f>IFERROR(INDEX('Plan de Seguimiento'!$L:$L,MATCH((ROW()-14),'Plan de Seguimiento'!$Q:$Q,0)),"")</f>
        <v/>
      </c>
    </row>
  </sheetData>
  <mergeCells count="3">
    <mergeCell ref="B13:H13"/>
    <mergeCell ref="D2:H3"/>
    <mergeCell ref="A1:H1"/>
  </mergeCells>
  <conditionalFormatting sqref="B6:H11">
    <cfRule type="expression" priority="2" dxfId="0">
      <formula>(DATE($C$3,$C$2,1)-(WEEKDAY(DATE($C$3,$C$2,1),2)-1)+(ROW()-6)*7+(COLUMN()-2))=TODAY()</formula>
    </cfRule>
  </conditionalFormatting>
  <dataValidations count="1">
    <dataValidation sqref="C2" showDropDown="0" showInputMessage="0" showErrorMessage="0" allowBlank="0" type="list">
      <formula1>"1,2,3,4,5,6,7,8,9,10,11,12"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CC0000"/>
    <outlinePr summaryBelow="1" summaryRight="1"/>
    <pageSetUpPr/>
  </sheetPr>
  <dimension ref="A1:N29"/>
  <sheetViews>
    <sheetView showGridLines="0" zoomScaleNormal="100" workbookViewId="0">
      <pane xSplit="2" ySplit="4" topLeftCell="C13" activePane="bottomRight" state="frozen"/>
      <selection pane="bottomLeft" activeCell="A5" sqref="A5"/>
      <selection pane="topRight" activeCell="C1" sqref="C1"/>
      <selection pane="bottomRight" activeCell="D14" sqref="D14"/>
    </sheetView>
  </sheetViews>
  <sheetFormatPr baseColWidth="8" defaultColWidth="8.7421875" defaultRowHeight="15"/>
  <cols>
    <col width="4.9765625" customWidth="1" style="1" min="1" max="1"/>
    <col width="16.0078125" customWidth="1" style="1" min="2" max="2"/>
    <col width="39.953125" customWidth="1" style="1" min="3" max="3"/>
    <col width="46.00390625" customWidth="1" style="1" min="4" max="9"/>
    <col width="41.96875" customWidth="1" style="1" min="10" max="10"/>
    <col width="25.9609375" customWidth="1" style="1" min="12" max="12"/>
    <col width="9.953125" customWidth="1" style="1" min="13" max="13"/>
    <col width="13.98828125" customWidth="1" style="1" min="14" max="14"/>
  </cols>
  <sheetData>
    <row r="1" ht="24" customHeight="1" s="1">
      <c r="A1" s="29" t="inlineStr">
        <is>
          <t>Catálogo de Mensajes Personalizados por Vehículo</t>
        </is>
      </c>
    </row>
    <row r="2" ht="42" customHeight="1" s="1">
      <c r="A2" s="32" t="inlineStr">
        <is>
          <t>Promoción vigente este mes (edita este texto cada mes):</t>
        </is>
      </c>
      <c r="B2" s="38" t="n"/>
      <c r="C2" s="33" t="inlineStr">
        <is>
          <t>Bonos especiales y tasas preferenciales en financiamiento Toyota, además de accesorios de regalo en unidades seleccionadas. Pregunta por las condiciones vigentes.</t>
        </is>
      </c>
      <c r="D2" s="39" t="n"/>
      <c r="E2" s="39" t="n"/>
      <c r="F2" s="39" t="n"/>
      <c r="G2" s="39" t="n"/>
      <c r="H2" s="39" t="n"/>
      <c r="I2" s="39" t="n"/>
      <c r="J2" s="38" t="n"/>
    </row>
    <row r="3" ht="25.5" customHeight="1" s="1">
      <c r="A3" s="30" t="inlineStr">
        <is>
          <t>Instrucciones: cada fila trae las plantillas de mensaje ya redactadas para ese vehículo (7 tipos). No es necesario editarlas — se usan de forma automática desde la pestaña 'Plan de Seguimiento'. Los mensajes de Requisitos usan el checklist de la pestaña 'Requisitos' según Método de Compra y Tipo de Persona. Solo actualiza la Promoción del mes de arriba cuando cambie.</t>
        </is>
      </c>
    </row>
    <row r="4" ht="33.75" customHeight="1" s="1">
      <c r="A4" s="12" t="inlineStr">
        <is>
          <t>No.</t>
        </is>
      </c>
      <c r="B4" s="12" t="inlineStr">
        <is>
          <t>Vehículo</t>
        </is>
      </c>
      <c r="C4" s="12" t="inlineStr">
        <is>
          <t>Gancho de Venta</t>
        </is>
      </c>
      <c r="D4" s="12" t="inlineStr">
        <is>
          <t>Primera Visita</t>
        </is>
      </c>
      <c r="E4" s="12" t="inlineStr">
        <is>
          <t>Seguimiento a Interés</t>
        </is>
      </c>
      <c r="F4" s="12" t="inlineStr">
        <is>
          <t>Próxima Llegada de Vehículo</t>
        </is>
      </c>
      <c r="G4" s="12" t="inlineStr">
        <is>
          <t>Entrega Inmediata</t>
        </is>
      </c>
      <c r="H4" s="12" t="inlineStr">
        <is>
          <t>Promoción del Mes</t>
        </is>
      </c>
      <c r="I4" s="12" t="inlineStr">
        <is>
          <t>Felicitación por Apartado</t>
        </is>
      </c>
      <c r="J4" s="12" t="inlineStr">
        <is>
          <t>Cumpleaños</t>
        </is>
      </c>
      <c r="L4" s="12" t="inlineStr">
        <is>
          <t>Tipo de Acción</t>
        </is>
      </c>
      <c r="M4" s="12" t="inlineStr">
        <is>
          <t>Prioridad</t>
        </is>
      </c>
      <c r="N4" s="12" t="inlineStr">
        <is>
          <t>Estatus</t>
        </is>
      </c>
    </row>
    <row r="5" ht="90" customHeight="1" s="1">
      <c r="A5" s="21" t="n">
        <v>1</v>
      </c>
      <c r="B5" s="14" t="inlineStr">
        <is>
          <t>Yaris</t>
        </is>
      </c>
      <c r="C5" s="14" t="inlineStr">
        <is>
          <t>Es de los más económicos en consumo de combustible y mantenimiento, ideal para el uso diario en ciudad.</t>
        </is>
      </c>
      <c r="D5" s="14" t="inlineStr">
        <is>
          <t>Hola, {NOMBRE}, excelente día. Le saluda *Alejandro Estrada* de Toyota Corregidora.
Muchas gracias por visitarnos y conocer la/el *Yaris*. Es de los más económicos en consumo de combustible y mantenimiento, ideal para el uso diario en ciudad.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5" s="14" t="inlineStr">
        <is>
          <t>Hola, {NOMBRE}, muy buen día.
Espero que esté teniendo una excelente semana. Le escribo para saber si tiene alguna duda sobre la/el *Yaris* que revisamos. Es de los más económicos en consumo de combustible y mantenimiento, ideal para el uso diario en ciudad.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5" s="14" t="inlineStr">
        <is>
          <t>Hola, {NOMBRE}, buen día. Le escribo para comentarle que tenemos próximas llegadas de la/el *Yaris* a la agencia. Es de los más económicos en consumo de combustible y mantenimiento, ideal para el uso diario en ciudad.
Si le interesa asegurar su unidad antes de que lleguen y elegir color/versión, con gusto le apoyo a apartarla desde ahora. Quedo pendiente de su respuesta.</t>
        </is>
      </c>
      <c r="G5" s="14" t="inlineStr">
        <is>
          <t>Hola, {NOMBRE}, buen día. Le comparto que tenemos disponibilidad inmediata de la/el *Yaris* en agencia, lista para entrega. Es de los más económicos en consumo de combustible y mantenimiento, ideal para el uso diario en ciudad.
Si le interesa aprovechar esta disponibilidad, puedo apartarla hoy mismo para usted y así no esperar tiempos de producción. Quedo al pendiente.</t>
        </is>
      </c>
      <c r="H5" s="14" t="inlineStr">
        <is>
          <t>Hola, {NOMBRE}, buen día. Le comparto que este mes tenemos una promoción especial en la/el *Yaris*: {PROMO}
Es de los más económicos en consumo de combustible y mantenimiento, ideal para el uso diario en ciudad.
Si le interesa aprovecharla, con gusto le doy todos los detalles y le apoyo a calcular su mensualidad. Quedo atento.</t>
        </is>
      </c>
      <c r="I5" s="14" t="inlineStr">
        <is>
          <t>Hola, {NOMBRE}, ¡buenas noticias! Su apartado por la/el *Yaris* quedó registrado correctamente. Es de los más económicos en consumo de combustible y mantenimiento, ideal para el uso diario en ciudad.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5" s="14" t="inlineStr">
        <is>
          <t>Hola, {NOMBRE}, ¡feliz cumpleaños! Le deseo un excelente día rodeado de quienes más quiere.
Ha sido un gusto acompañarle en su interés por la/el *Yaris*, y quedo a sus órdenes para cualquier cosa que necesite. ¡Un fuerte abrazo!</t>
        </is>
      </c>
      <c r="L5" s="22" t="inlineStr">
        <is>
          <t>Primera Visita</t>
        </is>
      </c>
      <c r="M5" s="22" t="inlineStr">
        <is>
          <t>Alta</t>
        </is>
      </c>
      <c r="N5" s="22" t="inlineStr">
        <is>
          <t>Pendiente</t>
        </is>
      </c>
    </row>
    <row r="6" ht="90" customHeight="1" s="1">
      <c r="A6" s="21" t="n">
        <v>2</v>
      </c>
      <c r="B6" s="14" t="inlineStr">
        <is>
          <t>Corolla</t>
        </is>
      </c>
      <c r="C6" s="14" t="inlineStr">
        <is>
          <t>Ofrece el equilibrio perfecto entre confort, tecnología Toyota Safety Sense y bajo costo de mantenimiento.</t>
        </is>
      </c>
      <c r="D6" s="14" t="inlineStr">
        <is>
          <t>Hola, {NOMBRE}, excelente día. Le saluda *Alejandro Estrada* de Toyota Corregidora.
Muchas gracias por visitarnos y conocer la/el *Corolla*. Ofrece el equilibrio perfecto entre confort, tecnología Toyota Safety Sense y bajo costo de mantenimiento.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6" s="14" t="inlineStr">
        <is>
          <t>Hola, {NOMBRE}, muy buen día.
Espero que esté teniendo una excelente semana. Le escribo para saber si tiene alguna duda sobre la/el *Corolla* que revisamos. Ofrece el equilibrio perfecto entre confort, tecnología Toyota Safety Sense y bajo costo de mantenimiento.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6" s="14" t="inlineStr">
        <is>
          <t>Hola, {NOMBRE}, buen día. Le escribo para comentarle que tenemos próximas llegadas de la/el *Corolla* a la agencia. Ofrece el equilibrio perfecto entre confort, tecnología Toyota Safety Sense y bajo costo de mantenimiento.
Si le interesa asegurar su unidad antes de que lleguen y elegir color/versión, con gusto le apoyo a apartarla desde ahora. Quedo pendiente de su respuesta.</t>
        </is>
      </c>
      <c r="G6" s="14" t="inlineStr">
        <is>
          <t>Hola, {NOMBRE}, buen día. Le comparto que tenemos disponibilidad inmediata de la/el *Corolla* en agencia, lista para entrega. Ofrece el equilibrio perfecto entre confort, tecnología Toyota Safety Sense y bajo costo de mantenimiento.
Si le interesa aprovechar esta disponibilidad, puedo apartarla hoy mismo para usted y así no esperar tiempos de producción. Quedo al pendiente.</t>
        </is>
      </c>
      <c r="H6" s="14" t="inlineStr">
        <is>
          <t>Hola, {NOMBRE}, buen día. Le comparto que este mes tenemos una promoción especial en la/el *Corolla*: {PROMO}
Ofrece el equilibrio perfecto entre confort, tecnología Toyota Safety Sense y bajo costo de mantenimiento.
Si le interesa aprovecharla, con gusto le doy todos los detalles y le apoyo a calcular su mensualidad. Quedo atento.</t>
        </is>
      </c>
      <c r="I6" s="14" t="inlineStr">
        <is>
          <t>Hola, {NOMBRE}, ¡buenas noticias! Su apartado por la/el *Corolla* quedó registrado correctamente. Ofrece el equilibrio perfecto entre confort, tecnología Toyota Safety Sense y bajo costo de mantenimiento.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6" s="14" t="inlineStr">
        <is>
          <t>Hola, {NOMBRE}, ¡feliz cumpleaños! Le deseo un excelente día rodeado de quienes más quiere.
Ha sido un gusto acompañarle en su interés por la/el *Corolla*, y quedo a sus órdenes para cualquier cosa que necesite. ¡Un fuerte abrazo!</t>
        </is>
      </c>
      <c r="L6" s="22" t="inlineStr">
        <is>
          <t>Seguimiento a Interés</t>
        </is>
      </c>
      <c r="M6" s="22" t="inlineStr">
        <is>
          <t>Media</t>
        </is>
      </c>
      <c r="N6" s="22" t="inlineStr">
        <is>
          <t>Realizado</t>
        </is>
      </c>
    </row>
    <row r="7" ht="90" customHeight="1" s="1">
      <c r="A7" s="21" t="n">
        <v>3</v>
      </c>
      <c r="B7" s="14" t="inlineStr">
        <is>
          <t>Camry</t>
        </is>
      </c>
      <c r="C7" s="14" t="inlineStr">
        <is>
          <t>Es la opción ejecutiva por excelencia: elegancia, espacio y potencia en un sedán de lujo accesible.</t>
        </is>
      </c>
      <c r="D7" s="14" t="inlineStr">
        <is>
          <t>Hola, {NOMBRE}, excelente día. Le saluda *Alejandro Estrada* de Toyota Corregidora.
Muchas gracias por visitarnos y conocer la/el *Camry*. Es la opción ejecutiva por excelencia: elegancia, espacio y potencia en un sedán de lujo accesible.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7" s="14" t="inlineStr">
        <is>
          <t>Hola, {NOMBRE}, muy buen día.
Espero que esté teniendo una excelente semana. Le escribo para saber si tiene alguna duda sobre la/el *Camry* que revisamos. Es la opción ejecutiva por excelencia: elegancia, espacio y potencia en un sedán de lujo accesible.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7" s="14" t="inlineStr">
        <is>
          <t>Hola, {NOMBRE}, buen día. Le escribo para comentarle que tenemos próximas llegadas de la/el *Camry* a la agencia. Es la opción ejecutiva por excelencia: elegancia, espacio y potencia en un sedán de lujo accesible.
Si le interesa asegurar su unidad antes de que lleguen y elegir color/versión, con gusto le apoyo a apartarla desde ahora. Quedo pendiente de su respuesta.</t>
        </is>
      </c>
      <c r="G7" s="14" t="inlineStr">
        <is>
          <t>Hola, {NOMBRE}, buen día. Le comparto que tenemos disponibilidad inmediata de la/el *Camry* en agencia, lista para entrega. Es la opción ejecutiva por excelencia: elegancia, espacio y potencia en un sedán de lujo accesible.
Si le interesa aprovechar esta disponibilidad, puedo apartarla hoy mismo para usted y así no esperar tiempos de producción. Quedo al pendiente.</t>
        </is>
      </c>
      <c r="H7" s="14" t="inlineStr">
        <is>
          <t>Hola, {NOMBRE}, buen día. Le comparto que este mes tenemos una promoción especial en la/el *Camry*: {PROMO}
Es la opción ejecutiva por excelencia: elegancia, espacio y potencia en un sedán de lujo accesible.
Si le interesa aprovecharla, con gusto le doy todos los detalles y le apoyo a calcular su mensualidad. Quedo atento.</t>
        </is>
      </c>
      <c r="I7" s="14" t="inlineStr">
        <is>
          <t>Hola, {NOMBRE}, ¡buenas noticias! Su apartado por la/el *Camry* quedó registrado correctamente. Es la opción ejecutiva por excelencia: elegancia, espacio y potencia en un sedán de lujo accesible.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7" s="14" t="inlineStr">
        <is>
          <t>Hola, {NOMBRE}, ¡feliz cumpleaños! Le deseo un excelente día rodeado de quienes más quiere.
Ha sido un gusto acompañarle en su interés por la/el *Camry*, y quedo a sus órdenes para cualquier cosa que necesite. ¡Un fuerte abrazo!</t>
        </is>
      </c>
      <c r="L7" s="22" t="inlineStr">
        <is>
          <t>Próxima Llegada de Vehículo</t>
        </is>
      </c>
      <c r="M7" s="22" t="inlineStr">
        <is>
          <t>Baja</t>
        </is>
      </c>
      <c r="N7" s="22" t="inlineStr">
        <is>
          <t>Reprogramado</t>
        </is>
      </c>
    </row>
    <row r="8" ht="90" customHeight="1" s="1">
      <c r="A8" s="21" t="n">
        <v>4</v>
      </c>
      <c r="B8" s="14" t="inlineStr">
        <is>
          <t>GR Yaris</t>
        </is>
      </c>
      <c r="C8" s="14" t="inlineStr">
        <is>
          <t>Es la versión de alto rendimiento con tracción integral GR-FOUR, pensada para quien busca adrenalina real.</t>
        </is>
      </c>
      <c r="D8" s="14" t="inlineStr">
        <is>
          <t>Hola, {NOMBRE}, excelente día. Le saluda *Alejandro Estrada* de Toyota Corregidora.
Muchas gracias por visitarnos y conocer la/el *GR Yaris*. Es la versión de alto rendimiento con tracción integral GR-FOUR, pensada para quien busca adrenalina real.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8" s="14" t="inlineStr">
        <is>
          <t>Hola, {NOMBRE}, muy buen día.
Espero que esté teniendo una excelente semana. Le escribo para saber si tiene alguna duda sobre la/el *GR Yaris* que revisamos. Es la versión de alto rendimiento con tracción integral GR-FOUR, pensada para quien busca adrenalina real.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8" s="14" t="inlineStr">
        <is>
          <t>Hola, {NOMBRE}, buen día. Le escribo para comentarle que tenemos próximas llegadas de la/el *GR Yaris* a la agencia. Es la versión de alto rendimiento con tracción integral GR-FOUR, pensada para quien busca adrenalina real.
Si le interesa asegurar su unidad antes de que lleguen y elegir color/versión, con gusto le apoyo a apartarla desde ahora. Quedo pendiente de su respuesta.</t>
        </is>
      </c>
      <c r="G8" s="14" t="inlineStr">
        <is>
          <t>Hola, {NOMBRE}, buen día. Le comparto que tenemos disponibilidad inmediata de la/el *GR Yaris* en agencia, lista para entrega. Es la versión de alto rendimiento con tracción integral GR-FOUR, pensada para quien busca adrenalina real.
Si le interesa aprovechar esta disponibilidad, puedo apartarla hoy mismo para usted y así no esperar tiempos de producción. Quedo al pendiente.</t>
        </is>
      </c>
      <c r="H8" s="14" t="inlineStr">
        <is>
          <t>Hola, {NOMBRE}, buen día. Le comparto que este mes tenemos una promoción especial en la/el *GR Yaris*: {PROMO}
Es la versión de alto rendimiento con tracción integral GR-FOUR, pensada para quien busca adrenalina real.
Si le interesa aprovecharla, con gusto le doy todos los detalles y le apoyo a calcular su mensualidad. Quedo atento.</t>
        </is>
      </c>
      <c r="I8" s="14" t="inlineStr">
        <is>
          <t>Hola, {NOMBRE}, ¡buenas noticias! Su apartado por la/el *GR Yaris* quedó registrado correctamente. Es la versión de alto rendimiento con tracción integral GR-FOUR, pensada para quien busca adrenalina real.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8" s="14" t="inlineStr">
        <is>
          <t>Hola, {NOMBRE}, ¡feliz cumpleaños! Le deseo un excelente día rodeado de quienes más quiere.
Ha sido un gusto acompañarle en su interés por la/el *GR Yaris*, y quedo a sus órdenes para cualquier cosa que necesite. ¡Un fuerte abrazo!</t>
        </is>
      </c>
      <c r="L8" s="22" t="inlineStr">
        <is>
          <t>Entrega Inmediata</t>
        </is>
      </c>
      <c r="N8" s="22" t="inlineStr">
        <is>
          <t>Cancelado</t>
        </is>
      </c>
    </row>
    <row r="9" ht="90" customHeight="1" s="1">
      <c r="A9" s="21" t="n">
        <v>5</v>
      </c>
      <c r="B9" s="14" t="inlineStr">
        <is>
          <t>GR Corolla</t>
        </is>
      </c>
      <c r="C9" s="14" t="inlineStr">
        <is>
          <t>Trae la herencia de rally de Toyota Gazoo Racing: motor turbo y tracción integral en un compacto deportivo.</t>
        </is>
      </c>
      <c r="D9" s="14" t="inlineStr">
        <is>
          <t>Hola, {NOMBRE}, excelente día. Le saluda *Alejandro Estrada* de Toyota Corregidora.
Muchas gracias por visitarnos y conocer la/el *GR Corolla*. Trae la herencia de rally de Toyota Gazoo Racing: motor turbo y tracción integral en un compacto deportivo.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9" s="14" t="inlineStr">
        <is>
          <t>Hola, {NOMBRE}, muy buen día.
Espero que esté teniendo una excelente semana. Le escribo para saber si tiene alguna duda sobre la/el *GR Corolla* que revisamos. Trae la herencia de rally de Toyota Gazoo Racing: motor turbo y tracción integral en un compacto deportivo.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9" s="14" t="inlineStr">
        <is>
          <t>Hola, {NOMBRE}, buen día. Le escribo para comentarle que tenemos próximas llegadas de la/el *GR Corolla* a la agencia. Trae la herencia de rally de Toyota Gazoo Racing: motor turbo y tracción integral en un compacto deportivo.
Si le interesa asegurar su unidad antes de que lleguen y elegir color/versión, con gusto le apoyo a apartarla desde ahora. Quedo pendiente de su respuesta.</t>
        </is>
      </c>
      <c r="G9" s="14" t="inlineStr">
        <is>
          <t>Hola, {NOMBRE}, buen día. Le comparto que tenemos disponibilidad inmediata de la/el *GR Corolla* en agencia, lista para entrega. Trae la herencia de rally de Toyota Gazoo Racing: motor turbo y tracción integral en un compacto deportivo.
Si le interesa aprovechar esta disponibilidad, puedo apartarla hoy mismo para usted y así no esperar tiempos de producción. Quedo al pendiente.</t>
        </is>
      </c>
      <c r="H9" s="14" t="inlineStr">
        <is>
          <t>Hola, {NOMBRE}, buen día. Le comparto que este mes tenemos una promoción especial en la/el *GR Corolla*: {PROMO}
Trae la herencia de rally de Toyota Gazoo Racing: motor turbo y tracción integral en un compacto deportivo.
Si le interesa aprovecharla, con gusto le doy todos los detalles y le apoyo a calcular su mensualidad. Quedo atento.</t>
        </is>
      </c>
      <c r="I9" s="14" t="inlineStr">
        <is>
          <t>Hola, {NOMBRE}, ¡buenas noticias! Su apartado por la/el *GR Corolla* quedó registrado correctamente. Trae la herencia de rally de Toyota Gazoo Racing: motor turbo y tracción integral en un compacto deportivo.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9" s="14" t="inlineStr">
        <is>
          <t>Hola, {NOMBRE}, ¡feliz cumpleaños! Le deseo un excelente día rodeado de quienes más quiere.
Ha sido un gusto acompañarle en su interés por la/el *GR Corolla*, y quedo a sus órdenes para cualquier cosa que necesite. ¡Un fuerte abrazo!</t>
        </is>
      </c>
      <c r="L9" s="22" t="inlineStr">
        <is>
          <t>Promoción del Mes</t>
        </is>
      </c>
    </row>
    <row r="10" ht="90" customHeight="1" s="1">
      <c r="A10" s="21" t="n">
        <v>6</v>
      </c>
      <c r="B10" s="14" t="inlineStr">
        <is>
          <t>Prius</t>
        </is>
      </c>
      <c r="C10" s="14" t="inlineStr">
        <is>
          <t>Es el híbrido pionero de Toyota, con la mejor eficiencia de combustible de su categoría.</t>
        </is>
      </c>
      <c r="D10" s="14" t="inlineStr">
        <is>
          <t>Hola, {NOMBRE}, excelente día. Le saluda *Alejandro Estrada* de Toyota Corregidora.
Muchas gracias por visitarnos y conocer la/el *Prius*. Es el híbrido pionero de Toyota, con la mejor eficiencia de combustible de su categoría.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10" s="14" t="inlineStr">
        <is>
          <t>Hola, {NOMBRE}, muy buen día.
Espero que esté teniendo una excelente semana. Le escribo para saber si tiene alguna duda sobre la/el *Prius* que revisamos. Es el híbrido pionero de Toyota, con la mejor eficiencia de combustible de su categoría.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10" s="14" t="inlineStr">
        <is>
          <t>Hola, {NOMBRE}, buen día. Le escribo para comentarle que tenemos próximas llegadas de la/el *Prius* a la agencia. Es el híbrido pionero de Toyota, con la mejor eficiencia de combustible de su categoría.
Si le interesa asegurar su unidad antes de que lleguen y elegir color/versión, con gusto le apoyo a apartarla desde ahora. Quedo pendiente de su respuesta.</t>
        </is>
      </c>
      <c r="G10" s="14" t="inlineStr">
        <is>
          <t>Hola, {NOMBRE}, buen día. Le comparto que tenemos disponibilidad inmediata de la/el *Prius* en agencia, lista para entrega. Es el híbrido pionero de Toyota, con la mejor eficiencia de combustible de su categoría.
Si le interesa aprovechar esta disponibilidad, puedo apartarla hoy mismo para usted y así no esperar tiempos de producción. Quedo al pendiente.</t>
        </is>
      </c>
      <c r="H10" s="14" t="inlineStr">
        <is>
          <t>Hola, {NOMBRE}, buen día. Le comparto que este mes tenemos una promoción especial en la/el *Prius*: {PROMO}
Es el híbrido pionero de Toyota, con la mejor eficiencia de combustible de su categoría.
Si le interesa aprovecharla, con gusto le doy todos los detalles y le apoyo a calcular su mensualidad. Quedo atento.</t>
        </is>
      </c>
      <c r="I10" s="14" t="inlineStr">
        <is>
          <t>Hola, {NOMBRE}, ¡buenas noticias! Su apartado por la/el *Prius* quedó registrado correctamente. Es el híbrido pionero de Toyota, con la mejor eficiencia de combustible de su categoría.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10" s="14" t="inlineStr">
        <is>
          <t>Hola, {NOMBRE}, ¡feliz cumpleaños! Le deseo un excelente día rodeado de quienes más quiere.
Ha sido un gusto acompañarle en su interés por la/el *Prius*, y quedo a sus órdenes para cualquier cosa que necesite. ¡Un fuerte abrazo!</t>
        </is>
      </c>
      <c r="L10" s="22" t="inlineStr">
        <is>
          <t>Felicitación por Apartado</t>
        </is>
      </c>
    </row>
    <row r="11" ht="90" customHeight="1" s="1">
      <c r="A11" s="21" t="n">
        <v>7</v>
      </c>
      <c r="B11" s="14" t="inlineStr">
        <is>
          <t>Corolla HV</t>
        </is>
      </c>
      <c r="C11" s="14" t="inlineStr">
        <is>
          <t>Con tecnología híbrida, reduce hasta la mitad el consumo de combustible sin sacrificar manejo.</t>
        </is>
      </c>
      <c r="D11" s="14" t="inlineStr">
        <is>
          <t>Hola, {NOMBRE}, excelente día. Le saluda *Alejandro Estrada* de Toyota Corregidora.
Muchas gracias por visitarnos y conocer la/el *Corolla HV*. Con tecnología híbrida, reduce hasta la mitad el consumo de combustible sin sacrificar manejo.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11" s="14" t="inlineStr">
        <is>
          <t>Hola, {NOMBRE}, muy buen día.
Espero que esté teniendo una excelente semana. Le escribo para saber si tiene alguna duda sobre la/el *Corolla HV* que revisamos. Con tecnología híbrida, reduce hasta la mitad el consumo de combustible sin sacrificar manejo.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11" s="14" t="inlineStr">
        <is>
          <t>Hola, {NOMBRE}, buen día. Le escribo para comentarle que tenemos próximas llegadas de la/el *Corolla HV* a la agencia. Con tecnología híbrida, reduce hasta la mitad el consumo de combustible sin sacrificar manejo.
Si le interesa asegurar su unidad antes de que lleguen y elegir color/versión, con gusto le apoyo a apartarla desde ahora. Quedo pendiente de su respuesta.</t>
        </is>
      </c>
      <c r="G11" s="14" t="inlineStr">
        <is>
          <t>Hola, {NOMBRE}, buen día. Le comparto que tenemos disponibilidad inmediata de la/el *Corolla HV* en agencia, lista para entrega. Con tecnología híbrida, reduce hasta la mitad el consumo de combustible sin sacrificar manejo.
Si le interesa aprovechar esta disponibilidad, puedo apartarla hoy mismo para usted y así no esperar tiempos de producción. Quedo al pendiente.</t>
        </is>
      </c>
      <c r="H11" s="14" t="inlineStr">
        <is>
          <t>Hola, {NOMBRE}, buen día. Le comparto que este mes tenemos una promoción especial en la/el *Corolla HV*: {PROMO}
Con tecnología híbrida, reduce hasta la mitad el consumo de combustible sin sacrificar manejo.
Si le interesa aprovecharla, con gusto le doy todos los detalles y le apoyo a calcular su mensualidad. Quedo atento.</t>
        </is>
      </c>
      <c r="I11" s="14" t="inlineStr">
        <is>
          <t>Hola, {NOMBRE}, ¡buenas noticias! Su apartado por la/el *Corolla HV* quedó registrado correctamente. Con tecnología híbrida, reduce hasta la mitad el consumo de combustible sin sacrificar manejo.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11" s="14" t="inlineStr">
        <is>
          <t>Hola, {NOMBRE}, ¡feliz cumpleaños! Le deseo un excelente día rodeado de quienes más quiere.
Ha sido un gusto acompañarle en su interés por la/el *Corolla HV*, y quedo a sus órdenes para cualquier cosa que necesite. ¡Un fuerte abrazo!</t>
        </is>
      </c>
      <c r="L11" s="22" t="inlineStr">
        <is>
          <t>Cumpleaños</t>
        </is>
      </c>
    </row>
    <row r="12" ht="90" customHeight="1" s="1">
      <c r="A12" s="21" t="n">
        <v>8</v>
      </c>
      <c r="B12" s="14" t="inlineStr">
        <is>
          <t>Raize</t>
        </is>
      </c>
      <c r="C12" s="14" t="inlineStr">
        <is>
          <t>Es una SUV compacta y ágil, perfecta para moverse con facilidad en la ciudad y estacionarse sin complicaciones.</t>
        </is>
      </c>
      <c r="D12" s="14" t="inlineStr">
        <is>
          <t>Hola, {NOMBRE}, excelente día. Le saluda *Alejandro Estrada* de Toyota Corregidora.
Muchas gracias por visitarnos y conocer la/el *Raize*. Es una SUV compacta y ágil, perfecta para moverse con facilidad en la ciudad y estacionarse sin complicaciones.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12" s="14" t="inlineStr">
        <is>
          <t>Hola, {NOMBRE}, muy buen día.
Espero que esté teniendo una excelente semana. Le escribo para saber si tiene alguna duda sobre la/el *Raize* que revisamos. Es una SUV compacta y ágil, perfecta para moverse con facilidad en la ciudad y estacionarse sin complicaciones.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12" s="14" t="inlineStr">
        <is>
          <t>Hola, {NOMBRE}, buen día. Le escribo para comentarle que tenemos próximas llegadas de la/el *Raize* a la agencia. Es una SUV compacta y ágil, perfecta para moverse con facilidad en la ciudad y estacionarse sin complicaciones.
Si le interesa asegurar su unidad antes de que lleguen y elegir color/versión, con gusto le apoyo a apartarla desde ahora. Quedo pendiente de su respuesta.</t>
        </is>
      </c>
      <c r="G12" s="14" t="inlineStr">
        <is>
          <t>Hola, {NOMBRE}, buen día. Le comparto que tenemos disponibilidad inmediata de la/el *Raize* en agencia, lista para entrega. Es una SUV compacta y ágil, perfecta para moverse con facilidad en la ciudad y estacionarse sin complicaciones.
Si le interesa aprovechar esta disponibilidad, puedo apartarla hoy mismo para usted y así no esperar tiempos de producción. Quedo al pendiente.</t>
        </is>
      </c>
      <c r="H12" s="14" t="inlineStr">
        <is>
          <t>Hola, {NOMBRE}, buen día. Le comparto que este mes tenemos una promoción especial en la/el *Raize*: {PROMO}
Es una SUV compacta y ágil, perfecta para moverse con facilidad en la ciudad y estacionarse sin complicaciones.
Si le interesa aprovecharla, con gusto le doy todos los detalles y le apoyo a calcular su mensualidad. Quedo atento.</t>
        </is>
      </c>
      <c r="I12" s="14" t="inlineStr">
        <is>
          <t>Hola, {NOMBRE}, ¡buenas noticias! Su apartado por la/el *Raize* quedó registrado correctamente. Es una SUV compacta y ágil, perfecta para moverse con facilidad en la ciudad y estacionarse sin complicaciones.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12" s="14" t="inlineStr">
        <is>
          <t>Hola, {NOMBRE}, ¡feliz cumpleaños! Le deseo un excelente día rodeado de quienes más quiere.
Ha sido un gusto acompañarle en su interés por la/el *Raize*, y quedo a sus órdenes para cualquier cosa que necesite. ¡Un fuerte abrazo!</t>
        </is>
      </c>
      <c r="L12" s="22" t="inlineStr">
        <is>
          <t>Requisitos (Crédito/Contado)</t>
        </is>
      </c>
    </row>
    <row r="13" ht="90" customHeight="1" s="1">
      <c r="A13" s="21" t="n">
        <v>9</v>
      </c>
      <c r="B13" s="14" t="inlineStr">
        <is>
          <t>Avanza</t>
        </is>
      </c>
      <c r="C13" s="14" t="inlineStr">
        <is>
          <t>Ofrece amplio espacio interior y versatilidad, ideal para la familia y el día a día.</t>
        </is>
      </c>
      <c r="D13" s="14" t="inlineStr">
        <is>
          <t>Hola, {NOMBRE}, excelente día. Le saluda *Alejandro Estrada* de Toyota Corregidora.
Muchas gracias por visitarnos y conocer la/el *Avanza*. Ofrece amplio espacio interior y versatilidad, ideal para la familia y el día a día.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13" s="14" t="inlineStr">
        <is>
          <t>Hola, {NOMBRE}, muy buen día.
Espero que esté teniendo una excelente semana. Le escribo para saber si tiene alguna duda sobre la/el *Avanza* que revisamos. Ofrece amplio espacio interior y versatilidad, ideal para la familia y el día a día.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13" s="14" t="inlineStr">
        <is>
          <t>Hola, {NOMBRE}, buen día. Le escribo para comentarle que tenemos próximas llegadas de la/el *Avanza* a la agencia. Ofrece amplio espacio interior y versatilidad, ideal para la familia y el día a día.
Si le interesa asegurar su unidad antes de que lleguen y elegir color/versión, con gusto le apoyo a apartarla desde ahora. Quedo pendiente de su respuesta.</t>
        </is>
      </c>
      <c r="G13" s="14" t="inlineStr">
        <is>
          <t>Hola, {NOMBRE}, buen día. Le comparto que tenemos disponibilidad inmediata de la/el *Avanza* en agencia, lista para entrega. Ofrece amplio espacio interior y versatilidad, ideal para la familia y el día a día.
Si le interesa aprovechar esta disponibilidad, puedo apartarla hoy mismo para usted y así no esperar tiempos de producción. Quedo al pendiente.</t>
        </is>
      </c>
      <c r="H13" s="14" t="inlineStr">
        <is>
          <t>Hola, {NOMBRE}, buen día. Le comparto que este mes tenemos una promoción especial en la/el *Avanza*: {PROMO}
Ofrece amplio espacio interior y versatilidad, ideal para la familia y el día a día.
Si le interesa aprovecharla, con gusto le doy todos los detalles y le apoyo a calcular su mensualidad. Quedo atento.</t>
        </is>
      </c>
      <c r="I13" s="14" t="inlineStr">
        <is>
          <t>Hola, {NOMBRE}, ¡buenas noticias! Su apartado por la/el *Avanza* quedó registrado correctamente. Ofrece amplio espacio interior y versatilidad, ideal para la familia y el día a día.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13" s="14" t="inlineStr">
        <is>
          <t>Hola, {NOMBRE}, ¡feliz cumpleaños! Le deseo un excelente día rodeado de quienes más quiere.
Ha sido un gusto acompañarle en su interés por la/el *Avanza*, y quedo a sus órdenes para cualquier cosa que necesite. ¡Un fuerte abrazo!</t>
        </is>
      </c>
      <c r="L13" s="22" t="inlineStr">
        <is>
          <t>Otro (mensaje libre)</t>
        </is>
      </c>
    </row>
    <row r="14" ht="90" customHeight="1" s="1">
      <c r="A14" s="21" t="n">
        <v>10</v>
      </c>
      <c r="B14" s="14" t="inlineStr">
        <is>
          <t>Corolla Cross</t>
        </is>
      </c>
      <c r="C14" s="14" t="inlineStr">
        <is>
          <t>Combina el espacio de una SUV con la eficiencia y confiabilidad que caracteriza a Toyota.</t>
        </is>
      </c>
      <c r="D14" s="14" t="inlineStr">
        <is>
          <t>Hola, {NOMBRE}, excelente día. Le saluda *Alejandro Estrada* de Toyota Corregidora.
Muchas gracias por visitarnos y conocer la/el *Corolla Cross*. Combina el espacio de una SUV con la eficiencia y confiabilidad que caracteriza a Toyota.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14" s="14" t="inlineStr">
        <is>
          <t>Hola, {NOMBRE}, muy buen día.
Espero que esté teniendo una excelente semana. Le escribo para saber si tiene alguna duda sobre la/el *Corolla Cross* que revisamos. Combina el espacio de una SUV con la eficiencia y confiabilidad que caracteriza a Toyota.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14" s="14" t="inlineStr">
        <is>
          <t>Hola, {NOMBRE}, buen día. Le escribo para comentarle que tenemos próximas llegadas de la/el *Corolla Cross* a la agencia. Combina el espacio de una SUV con la eficiencia y confiabilidad que caracteriza a Toyota.
Si le interesa asegurar su unidad antes de que lleguen y elegir color/versión, con gusto le apoyo a apartarla desde ahora. Quedo pendiente de su respuesta.</t>
        </is>
      </c>
      <c r="G14" s="14" t="inlineStr">
        <is>
          <t>Hola, {NOMBRE}, buen día. Le comparto que tenemos disponibilidad inmediata de la/el *Corolla Cross* en agencia, lista para entrega. Combina el espacio de una SUV con la eficiencia y confiabilidad que caracteriza a Toyota.
Si le interesa aprovechar esta disponibilidad, puedo apartarla hoy mismo para usted y así no esperar tiempos de producción. Quedo al pendiente.</t>
        </is>
      </c>
      <c r="H14" s="14" t="inlineStr">
        <is>
          <t>Hola, {NOMBRE}, buen día. Le comparto que este mes tenemos una promoción especial en la/el *Corolla Cross*: {PROMO}
Combina el espacio de una SUV con la eficiencia y confiabilidad que caracteriza a Toyota.
Si le interesa aprovecharla, con gusto le doy todos los detalles y le apoyo a calcular su mensualidad. Quedo atento.</t>
        </is>
      </c>
      <c r="I14" s="14" t="inlineStr">
        <is>
          <t>Hola, {NOMBRE}, ¡buenas noticias! Su apartado por la/el *Corolla Cross* quedó registrado correctamente. Combina el espacio de una SUV con la eficiencia y confiabilidad que caracteriza a Toyota.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14" s="14" t="inlineStr">
        <is>
          <t>Hola, {NOMBRE}, ¡feliz cumpleaños! Le deseo un excelente día rodeado de quienes más quiere.
Ha sido un gusto acompañarle en su interés por la/el *Corolla Cross*, y quedo a sus órdenes para cualquier cosa que necesite. ¡Un fuerte abrazo!</t>
        </is>
      </c>
    </row>
    <row r="15" ht="90" customHeight="1" s="1">
      <c r="A15" s="21" t="n">
        <v>11</v>
      </c>
      <c r="B15" s="14" t="inlineStr">
        <is>
          <t>Corolla Cross HV</t>
        </is>
      </c>
      <c r="C15" s="14" t="inlineStr">
        <is>
          <t>Suma a la versatilidad de una SUV compacta la tecnología híbrida para un ahorro real de combustible.</t>
        </is>
      </c>
      <c r="D15" s="14" t="inlineStr">
        <is>
          <t>Hola, {NOMBRE}, excelente día. Le saluda *Alejandro Estrada* de Toyota Corregidora.
Muchas gracias por visitarnos y conocer la/el *Corolla Cross HV*. Suma a la versatilidad de una SUV compacta la tecnología híbrida para un ahorro real de combustible.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15" s="14" t="inlineStr">
        <is>
          <t>Hola, {NOMBRE}, muy buen día.
Espero que esté teniendo una excelente semana. Le escribo para saber si tiene alguna duda sobre la/el *Corolla Cross HV* que revisamos. Suma a la versatilidad de una SUV compacta la tecnología híbrida para un ahorro real de combustible.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15" s="14" t="inlineStr">
        <is>
          <t>Hola, {NOMBRE}, buen día. Le escribo para comentarle que tenemos próximas llegadas de la/el *Corolla Cross HV* a la agencia. Suma a la versatilidad de una SUV compacta la tecnología híbrida para un ahorro real de combustible.
Si le interesa asegurar su unidad antes de que lleguen y elegir color/versión, con gusto le apoyo a apartarla desde ahora. Quedo pendiente de su respuesta.</t>
        </is>
      </c>
      <c r="G15" s="14" t="inlineStr">
        <is>
          <t>Hola, {NOMBRE}, buen día. Le comparto que tenemos disponibilidad inmediata de la/el *Corolla Cross HV* en agencia, lista para entrega. Suma a la versatilidad de una SUV compacta la tecnología híbrida para un ahorro real de combustible.
Si le interesa aprovechar esta disponibilidad, puedo apartarla hoy mismo para usted y así no esperar tiempos de producción. Quedo al pendiente.</t>
        </is>
      </c>
      <c r="H15" s="14" t="inlineStr">
        <is>
          <t>Hola, {NOMBRE}, buen día. Le comparto que este mes tenemos una promoción especial en la/el *Corolla Cross HV*: {PROMO}
Suma a la versatilidad de una SUV compacta la tecnología híbrida para un ahorro real de combustible.
Si le interesa aprovecharla, con gusto le doy todos los detalles y le apoyo a calcular su mensualidad. Quedo atento.</t>
        </is>
      </c>
      <c r="I15" s="14" t="inlineStr">
        <is>
          <t>Hola, {NOMBRE}, ¡buenas noticias! Su apartado por la/el *Corolla Cross HV* quedó registrado correctamente. Suma a la versatilidad de una SUV compacta la tecnología híbrida para un ahorro real de combustible.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15" s="14" t="inlineStr">
        <is>
          <t>Hola, {NOMBRE}, ¡feliz cumpleaños! Le deseo un excelente día rodeado de quienes más quiere.
Ha sido un gusto acompañarle en su interés por la/el *Corolla Cross HV*, y quedo a sus órdenes para cualquier cosa que necesite. ¡Un fuerte abrazo!</t>
        </is>
      </c>
    </row>
    <row r="16" ht="90" customHeight="1" s="1">
      <c r="A16" s="21" t="n">
        <v>12</v>
      </c>
      <c r="B16" s="14" t="inlineStr">
        <is>
          <t>RAV4 HV</t>
        </is>
      </c>
      <c r="C16" s="14" t="inlineStr">
        <is>
          <t>Es la SUV híbrida más vendida del mercado: potencia, espacio y un ahorro de combustible excepcional.</t>
        </is>
      </c>
      <c r="D16" s="14" t="inlineStr">
        <is>
          <t>Hola, {NOMBRE}, excelente día. Le saluda *Alejandro Estrada* de Toyota Corregidora.
Muchas gracias por visitarnos y conocer la/el *RAV4 HV*. Es la SUV híbrida más vendida del mercado: potencia, espacio y un ahorro de combustible excepcional.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16" s="14" t="inlineStr">
        <is>
          <t>Hola, {NOMBRE}, muy buen día.
Espero que esté teniendo una excelente semana. Le escribo para saber si tiene alguna duda sobre la/el *RAV4 HV* que revisamos. Es la SUV híbrida más vendida del mercado: potencia, espacio y un ahorro de combustible excepcional.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16" s="14" t="inlineStr">
        <is>
          <t>Hola, {NOMBRE}, buen día. Le escribo para comentarle que tenemos próximas llegadas de la/el *RAV4 HV* a la agencia. Es la SUV híbrida más vendida del mercado: potencia, espacio y un ahorro de combustible excepcional.
Si le interesa asegurar su unidad antes de que lleguen y elegir color/versión, con gusto le apoyo a apartarla desde ahora. Quedo pendiente de su respuesta.</t>
        </is>
      </c>
      <c r="G16" s="14" t="inlineStr">
        <is>
          <t>Hola, {NOMBRE}, buen día. Le comparto que tenemos disponibilidad inmediata de la/el *RAV4 HV* en agencia, lista para entrega. Es la SUV híbrida más vendida del mercado: potencia, espacio y un ahorro de combustible excepcional.
Si le interesa aprovechar esta disponibilidad, puedo apartarla hoy mismo para usted y así no esperar tiempos de producción. Quedo al pendiente.</t>
        </is>
      </c>
      <c r="H16" s="14" t="inlineStr">
        <is>
          <t>Hola, {NOMBRE}, buen día. Le comparto que este mes tenemos una promoción especial en la/el *RAV4 HV*: {PROMO}
Es la SUV híbrida más vendida del mercado: potencia, espacio y un ahorro de combustible excepcional.
Si le interesa aprovecharla, con gusto le doy todos los detalles y le apoyo a calcular su mensualidad. Quedo atento.</t>
        </is>
      </c>
      <c r="I16" s="14" t="inlineStr">
        <is>
          <t>Hola, {NOMBRE}, ¡buenas noticias! Su apartado por la/el *RAV4 HV* quedó registrado correctamente. Es la SUV híbrida más vendida del mercado: potencia, espacio y un ahorro de combustible excepcional.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16" s="14" t="inlineStr">
        <is>
          <t>Hola, {NOMBRE}, ¡feliz cumpleaños! Le deseo un excelente día rodeado de quienes más quiere.
Ha sido un gusto acompañarle en su interés por la/el *RAV4 HV*, y quedo a sus órdenes para cualquier cosa que necesite. ¡Un fuerte abrazo!</t>
        </is>
      </c>
    </row>
    <row r="17" ht="90" customHeight="1" s="1">
      <c r="A17" s="21" t="n">
        <v>13</v>
      </c>
      <c r="B17" s="14" t="inlineStr">
        <is>
          <t>Highlander HV</t>
        </is>
      </c>
      <c r="C17" s="14" t="inlineStr">
        <is>
          <t>Es la SUV híbrida de 3 filas ideal para familias grandes, con espacio, seguridad y eficiencia.</t>
        </is>
      </c>
      <c r="D17" s="14" t="inlineStr">
        <is>
          <t>Hola, {NOMBRE}, excelente día. Le saluda *Alejandro Estrada* de Toyota Corregidora.
Muchas gracias por visitarnos y conocer la/el *Highlander HV*. Es la SUV híbrida de 3 filas ideal para familias grandes, con espacio, seguridad y eficiencia.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17" s="14" t="inlineStr">
        <is>
          <t>Hola, {NOMBRE}, muy buen día.
Espero que esté teniendo una excelente semana. Le escribo para saber si tiene alguna duda sobre la/el *Highlander HV* que revisamos. Es la SUV híbrida de 3 filas ideal para familias grandes, con espacio, seguridad y eficiencia.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17" s="14" t="inlineStr">
        <is>
          <t>Hola, {NOMBRE}, buen día. Le escribo para comentarle que tenemos próximas llegadas de la/el *Highlander HV* a la agencia. Es la SUV híbrida de 3 filas ideal para familias grandes, con espacio, seguridad y eficiencia.
Si le interesa asegurar su unidad antes de que lleguen y elegir color/versión, con gusto le apoyo a apartarla desde ahora. Quedo pendiente de su respuesta.</t>
        </is>
      </c>
      <c r="G17" s="14" t="inlineStr">
        <is>
          <t>Hola, {NOMBRE}, buen día. Le comparto que tenemos disponibilidad inmediata de la/el *Highlander HV* en agencia, lista para entrega. Es la SUV híbrida de 3 filas ideal para familias grandes, con espacio, seguridad y eficiencia.
Si le interesa aprovechar esta disponibilidad, puedo apartarla hoy mismo para usted y así no esperar tiempos de producción. Quedo al pendiente.</t>
        </is>
      </c>
      <c r="H17" s="14" t="inlineStr">
        <is>
          <t>Hola, {NOMBRE}, buen día. Le comparto que este mes tenemos una promoción especial en la/el *Highlander HV*: {PROMO}
Es la SUV híbrida de 3 filas ideal para familias grandes, con espacio, seguridad y eficiencia.
Si le interesa aprovecharla, con gusto le doy todos los detalles y le apoyo a calcular su mensualidad. Quedo atento.</t>
        </is>
      </c>
      <c r="I17" s="14" t="inlineStr">
        <is>
          <t>Hola, {NOMBRE}, ¡buenas noticias! Su apartado por la/el *Highlander HV* quedó registrado correctamente. Es la SUV híbrida de 3 filas ideal para familias grandes, con espacio, seguridad y eficiencia.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17" s="14" t="inlineStr">
        <is>
          <t>Hola, {NOMBRE}, ¡feliz cumpleaños! Le deseo un excelente día rodeado de quienes más quiere.
Ha sido un gusto acompañarle en su interés por la/el *Highlander HV*, y quedo a sus órdenes para cualquier cosa que necesite. ¡Un fuerte abrazo!</t>
        </is>
      </c>
    </row>
    <row r="18" ht="90" customHeight="1" s="1">
      <c r="A18" s="21" t="n">
        <v>14</v>
      </c>
      <c r="B18" s="14" t="inlineStr">
        <is>
          <t>Sienna HV</t>
        </is>
      </c>
      <c r="C18" s="14" t="inlineStr">
        <is>
          <t>Es una minivan 100% híbrida, con gran espacio para pasajeros y un consumo de combustible muy por debajo del promedio.</t>
        </is>
      </c>
      <c r="D18" s="14" t="inlineStr">
        <is>
          <t>Hola, {NOMBRE}, excelente día. Le saluda *Alejandro Estrada* de Toyota Corregidora.
Muchas gracias por visitarnos y conocer la/el *Sienna HV*. Es una minivan 100% híbrida, con gran espacio para pasajeros y un consumo de combustible muy por debajo del promedio.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18" s="14" t="inlineStr">
        <is>
          <t>Hola, {NOMBRE}, muy buen día.
Espero que esté teniendo una excelente semana. Le escribo para saber si tiene alguna duda sobre la/el *Sienna HV* que revisamos. Es una minivan 100% híbrida, con gran espacio para pasajeros y un consumo de combustible muy por debajo del promedio.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18" s="14" t="inlineStr">
        <is>
          <t>Hola, {NOMBRE}, buen día. Le escribo para comentarle que tenemos próximas llegadas de la/el *Sienna HV* a la agencia. Es una minivan 100% híbrida, con gran espacio para pasajeros y un consumo de combustible muy por debajo del promedio.
Si le interesa asegurar su unidad antes de que lleguen y elegir color/versión, con gusto le apoyo a apartarla desde ahora. Quedo pendiente de su respuesta.</t>
        </is>
      </c>
      <c r="G18" s="14" t="inlineStr">
        <is>
          <t>Hola, {NOMBRE}, buen día. Le comparto que tenemos disponibilidad inmediata de la/el *Sienna HV* en agencia, lista para entrega. Es una minivan 100% híbrida, con gran espacio para pasajeros y un consumo de combustible muy por debajo del promedio.
Si le interesa aprovechar esta disponibilidad, puedo apartarla hoy mismo para usted y así no esperar tiempos de producción. Quedo al pendiente.</t>
        </is>
      </c>
      <c r="H18" s="14" t="inlineStr">
        <is>
          <t>Hola, {NOMBRE}, buen día. Le comparto que este mes tenemos una promoción especial en la/el *Sienna HV*: {PROMO}
Es una minivan 100% híbrida, con gran espacio para pasajeros y un consumo de combustible muy por debajo del promedio.
Si le interesa aprovecharla, con gusto le doy todos los detalles y le apoyo a calcular su mensualidad. Quedo atento.</t>
        </is>
      </c>
      <c r="I18" s="14" t="inlineStr">
        <is>
          <t>Hola, {NOMBRE}, ¡buenas noticias! Su apartado por la/el *Sienna HV* quedó registrado correctamente. Es una minivan 100% híbrida, con gran espacio para pasajeros y un consumo de combustible muy por debajo del promedio.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18" s="14" t="inlineStr">
        <is>
          <t>Hola, {NOMBRE}, ¡feliz cumpleaños! Le deseo un excelente día rodeado de quienes más quiere.
Ha sido un gusto acompañarle en su interés por la/el *Sienna HV*, y quedo a sus órdenes para cualquier cosa que necesite. ¡Un fuerte abrazo!</t>
        </is>
      </c>
    </row>
    <row r="19" ht="90" customHeight="1" s="1">
      <c r="A19" s="21" t="n">
        <v>15</v>
      </c>
      <c r="B19" s="14" t="inlineStr">
        <is>
          <t>Sequoia</t>
        </is>
      </c>
      <c r="C19" s="14" t="inlineStr">
        <is>
          <t>Es la SUV grande de Toyota, con capacidad, robustez y presencia para toda la familia.</t>
        </is>
      </c>
      <c r="D19" s="14" t="inlineStr">
        <is>
          <t>Hola, {NOMBRE}, excelente día. Le saluda *Alejandro Estrada* de Toyota Corregidora.
Muchas gracias por visitarnos y conocer la/el *Sequoia*. Es la SUV grande de Toyota, con capacidad, robustez y presencia para toda la familia.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19" s="14" t="inlineStr">
        <is>
          <t>Hola, {NOMBRE}, muy buen día.
Espero que esté teniendo una excelente semana. Le escribo para saber si tiene alguna duda sobre la/el *Sequoia* que revisamos. Es la SUV grande de Toyota, con capacidad, robustez y presencia para toda la familia.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19" s="14" t="inlineStr">
        <is>
          <t>Hola, {NOMBRE}, buen día. Le escribo para comentarle que tenemos próximas llegadas de la/el *Sequoia* a la agencia. Es la SUV grande de Toyota, con capacidad, robustez y presencia para toda la familia.
Si le interesa asegurar su unidad antes de que lleguen y elegir color/versión, con gusto le apoyo a apartarla desde ahora. Quedo pendiente de su respuesta.</t>
        </is>
      </c>
      <c r="G19" s="14" t="inlineStr">
        <is>
          <t>Hola, {NOMBRE}, buen día. Le comparto que tenemos disponibilidad inmediata de la/el *Sequoia* en agencia, lista para entrega. Es la SUV grande de Toyota, con capacidad, robustez y presencia para toda la familia.
Si le interesa aprovechar esta disponibilidad, puedo apartarla hoy mismo para usted y así no esperar tiempos de producción. Quedo al pendiente.</t>
        </is>
      </c>
      <c r="H19" s="14" t="inlineStr">
        <is>
          <t>Hola, {NOMBRE}, buen día. Le comparto que este mes tenemos una promoción especial en la/el *Sequoia*: {PROMO}
Es la SUV grande de Toyota, con capacidad, robustez y presencia para toda la familia.
Si le interesa aprovecharla, con gusto le doy todos los detalles y le apoyo a calcular su mensualidad. Quedo atento.</t>
        </is>
      </c>
      <c r="I19" s="14" t="inlineStr">
        <is>
          <t>Hola, {NOMBRE}, ¡buenas noticias! Su apartado por la/el *Sequoia* quedó registrado correctamente. Es la SUV grande de Toyota, con capacidad, robustez y presencia para toda la familia.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19" s="14" t="inlineStr">
        <is>
          <t>Hola, {NOMBRE}, ¡feliz cumpleaños! Le deseo un excelente día rodeado de quienes más quiere.
Ha sido un gusto acompañarle en su interés por la/el *Sequoia*, y quedo a sus órdenes para cualquier cosa que necesite. ¡Un fuerte abrazo!</t>
        </is>
      </c>
    </row>
    <row r="20" ht="90" customHeight="1" s="1">
      <c r="A20" s="21" t="n">
        <v>16</v>
      </c>
      <c r="B20" s="14" t="inlineStr">
        <is>
          <t>Hilux</t>
        </is>
      </c>
      <c r="C20" s="14" t="inlineStr">
        <is>
          <t>Es sinónimo de resistencia y confiabilidad, la pickup preferida para el trabajo pesado.</t>
        </is>
      </c>
      <c r="D20" s="14" t="inlineStr">
        <is>
          <t>Hola, {NOMBRE}, excelente día. Le saluda *Alejandro Estrada* de Toyota Corregidora.
Muchas gracias por visitarnos y conocer la/el *Hilux*. Es sinónimo de resistencia y confiabilidad, la pickup preferida para el trabajo pesado.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20" s="14" t="inlineStr">
        <is>
          <t>Hola, {NOMBRE}, muy buen día.
Espero que esté teniendo una excelente semana. Le escribo para saber si tiene alguna duda sobre la/el *Hilux* que revisamos. Es sinónimo de resistencia y confiabilidad, la pickup preferida para el trabajo pesado.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20" s="14" t="inlineStr">
        <is>
          <t>Hola, {NOMBRE}, buen día. Le escribo para comentarle que tenemos próximas llegadas de la/el *Hilux* a la agencia. Es sinónimo de resistencia y confiabilidad, la pickup preferida para el trabajo pesado.
Si le interesa asegurar su unidad antes de que lleguen y elegir color/versión, con gusto le apoyo a apartarla desde ahora. Quedo pendiente de su respuesta.</t>
        </is>
      </c>
      <c r="G20" s="14" t="inlineStr">
        <is>
          <t>Hola, {NOMBRE}, buen día. Le comparto que tenemos disponibilidad inmediata de la/el *Hilux* en agencia, lista para entrega. Es sinónimo de resistencia y confiabilidad, la pickup preferida para el trabajo pesado.
Si le interesa aprovechar esta disponibilidad, puedo apartarla hoy mismo para usted y así no esperar tiempos de producción. Quedo al pendiente.</t>
        </is>
      </c>
      <c r="H20" s="14" t="inlineStr">
        <is>
          <t>Hola, {NOMBRE}, buen día. Le comparto que este mes tenemos una promoción especial en la/el *Hilux*: {PROMO}
Es sinónimo de resistencia y confiabilidad, la pickup preferida para el trabajo pesado.
Si le interesa aprovecharla, con gusto le doy todos los detalles y le apoyo a calcular su mensualidad. Quedo atento.</t>
        </is>
      </c>
      <c r="I20" s="14" t="inlineStr">
        <is>
          <t>Hola, {NOMBRE}, ¡buenas noticias! Su apartado por la/el *Hilux* quedó registrado correctamente. Es sinónimo de resistencia y confiabilidad, la pickup preferida para el trabajo pesado.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20" s="14" t="inlineStr">
        <is>
          <t>Hola, {NOMBRE}, ¡feliz cumpleaños! Le deseo un excelente día rodeado de quienes más quiere.
Ha sido un gusto acompañarle en su interés por la/el *Hilux*, y quedo a sus órdenes para cualquier cosa que necesite. ¡Un fuerte abrazo!</t>
        </is>
      </c>
    </row>
    <row r="21" ht="90" customHeight="1" s="1">
      <c r="A21" s="21" t="n">
        <v>17</v>
      </c>
      <c r="B21" s="14" t="inlineStr">
        <is>
          <t>Hilux Diesel</t>
        </is>
      </c>
      <c r="C21" s="14" t="inlineStr">
        <is>
          <t>Con motor diésel entrega mayor torque y rendimiento de combustible para trabajo pesado.</t>
        </is>
      </c>
      <c r="D21" s="14" t="inlineStr">
        <is>
          <t>Hola, {NOMBRE}, excelente día. Le saluda *Alejandro Estrada* de Toyota Corregidora.
Muchas gracias por visitarnos y conocer la/el *Hilux Diesel*. Con motor diésel entrega mayor torque y rendimiento de combustible para trabajo pesado.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21" s="14" t="inlineStr">
        <is>
          <t>Hola, {NOMBRE}, muy buen día.
Espero que esté teniendo una excelente semana. Le escribo para saber si tiene alguna duda sobre la/el *Hilux Diesel* que revisamos. Con motor diésel entrega mayor torque y rendimiento de combustible para trabajo pesado.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21" s="14" t="inlineStr">
        <is>
          <t>Hola, {NOMBRE}, buen día. Le escribo para comentarle que tenemos próximas llegadas de la/el *Hilux Diesel* a la agencia. Con motor diésel entrega mayor torque y rendimiento de combustible para trabajo pesado.
Si le interesa asegurar su unidad antes de que lleguen y elegir color/versión, con gusto le apoyo a apartarla desde ahora. Quedo pendiente de su respuesta.</t>
        </is>
      </c>
      <c r="G21" s="14" t="inlineStr">
        <is>
          <t>Hola, {NOMBRE}, buen día. Le comparto que tenemos disponibilidad inmediata de la/el *Hilux Diesel* en agencia, lista para entrega. Con motor diésel entrega mayor torque y rendimiento de combustible para trabajo pesado.
Si le interesa aprovechar esta disponibilidad, puedo apartarla hoy mismo para usted y así no esperar tiempos de producción. Quedo al pendiente.</t>
        </is>
      </c>
      <c r="H21" s="14" t="inlineStr">
        <is>
          <t>Hola, {NOMBRE}, buen día. Le comparto que este mes tenemos una promoción especial en la/el *Hilux Diesel*: {PROMO}
Con motor diésel entrega mayor torque y rendimiento de combustible para trabajo pesado.
Si le interesa aprovecharla, con gusto le doy todos los detalles y le apoyo a calcular su mensualidad. Quedo atento.</t>
        </is>
      </c>
      <c r="I21" s="14" t="inlineStr">
        <is>
          <t>Hola, {NOMBRE}, ¡buenas noticias! Su apartado por la/el *Hilux Diesel* quedó registrado correctamente. Con motor diésel entrega mayor torque y rendimiento de combustible para trabajo pesado.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21" s="14" t="inlineStr">
        <is>
          <t>Hola, {NOMBRE}, ¡feliz cumpleaños! Le deseo un excelente día rodeado de quienes más quiere.
Ha sido un gusto acompañarle en su interés por la/el *Hilux Diesel*, y quedo a sus órdenes para cualquier cosa que necesite. ¡Un fuerte abrazo!</t>
        </is>
      </c>
    </row>
    <row r="22" ht="90" customHeight="1" s="1">
      <c r="A22" s="21" t="n">
        <v>18</v>
      </c>
      <c r="B22" s="14" t="inlineStr">
        <is>
          <t>Hilux HV</t>
        </is>
      </c>
      <c r="C22" s="14" t="inlineStr">
        <is>
          <t>Combina la robustez que caracteriza a Hilux con tecnología híbrida para mayor eficiencia.</t>
        </is>
      </c>
      <c r="D22" s="14" t="inlineStr">
        <is>
          <t>Hola, {NOMBRE}, excelente día. Le saluda *Alejandro Estrada* de Toyota Corregidora.
Muchas gracias por visitarnos y conocer la/el *Hilux HV*. Combina la robustez que caracteriza a Hilux con tecnología híbrida para mayor eficiencia.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22" s="14" t="inlineStr">
        <is>
          <t>Hola, {NOMBRE}, muy buen día.
Espero que esté teniendo una excelente semana. Le escribo para saber si tiene alguna duda sobre la/el *Hilux HV* que revisamos. Combina la robustez que caracteriza a Hilux con tecnología híbrida para mayor eficiencia.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22" s="14" t="inlineStr">
        <is>
          <t>Hola, {NOMBRE}, buen día. Le escribo para comentarle que tenemos próximas llegadas de la/el *Hilux HV* a la agencia. Combina la robustez que caracteriza a Hilux con tecnología híbrida para mayor eficiencia.
Si le interesa asegurar su unidad antes de que lleguen y elegir color/versión, con gusto le apoyo a apartarla desde ahora. Quedo pendiente de su respuesta.</t>
        </is>
      </c>
      <c r="G22" s="14" t="inlineStr">
        <is>
          <t>Hola, {NOMBRE}, buen día. Le comparto que tenemos disponibilidad inmediata de la/el *Hilux HV* en agencia, lista para entrega. Combina la robustez que caracteriza a Hilux con tecnología híbrida para mayor eficiencia.
Si le interesa aprovechar esta disponibilidad, puedo apartarla hoy mismo para usted y así no esperar tiempos de producción. Quedo al pendiente.</t>
        </is>
      </c>
      <c r="H22" s="14" t="inlineStr">
        <is>
          <t>Hola, {NOMBRE}, buen día. Le comparto que este mes tenemos una promoción especial en la/el *Hilux HV*: {PROMO}
Combina la robustez que caracteriza a Hilux con tecnología híbrida para mayor eficiencia.
Si le interesa aprovecharla, con gusto le doy todos los detalles y le apoyo a calcular su mensualidad. Quedo atento.</t>
        </is>
      </c>
      <c r="I22" s="14" t="inlineStr">
        <is>
          <t>Hola, {NOMBRE}, ¡buenas noticias! Su apartado por la/el *Hilux HV* quedó registrado correctamente. Combina la robustez que caracteriza a Hilux con tecnología híbrida para mayor eficiencia.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22" s="14" t="inlineStr">
        <is>
          <t>Hola, {NOMBRE}, ¡feliz cumpleaños! Le deseo un excelente día rodeado de quienes más quiere.
Ha sido un gusto acompañarle en su interés por la/el *Hilux HV*, y quedo a sus órdenes para cualquier cosa que necesite. ¡Un fuerte abrazo!</t>
        </is>
      </c>
    </row>
    <row r="23" ht="90" customHeight="1" s="1">
      <c r="A23" s="21" t="n">
        <v>19</v>
      </c>
      <c r="B23" s="14" t="inlineStr">
        <is>
          <t>Tacoma SR</t>
        </is>
      </c>
      <c r="C23" s="14" t="inlineStr">
        <is>
          <t>Es la puerta de entrada a la nueva generación Tacoma, con la robustez y confiabilidad de siempre.</t>
        </is>
      </c>
      <c r="D23" s="14" t="inlineStr">
        <is>
          <t>Hola, {NOMBRE}, excelente día. Le saluda *Alejandro Estrada* de Toyota Corregidora.
Muchas gracias por visitarnos y conocer la/el *Tacoma SR*. Es la puerta de entrada a la nueva generación Tacoma, con la robustez y confiabilidad de siempre.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23" s="14" t="inlineStr">
        <is>
          <t>Hola, {NOMBRE}, muy buen día.
Espero que esté teniendo una excelente semana. Le escribo para saber si tiene alguna duda sobre la/el *Tacoma SR* que revisamos. Es la puerta de entrada a la nueva generación Tacoma, con la robustez y confiabilidad de siempre.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23" s="14" t="inlineStr">
        <is>
          <t>Hola, {NOMBRE}, buen día. Le escribo para comentarle que tenemos próximas llegadas de la/el *Tacoma SR* a la agencia. Es la puerta de entrada a la nueva generación Tacoma, con la robustez y confiabilidad de siempre.
Si le interesa asegurar su unidad antes de que lleguen y elegir color/versión, con gusto le apoyo a apartarla desde ahora. Quedo pendiente de su respuesta.</t>
        </is>
      </c>
      <c r="G23" s="14" t="inlineStr">
        <is>
          <t>Hola, {NOMBRE}, buen día. Le comparto que tenemos disponibilidad inmediata de la/el *Tacoma SR* en agencia, lista para entrega. Es la puerta de entrada a la nueva generación Tacoma, con la robustez y confiabilidad de siempre.
Si le interesa aprovechar esta disponibilidad, puedo apartarla hoy mismo para usted y así no esperar tiempos de producción. Quedo al pendiente.</t>
        </is>
      </c>
      <c r="H23" s="14" t="inlineStr">
        <is>
          <t>Hola, {NOMBRE}, buen día. Le comparto que este mes tenemos una promoción especial en la/el *Tacoma SR*: {PROMO}
Es la puerta de entrada a la nueva generación Tacoma, con la robustez y confiabilidad de siempre.
Si le interesa aprovecharla, con gusto le doy todos los detalles y le apoyo a calcular su mensualidad. Quedo atento.</t>
        </is>
      </c>
      <c r="I23" s="14" t="inlineStr">
        <is>
          <t>Hola, {NOMBRE}, ¡buenas noticias! Su apartado por la/el *Tacoma SR* quedó registrado correctamente. Es la puerta de entrada a la nueva generación Tacoma, con la robustez y confiabilidad de siempre.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23" s="14" t="inlineStr">
        <is>
          <t>Hola, {NOMBRE}, ¡feliz cumpleaños! Le deseo un excelente día rodeado de quienes más quiere.
Ha sido un gusto acompañarle en su interés por la/el *Tacoma SR*, y quedo a sus órdenes para cualquier cosa que necesite. ¡Un fuerte abrazo!</t>
        </is>
      </c>
    </row>
    <row r="24" ht="90" customHeight="1" s="1">
      <c r="A24" s="21" t="n">
        <v>20</v>
      </c>
      <c r="B24" s="14" t="inlineStr">
        <is>
          <t>Tacoma TRD</t>
        </is>
      </c>
      <c r="C24" s="14" t="inlineStr">
        <is>
          <t>Trae el equipamiento deportivo TRD para quienes buscan carácter dentro y fuera de la ciudad.</t>
        </is>
      </c>
      <c r="D24" s="14" t="inlineStr">
        <is>
          <t>Hola, {NOMBRE}, excelente día. Le saluda *Alejandro Estrada* de Toyota Corregidora.
Muchas gracias por visitarnos y conocer la/el *Tacoma TRD*. Trae el equipamiento deportivo TRD para quienes buscan carácter dentro y fuera de la ciudad.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24" s="14" t="inlineStr">
        <is>
          <t>Hola, {NOMBRE}, muy buen día.
Espero que esté teniendo una excelente semana. Le escribo para saber si tiene alguna duda sobre la/el *Tacoma TRD* que revisamos. Trae el equipamiento deportivo TRD para quienes buscan carácter dentro y fuera de la ciudad.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24" s="14" t="inlineStr">
        <is>
          <t>Hola, {NOMBRE}, buen día. Le escribo para comentarle que tenemos próximas llegadas de la/el *Tacoma TRD* a la agencia. Trae el equipamiento deportivo TRD para quienes buscan carácter dentro y fuera de la ciudad.
Si le interesa asegurar su unidad antes de que lleguen y elegir color/versión, con gusto le apoyo a apartarla desde ahora. Quedo pendiente de su respuesta.</t>
        </is>
      </c>
      <c r="G24" s="14" t="inlineStr">
        <is>
          <t>Hola, {NOMBRE}, buen día. Le comparto que tenemos disponibilidad inmediata de la/el *Tacoma TRD* en agencia, lista para entrega. Trae el equipamiento deportivo TRD para quienes buscan carácter dentro y fuera de la ciudad.
Si le interesa aprovechar esta disponibilidad, puedo apartarla hoy mismo para usted y así no esperar tiempos de producción. Quedo al pendiente.</t>
        </is>
      </c>
      <c r="H24" s="14" t="inlineStr">
        <is>
          <t>Hola, {NOMBRE}, buen día. Le comparto que este mes tenemos una promoción especial en la/el *Tacoma TRD*: {PROMO}
Trae el equipamiento deportivo TRD para quienes buscan carácter dentro y fuera de la ciudad.
Si le interesa aprovecharla, con gusto le doy todos los detalles y le apoyo a calcular su mensualidad. Quedo atento.</t>
        </is>
      </c>
      <c r="I24" s="14" t="inlineStr">
        <is>
          <t>Hola, {NOMBRE}, ¡buenas noticias! Su apartado por la/el *Tacoma TRD* quedó registrado correctamente. Trae el equipamiento deportivo TRD para quienes buscan carácter dentro y fuera de la ciudad.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24" s="14" t="inlineStr">
        <is>
          <t>Hola, {NOMBRE}, ¡feliz cumpleaños! Le deseo un excelente día rodeado de quienes más quiere.
Ha sido un gusto acompañarle en su interés por la/el *Tacoma TRD*, y quedo a sus órdenes para cualquier cosa que necesite. ¡Un fuerte abrazo!</t>
        </is>
      </c>
    </row>
    <row r="25" ht="90" customHeight="1" s="1">
      <c r="A25" s="21" t="n">
        <v>21</v>
      </c>
      <c r="B25" s="14" t="inlineStr">
        <is>
          <t>Tacoma TRD Off Road</t>
        </is>
      </c>
      <c r="C25" s="14" t="inlineStr">
        <is>
          <t>Está preparada con suspensión y equipo especial para dominar terracería y caminos difíciles.</t>
        </is>
      </c>
      <c r="D25" s="14" t="inlineStr">
        <is>
          <t>Hola, {NOMBRE}, excelente día. Le saluda *Alejandro Estrada* de Toyota Corregidora.
Muchas gracias por visitarnos y conocer la/el *Tacoma TRD Off Road*. Está preparada con suspensión y equipo especial para dominar terracería y caminos difíciles.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25" s="14" t="inlineStr">
        <is>
          <t>Hola, {NOMBRE}, muy buen día.
Espero que esté teniendo una excelente semana. Le escribo para saber si tiene alguna duda sobre la/el *Tacoma TRD Off Road* que revisamos. Está preparada con suspensión y equipo especial para dominar terracería y caminos difíciles.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25" s="14" t="inlineStr">
        <is>
          <t>Hola, {NOMBRE}, buen día. Le escribo para comentarle que tenemos próximas llegadas de la/el *Tacoma TRD Off Road* a la agencia. Está preparada con suspensión y equipo especial para dominar terracería y caminos difíciles.
Si le interesa asegurar su unidad antes de que lleguen y elegir color/versión, con gusto le apoyo a apartarla desde ahora. Quedo pendiente de su respuesta.</t>
        </is>
      </c>
      <c r="G25" s="14" t="inlineStr">
        <is>
          <t>Hola, {NOMBRE}, buen día. Le comparto que tenemos disponibilidad inmediata de la/el *Tacoma TRD Off Road* en agencia, lista para entrega. Está preparada con suspensión y equipo especial para dominar terracería y caminos difíciles.
Si le interesa aprovechar esta disponibilidad, puedo apartarla hoy mismo para usted y así no esperar tiempos de producción. Quedo al pendiente.</t>
        </is>
      </c>
      <c r="H25" s="14" t="inlineStr">
        <is>
          <t>Hola, {NOMBRE}, buen día. Le comparto que este mes tenemos una promoción especial en la/el *Tacoma TRD Off Road*: {PROMO}
Está preparada con suspensión y equipo especial para dominar terracería y caminos difíciles.
Si le interesa aprovecharla, con gusto le doy todos los detalles y le apoyo a calcular su mensualidad. Quedo atento.</t>
        </is>
      </c>
      <c r="I25" s="14" t="inlineStr">
        <is>
          <t>Hola, {NOMBRE}, ¡buenas noticias! Su apartado por la/el *Tacoma TRD Off Road* quedó registrado correctamente. Está preparada con suspensión y equipo especial para dominar terracería y caminos difíciles.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25" s="14" t="inlineStr">
        <is>
          <t>Hola, {NOMBRE}, ¡feliz cumpleaños! Le deseo un excelente día rodeado de quienes más quiere.
Ha sido un gusto acompañarle en su interés por la/el *Tacoma TRD Off Road*, y quedo a sus órdenes para cualquier cosa que necesite. ¡Un fuerte abrazo!</t>
        </is>
      </c>
    </row>
    <row r="26" ht="90" customHeight="1" s="1">
      <c r="A26" s="21" t="n">
        <v>22</v>
      </c>
      <c r="B26" s="14" t="inlineStr">
        <is>
          <t>Tacoma HV</t>
        </is>
      </c>
      <c r="C26" s="14" t="inlineStr">
        <is>
          <t>Suma tecnología híbrida i-FORCE MAX a la capacidad y robustez que caracteriza a Tacoma.</t>
        </is>
      </c>
      <c r="D26" s="14" t="inlineStr">
        <is>
          <t>Hola, {NOMBRE}, excelente día. Le saluda *Alejandro Estrada* de Toyota Corregidora.
Muchas gracias por visitarnos y conocer la/el *Tacoma HV*. Suma tecnología híbrida i-FORCE MAX a la capacidad y robustez que caracteriza a Tacoma.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26" s="14" t="inlineStr">
        <is>
          <t>Hola, {NOMBRE}, muy buen día.
Espero que esté teniendo una excelente semana. Le escribo para saber si tiene alguna duda sobre la/el *Tacoma HV* que revisamos. Suma tecnología híbrida i-FORCE MAX a la capacidad y robustez que caracteriza a Tacoma.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26" s="14" t="inlineStr">
        <is>
          <t>Hola, {NOMBRE}, buen día. Le escribo para comentarle que tenemos próximas llegadas de la/el *Tacoma HV* a la agencia. Suma tecnología híbrida i-FORCE MAX a la capacidad y robustez que caracteriza a Tacoma.
Si le interesa asegurar su unidad antes de que lleguen y elegir color/versión, con gusto le apoyo a apartarla desde ahora. Quedo pendiente de su respuesta.</t>
        </is>
      </c>
      <c r="G26" s="14" t="inlineStr">
        <is>
          <t>Hola, {NOMBRE}, buen día. Le comparto que tenemos disponibilidad inmediata de la/el *Tacoma HV* en agencia, lista para entrega. Suma tecnología híbrida i-FORCE MAX a la capacidad y robustez que caracteriza a Tacoma.
Si le interesa aprovechar esta disponibilidad, puedo apartarla hoy mismo para usted y así no esperar tiempos de producción. Quedo al pendiente.</t>
        </is>
      </c>
      <c r="H26" s="14" t="inlineStr">
        <is>
          <t>Hola, {NOMBRE}, buen día. Le comparto que este mes tenemos una promoción especial en la/el *Tacoma HV*: {PROMO}
Suma tecnología híbrida i-FORCE MAX a la capacidad y robustez que caracteriza a Tacoma.
Si le interesa aprovecharla, con gusto le doy todos los detalles y le apoyo a calcular su mensualidad. Quedo atento.</t>
        </is>
      </c>
      <c r="I26" s="14" t="inlineStr">
        <is>
          <t>Hola, {NOMBRE}, ¡buenas noticias! Su apartado por la/el *Tacoma HV* quedó registrado correctamente. Suma tecnología híbrida i-FORCE MAX a la capacidad y robustez que caracteriza a Tacoma.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26" s="14" t="inlineStr">
        <is>
          <t>Hola, {NOMBRE}, ¡feliz cumpleaños! Le deseo un excelente día rodeado de quienes más quiere.
Ha sido un gusto acompañarle en su interés por la/el *Tacoma HV*, y quedo a sus órdenes para cualquier cosa que necesite. ¡Un fuerte abrazo!</t>
        </is>
      </c>
    </row>
    <row r="27" ht="90" customHeight="1" s="1">
      <c r="A27" s="21" t="n">
        <v>23</v>
      </c>
      <c r="B27" s="14" t="inlineStr">
        <is>
          <t>Tacoma TRD Pro</t>
        </is>
      </c>
      <c r="C27" s="14" t="inlineStr">
        <is>
          <t>Es la versión tope de gama todo terreno, con el mayor desempeño off-road de la línea Tacoma.</t>
        </is>
      </c>
      <c r="D27" s="14" t="inlineStr">
        <is>
          <t>Hola, {NOMBRE}, excelente día. Le saluda *Alejandro Estrada* de Toyota Corregidora.
Muchas gracias por visitarnos y conocer la/el *Tacoma TRD Pro*. Es la versión tope de gama todo terreno, con el mayor desempeño off-road de la línea Tacoma.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27" s="14" t="inlineStr">
        <is>
          <t>Hola, {NOMBRE}, muy buen día.
Espero que esté teniendo una excelente semana. Le escribo para saber si tiene alguna duda sobre la/el *Tacoma TRD Pro* que revisamos. Es la versión tope de gama todo terreno, con el mayor desempeño off-road de la línea Tacoma.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27" s="14" t="inlineStr">
        <is>
          <t>Hola, {NOMBRE}, buen día. Le escribo para comentarle que tenemos próximas llegadas de la/el *Tacoma TRD Pro* a la agencia. Es la versión tope de gama todo terreno, con el mayor desempeño off-road de la línea Tacoma.
Si le interesa asegurar su unidad antes de que lleguen y elegir color/versión, con gusto le apoyo a apartarla desde ahora. Quedo pendiente de su respuesta.</t>
        </is>
      </c>
      <c r="G27" s="14" t="inlineStr">
        <is>
          <t>Hola, {NOMBRE}, buen día. Le comparto que tenemos disponibilidad inmediata de la/el *Tacoma TRD Pro* en agencia, lista para entrega. Es la versión tope de gama todo terreno, con el mayor desempeño off-road de la línea Tacoma.
Si le interesa aprovechar esta disponibilidad, puedo apartarla hoy mismo para usted y así no esperar tiempos de producción. Quedo al pendiente.</t>
        </is>
      </c>
      <c r="H27" s="14" t="inlineStr">
        <is>
          <t>Hola, {NOMBRE}, buen día. Le comparto que este mes tenemos una promoción especial en la/el *Tacoma TRD Pro*: {PROMO}
Es la versión tope de gama todo terreno, con el mayor desempeño off-road de la línea Tacoma.
Si le interesa aprovecharla, con gusto le doy todos los detalles y le apoyo a calcular su mensualidad. Quedo atento.</t>
        </is>
      </c>
      <c r="I27" s="14" t="inlineStr">
        <is>
          <t>Hola, {NOMBRE}, ¡buenas noticias! Su apartado por la/el *Tacoma TRD Pro* quedó registrado correctamente. Es la versión tope de gama todo terreno, con el mayor desempeño off-road de la línea Tacoma.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27" s="14" t="inlineStr">
        <is>
          <t>Hola, {NOMBRE}, ¡feliz cumpleaños! Le deseo un excelente día rodeado de quienes más quiere.
Ha sido un gusto acompañarle en su interés por la/el *Tacoma TRD Pro*, y quedo a sus órdenes para cualquier cosa que necesite. ¡Un fuerte abrazo!</t>
        </is>
      </c>
    </row>
    <row r="28" ht="90" customHeight="1" s="1">
      <c r="A28" s="21" t="n">
        <v>24</v>
      </c>
      <c r="B28" s="14" t="inlineStr">
        <is>
          <t>4Runner</t>
        </is>
      </c>
      <c r="C28" s="14" t="inlineStr">
        <is>
          <t>Es la SUV todo terreno con la tradición y robustez que la han hecho un ícono en aventura y confiabilidad.</t>
        </is>
      </c>
      <c r="D28" s="14" t="inlineStr">
        <is>
          <t>Hola, {NOMBRE}, excelente día. Le saluda *Alejandro Estrada* de Toyota Corregidora.
Muchas gracias por visitarnos y conocer la/el *4Runner*. Es la SUV todo terreno con la tradición y robustez que la han hecho un ícono en aventura y confiabilidad.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28" s="14" t="inlineStr">
        <is>
          <t>Hola, {NOMBRE}, muy buen día.
Espero que esté teniendo una excelente semana. Le escribo para saber si tiene alguna duda sobre la/el *4Runner* que revisamos. Es la SUV todo terreno con la tradición y robustez que la han hecho un ícono en aventura y confiabilidad.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28" s="14" t="inlineStr">
        <is>
          <t>Hola, {NOMBRE}, buen día. Le escribo para comentarle que tenemos próximas llegadas de la/el *4Runner* a la agencia. Es la SUV todo terreno con la tradición y robustez que la han hecho un ícono en aventura y confiabilidad.
Si le interesa asegurar su unidad antes de que lleguen y elegir color/versión, con gusto le apoyo a apartarla desde ahora. Quedo pendiente de su respuesta.</t>
        </is>
      </c>
      <c r="G28" s="14" t="inlineStr">
        <is>
          <t>Hola, {NOMBRE}, buen día. Le comparto que tenemos disponibilidad inmediata de la/el *4Runner* en agencia, lista para entrega. Es la SUV todo terreno con la tradición y robustez que la han hecho un ícono en aventura y confiabilidad.
Si le interesa aprovechar esta disponibilidad, puedo apartarla hoy mismo para usted y así no esperar tiempos de producción. Quedo al pendiente.</t>
        </is>
      </c>
      <c r="H28" s="14" t="inlineStr">
        <is>
          <t>Hola, {NOMBRE}, buen día. Le comparto que este mes tenemos una promoción especial en la/el *4Runner*: {PROMO}
Es la SUV todo terreno con la tradición y robustez que la han hecho un ícono en aventura y confiabilidad.
Si le interesa aprovecharla, con gusto le doy todos los detalles y le apoyo a calcular su mensualidad. Quedo atento.</t>
        </is>
      </c>
      <c r="I28" s="14" t="inlineStr">
        <is>
          <t>Hola, {NOMBRE}, ¡buenas noticias! Su apartado por la/el *4Runner* quedó registrado correctamente. Es la SUV todo terreno con la tradición y robustez que la han hecho un ícono en aventura y confiabilidad.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28" s="14" t="inlineStr">
        <is>
          <t>Hola, {NOMBRE}, ¡feliz cumpleaños! Le deseo un excelente día rodeado de quienes más quiere.
Ha sido un gusto acompañarle en su interés por la/el *4Runner*, y quedo a sus órdenes para cualquier cosa que necesite. ¡Un fuerte abrazo!</t>
        </is>
      </c>
    </row>
    <row r="29" ht="90" customHeight="1" s="1">
      <c r="A29" s="21" t="n">
        <v>25</v>
      </c>
      <c r="B29" s="14" t="inlineStr">
        <is>
          <t>Tundra</t>
        </is>
      </c>
      <c r="C29" s="14" t="inlineStr">
        <is>
          <t>Es la pickup grande de Toyota, con la mayor capacidad de carga y remolque de la línea.</t>
        </is>
      </c>
      <c r="D29" s="14" t="inlineStr">
        <is>
          <t>Hola, {NOMBRE}, excelente día. Le saluda *Alejandro Estrada* de Toyota Corregidora.
Muchas gracias por visitarnos y conocer la/el *Tundra*. Es la pickup grande de Toyota, con la mayor capacidad de carga y remolque de la línea.
Fue un placer atenderle. Quedo a sus órdenes por este medio para resolver cualquier duda que haya surgido o para agendarle una prueba de manejo.
Quedo muy pendiente de lo que necesite para ayudarle a estrenar su próximo Toyota. ¡Saludos!</t>
        </is>
      </c>
      <c r="E29" s="14" t="inlineStr">
        <is>
          <t>Hola, {NOMBRE}, muy buen día.
Espero que esté teniendo una excelente semana. Le escribo para saber si tiene alguna duda sobre la/el *Tundra* que revisamos. Es la pickup grande de Toyota, con la mayor capacidad de carga y remolque de la línea.
Con gusto le apoyo con información técnica, opciones de financiamiento o para agendarle una prueba de manejo. Quedo atento a sus comentarios para seguir avanzando hacia la entrega de su próximo Toyota. Gracias por su tiempo y confianza.</t>
        </is>
      </c>
      <c r="F29" s="14" t="inlineStr">
        <is>
          <t>Hola, {NOMBRE}, buen día. Le escribo para comentarle que tenemos próximas llegadas de la/el *Tundra* a la agencia. Es la pickup grande de Toyota, con la mayor capacidad de carga y remolque de la línea.
Si le interesa asegurar su unidad antes de que lleguen y elegir color/versión, con gusto le apoyo a apartarla desde ahora. Quedo pendiente de su respuesta.</t>
        </is>
      </c>
      <c r="G29" s="14" t="inlineStr">
        <is>
          <t>Hola, {NOMBRE}, buen día. Le comparto que tenemos disponibilidad inmediata de la/el *Tundra* en agencia, lista para entrega. Es la pickup grande de Toyota, con la mayor capacidad de carga y remolque de la línea.
Si le interesa aprovechar esta disponibilidad, puedo apartarla hoy mismo para usted y así no esperar tiempos de producción. Quedo al pendiente.</t>
        </is>
      </c>
      <c r="H29" s="14" t="inlineStr">
        <is>
          <t>Hola, {NOMBRE}, buen día. Le comparto que este mes tenemos una promoción especial en la/el *Tundra*: {PROMO}
Es la pickup grande de Toyota, con la mayor capacidad de carga y remolque de la línea.
Si le interesa aprovecharla, con gusto le doy todos los detalles y le apoyo a calcular su mensualidad. Quedo atento.</t>
        </is>
      </c>
      <c r="I29" s="14" t="inlineStr">
        <is>
          <t>Hola, {NOMBRE}, ¡buenas noticias! Su apartado por la/el *Tundra* quedó registrado correctamente. Es la pickup grande de Toyota, con la mayor capacidad de carga y remolque de la línea.
A partir de aquí seguimos con el proceso paso a paso y le mantendré informado(a) de cada etapa: toma de vehículo (si aplica), pago, contrato, facturación y programación de entrega. ¡Felicidades por dar este paso hacia su nuevo Toyota!</t>
        </is>
      </c>
      <c r="J29" s="14" t="inlineStr">
        <is>
          <t>Hola, {NOMBRE}, ¡feliz cumpleaños! Le deseo un excelente día rodeado de quienes más quiere.
Ha sido un gusto acompañarle en su interés por la/el *Tundra*, y quedo a sus órdenes para cualquier cosa que necesite. ¡Un fuerte abrazo!</t>
        </is>
      </c>
    </row>
  </sheetData>
  <autoFilter ref="A4:J29"/>
  <mergeCells count="4">
    <mergeCell ref="A1:J1"/>
    <mergeCell ref="A2:B2"/>
    <mergeCell ref="A3:J3"/>
    <mergeCell ref="C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topLeftCell="C2" zoomScaleNormal="100" workbookViewId="0">
      <selection activeCell="A1" sqref="A1"/>
    </sheetView>
  </sheetViews>
  <sheetFormatPr baseColWidth="8" defaultColWidth="8.7421875" defaultRowHeight="15"/>
  <cols>
    <col width="16.0078125" customWidth="1" style="1" min="1" max="1"/>
    <col width="29.99609375" customWidth="1" style="1" min="2" max="2"/>
    <col width="69.94921875" customWidth="1" style="1" min="3" max="3"/>
  </cols>
  <sheetData>
    <row r="1" ht="15.75" customHeight="1" s="1">
      <c r="A1" s="35" t="inlineStr">
        <is>
          <t>Requisitos por método de compra y tipo de persona</t>
        </is>
      </c>
    </row>
    <row r="3" ht="15" customHeight="1" s="1">
      <c r="A3" s="23" t="inlineStr">
        <is>
          <t>Método de Compra</t>
        </is>
      </c>
      <c r="B3" s="23" t="inlineStr">
        <is>
          <t>Tipo de Persona</t>
        </is>
      </c>
      <c r="C3" s="23" t="inlineStr">
        <is>
          <t>Requisito</t>
        </is>
      </c>
    </row>
    <row r="4" ht="15" customHeight="1" s="1">
      <c r="A4" s="10" t="inlineStr">
        <is>
          <t>Crédito</t>
        </is>
      </c>
      <c r="B4" s="10" t="inlineStr">
        <is>
          <t>Persona física</t>
        </is>
      </c>
      <c r="C4" s="10" t="inlineStr">
        <is>
          <t>INE</t>
        </is>
      </c>
    </row>
    <row r="5" ht="15" customHeight="1" s="1">
      <c r="A5" s="10" t="inlineStr">
        <is>
          <t>Crédito</t>
        </is>
      </c>
      <c r="B5" s="10" t="inlineStr">
        <is>
          <t>Persona física</t>
        </is>
      </c>
      <c r="C5" s="10" t="inlineStr">
        <is>
          <t>Comprobante de domicilio (luz), a nombre del titular</t>
        </is>
      </c>
    </row>
    <row r="6" ht="15" customHeight="1" s="1">
      <c r="A6" s="10" t="inlineStr">
        <is>
          <t>Crédito</t>
        </is>
      </c>
      <c r="B6" s="10" t="inlineStr">
        <is>
          <t>Persona física</t>
        </is>
      </c>
      <c r="C6" s="10" t="inlineStr">
        <is>
          <t>Estados de cuenta de los últimos 3 meses</t>
        </is>
      </c>
    </row>
    <row r="7" ht="15" customHeight="1" s="1">
      <c r="A7" s="10" t="inlineStr">
        <is>
          <t>Crédito</t>
        </is>
      </c>
      <c r="B7" s="10" t="inlineStr">
        <is>
          <t>Persona física</t>
        </is>
      </c>
      <c r="C7" s="10" t="inlineStr">
        <is>
          <t>Constancia de situación fiscal (no mayor a 3 meses)</t>
        </is>
      </c>
    </row>
    <row r="8" ht="23.25" customHeight="1" s="1">
      <c r="A8" s="10" t="inlineStr">
        <is>
          <t>Crédito</t>
        </is>
      </c>
      <c r="B8" s="10" t="inlineStr">
        <is>
          <t>Persona física con actividad empresarial</t>
        </is>
      </c>
      <c r="C8" s="10" t="inlineStr">
        <is>
          <t>INE</t>
        </is>
      </c>
    </row>
    <row r="9" ht="23.25" customHeight="1" s="1">
      <c r="A9" s="10" t="inlineStr">
        <is>
          <t>Crédito</t>
        </is>
      </c>
      <c r="B9" s="10" t="inlineStr">
        <is>
          <t>Persona física con actividad empresarial</t>
        </is>
      </c>
      <c r="C9" s="10" t="inlineStr">
        <is>
          <t>Comprobante de domicilio (luz), a nombre del titular</t>
        </is>
      </c>
    </row>
    <row r="10" ht="23.25" customHeight="1" s="1">
      <c r="A10" s="10" t="inlineStr">
        <is>
          <t>Crédito</t>
        </is>
      </c>
      <c r="B10" s="10" t="inlineStr">
        <is>
          <t>Persona física con actividad empresarial</t>
        </is>
      </c>
      <c r="C10" s="10" t="inlineStr">
        <is>
          <t>Estados de cuenta de los últimos 3 meses</t>
        </is>
      </c>
    </row>
    <row r="11" ht="23.25" customHeight="1" s="1">
      <c r="A11" s="10" t="inlineStr">
        <is>
          <t>Crédito</t>
        </is>
      </c>
      <c r="B11" s="10" t="inlineStr">
        <is>
          <t>Persona física con actividad empresarial</t>
        </is>
      </c>
      <c r="C11" s="10" t="inlineStr">
        <is>
          <t>Constancia de situación fiscal (no mayor a 3 meses)</t>
        </is>
      </c>
    </row>
    <row r="12" ht="23.25" customHeight="1" s="1">
      <c r="A12" s="10" t="inlineStr">
        <is>
          <t>Crédito</t>
        </is>
      </c>
      <c r="B12" s="10" t="inlineStr">
        <is>
          <t>Persona física con actividad empresarial</t>
        </is>
      </c>
      <c r="C12" s="10" t="inlineStr">
        <is>
          <t>Última declaración anual con acuse de recibo</t>
        </is>
      </c>
    </row>
    <row r="13" ht="15" customHeight="1" s="1">
      <c r="A13" s="10" t="inlineStr">
        <is>
          <t>Crédito</t>
        </is>
      </c>
      <c r="B13" s="10" t="inlineStr">
        <is>
          <t>Persona moral</t>
        </is>
      </c>
      <c r="C13" s="10" t="inlineStr">
        <is>
          <t>Identificación oficial vigente del representante legal (INE o pasaporte)</t>
        </is>
      </c>
    </row>
    <row r="14" ht="15" customHeight="1" s="1">
      <c r="A14" s="10" t="inlineStr">
        <is>
          <t>Crédito</t>
        </is>
      </c>
      <c r="B14" s="10" t="inlineStr">
        <is>
          <t>Persona moral</t>
        </is>
      </c>
      <c r="C14" s="10" t="inlineStr">
        <is>
          <t>Comprobante de domicilio fiscal de la empresa (CFE, no mayor a 3 meses)</t>
        </is>
      </c>
    </row>
    <row r="15" ht="15" customHeight="1" s="1">
      <c r="A15" s="10" t="inlineStr">
        <is>
          <t>Crédito</t>
        </is>
      </c>
      <c r="B15" s="10" t="inlineStr">
        <is>
          <t>Persona moral</t>
        </is>
      </c>
      <c r="C15" s="10" t="inlineStr">
        <is>
          <t>Comprobante de domicilio del representante legal (CFE, no mayor a 3 meses)</t>
        </is>
      </c>
    </row>
    <row r="16" ht="15" customHeight="1" s="1">
      <c r="A16" s="10" t="inlineStr">
        <is>
          <t>Crédito</t>
        </is>
      </c>
      <c r="B16" s="10" t="inlineStr">
        <is>
          <t>Persona moral</t>
        </is>
      </c>
      <c r="C16" s="10" t="inlineStr">
        <is>
          <t>Últimos 3 meses de estados de cuenta bancarios de la empresa</t>
        </is>
      </c>
    </row>
    <row r="17" ht="15" customHeight="1" s="1">
      <c r="A17" s="10" t="inlineStr">
        <is>
          <t>Crédito</t>
        </is>
      </c>
      <c r="B17" s="10" t="inlineStr">
        <is>
          <t>Persona moral</t>
        </is>
      </c>
      <c r="C17" s="10" t="inlineStr">
        <is>
          <t>Constancia de situación fiscal de la empresa (no mayor a 3 meses)</t>
        </is>
      </c>
    </row>
    <row r="18" ht="15" customHeight="1" s="1">
      <c r="A18" s="10" t="inlineStr">
        <is>
          <t>Crédito</t>
        </is>
      </c>
      <c r="B18" s="10" t="inlineStr">
        <is>
          <t>Persona moral</t>
        </is>
      </c>
      <c r="C18" s="10" t="inlineStr">
        <is>
          <t>Constancia de situación fiscal del representante legal (no mayor a 3 meses)</t>
        </is>
      </c>
    </row>
    <row r="19" ht="15" customHeight="1" s="1">
      <c r="A19" s="10" t="inlineStr">
        <is>
          <t>Crédito</t>
        </is>
      </c>
      <c r="B19" s="10" t="inlineStr">
        <is>
          <t>Persona moral</t>
        </is>
      </c>
      <c r="C19" s="10" t="inlineStr">
        <is>
          <t>Declaración anual del último ejercicio, en digital, con acuse de recibo</t>
        </is>
      </c>
    </row>
    <row r="20" ht="23.25" customHeight="1" s="1">
      <c r="A20" s="10" t="inlineStr">
        <is>
          <t>Crédito</t>
        </is>
      </c>
      <c r="B20" s="10" t="inlineStr">
        <is>
          <t>Persona moral</t>
        </is>
      </c>
      <c r="C20" s="10" t="inlineStr">
        <is>
          <t>Estados financieros de la empresa (Resultados y Balance General), no mayor a 3 meses</t>
        </is>
      </c>
    </row>
    <row r="21" ht="23.25" customHeight="1" s="1">
      <c r="A21" s="10" t="inlineStr">
        <is>
          <t>Crédito</t>
        </is>
      </c>
      <c r="B21" s="10" t="inlineStr">
        <is>
          <t>Persona moral</t>
        </is>
      </c>
      <c r="C21" s="10" t="inlineStr">
        <is>
          <t>Escritura constitutiva, poderes o reformas de estatutos (primer acta, poder del representante y última acta)</t>
        </is>
      </c>
    </row>
    <row r="22" ht="15" customHeight="1" s="1">
      <c r="A22" s="10" t="inlineStr">
        <is>
          <t>Contado</t>
        </is>
      </c>
      <c r="B22" s="10" t="inlineStr">
        <is>
          <t>Persona física</t>
        </is>
      </c>
      <c r="C22" s="10" t="inlineStr">
        <is>
          <t>INE</t>
        </is>
      </c>
    </row>
    <row r="23" ht="15" customHeight="1" s="1">
      <c r="A23" s="10" t="inlineStr">
        <is>
          <t>Contado</t>
        </is>
      </c>
      <c r="B23" s="10" t="inlineStr">
        <is>
          <t>Persona física</t>
        </is>
      </c>
      <c r="C23" s="10" t="inlineStr">
        <is>
          <t>Comprobante de domicilio</t>
        </is>
      </c>
    </row>
    <row r="24" ht="15" customHeight="1" s="1">
      <c r="A24" s="10" t="inlineStr">
        <is>
          <t>Contado</t>
        </is>
      </c>
      <c r="B24" s="10" t="inlineStr">
        <is>
          <t>Persona física</t>
        </is>
      </c>
      <c r="C24" s="10" t="inlineStr">
        <is>
          <t>Constancia de situación fiscal (no mayor a 3 meses)</t>
        </is>
      </c>
    </row>
    <row r="25" ht="23.25" customHeight="1" s="1">
      <c r="A25" s="10" t="inlineStr">
        <is>
          <t>Contado</t>
        </is>
      </c>
      <c r="B25" s="10" t="inlineStr">
        <is>
          <t>Persona física con actividad empresarial</t>
        </is>
      </c>
      <c r="C25" s="10" t="inlineStr">
        <is>
          <t>INE</t>
        </is>
      </c>
    </row>
    <row r="26" ht="23.25" customHeight="1" s="1">
      <c r="A26" s="10" t="inlineStr">
        <is>
          <t>Contado</t>
        </is>
      </c>
      <c r="B26" s="10" t="inlineStr">
        <is>
          <t>Persona física con actividad empresarial</t>
        </is>
      </c>
      <c r="C26" s="10" t="inlineStr">
        <is>
          <t>Comprobante de domicilio</t>
        </is>
      </c>
    </row>
    <row r="27" ht="23.25" customHeight="1" s="1">
      <c r="A27" s="10" t="inlineStr">
        <is>
          <t>Contado</t>
        </is>
      </c>
      <c r="B27" s="10" t="inlineStr">
        <is>
          <t>Persona física con actividad empresarial</t>
        </is>
      </c>
      <c r="C27" s="10" t="inlineStr">
        <is>
          <t>Constancia de situación fiscal (no mayor a 3 meses)</t>
        </is>
      </c>
    </row>
    <row r="28" ht="15" customHeight="1" s="1">
      <c r="A28" s="10" t="inlineStr">
        <is>
          <t>Contado</t>
        </is>
      </c>
      <c r="B28" s="10" t="inlineStr">
        <is>
          <t>Persona moral</t>
        </is>
      </c>
      <c r="C28" s="10" t="inlineStr">
        <is>
          <t>Identificación oficial vigente del representante legal y accionistas</t>
        </is>
      </c>
    </row>
    <row r="29" ht="15" customHeight="1" s="1">
      <c r="A29" s="10" t="inlineStr">
        <is>
          <t>Contado</t>
        </is>
      </c>
      <c r="B29" s="10" t="inlineStr">
        <is>
          <t>Persona moral</t>
        </is>
      </c>
      <c r="C29" s="10" t="inlineStr">
        <is>
          <t>Comprobante de domicilio fiscal de la empresa (no mayor a 3 meses)</t>
        </is>
      </c>
    </row>
    <row r="30" ht="15" customHeight="1" s="1">
      <c r="A30" s="10" t="inlineStr">
        <is>
          <t>Contado</t>
        </is>
      </c>
      <c r="B30" s="10" t="inlineStr">
        <is>
          <t>Persona moral</t>
        </is>
      </c>
      <c r="C30" s="10" t="inlineStr">
        <is>
          <t>Comprobante de domicilio del representante legal y accionistas (no mayor a 3 meses)</t>
        </is>
      </c>
    </row>
    <row r="31" ht="15" customHeight="1" s="1">
      <c r="A31" s="10" t="inlineStr">
        <is>
          <t>Contado</t>
        </is>
      </c>
      <c r="B31" s="10" t="inlineStr">
        <is>
          <t>Persona moral</t>
        </is>
      </c>
      <c r="C31" s="10" t="inlineStr">
        <is>
          <t>Constancia de situación fiscal de la empresa (no mayor a 3 meses)</t>
        </is>
      </c>
    </row>
    <row r="32" ht="23.25" customHeight="1" s="1">
      <c r="A32" s="10" t="inlineStr">
        <is>
          <t>Contado</t>
        </is>
      </c>
      <c r="B32" s="10" t="inlineStr">
        <is>
          <t>Persona moral</t>
        </is>
      </c>
      <c r="C32" s="10" t="inlineStr">
        <is>
          <t>Constancia de situación fiscal del representante legal y accionistas (no mayor a 3 meses)</t>
        </is>
      </c>
    </row>
    <row r="33" ht="23.25" customHeight="1" s="1">
      <c r="A33" s="10" t="inlineStr">
        <is>
          <t>Contado</t>
        </is>
      </c>
      <c r="B33" s="10" t="inlineStr">
        <is>
          <t>Persona moral</t>
        </is>
      </c>
      <c r="C33" s="10" t="inlineStr">
        <is>
          <t>Escritura constitutiva, poderes o reformas de estatutos (primer acta, poder del representante y última acta)</t>
        </is>
      </c>
    </row>
    <row r="36" ht="15" customHeight="1" s="1">
      <c r="A36" s="36" t="inlineStr">
        <is>
          <t>Beneficios del financiamiento Toyota</t>
        </is>
      </c>
    </row>
    <row r="37" ht="23.25" customHeight="1" s="1">
      <c r="A37" t="inlineStr">
        <is>
          <t>•</t>
        </is>
      </c>
      <c r="B37" s="34" t="inlineStr">
        <is>
          <t>Seguro integrado a la mensualidad, con costo fijo durante toda la vigencia del crédito y sin penalización por liquidación anticipada.</t>
        </is>
      </c>
    </row>
    <row r="38" ht="23.25" customHeight="1" s="1">
      <c r="A38" t="inlineStr">
        <is>
          <t>•</t>
        </is>
      </c>
      <c r="B38" s="34" t="inlineStr">
        <is>
          <t>Deducibles preferenciales y agilidad en la indemnización por robo (aprox. 15 a 20 días), con reparaciones siempre en agencia Toyota.</t>
        </is>
      </c>
    </row>
    <row r="39" ht="23.25" customHeight="1" s="1">
      <c r="A39" t="inlineStr">
        <is>
          <t>•</t>
        </is>
      </c>
      <c r="B39" s="34" t="inlineStr">
        <is>
          <t>Protección extendida y asistencia vial hasta por 7 años o 150,000 km, protección de por vida contra robo de autopartes y cobertura de valor factura hasta 4 años.</t>
        </is>
      </c>
    </row>
    <row r="40" ht="23.25" customHeight="1" s="1">
      <c r="A40" t="inlineStr">
        <is>
          <t>•</t>
        </is>
      </c>
      <c r="B40" s="34" t="inlineStr">
        <is>
          <t>Financiamiento flexible: se pueden hacer aportaciones adicionales sin penalización, para reducir la mensualidad o acortar el plazo.</t>
        </is>
      </c>
    </row>
  </sheetData>
  <autoFilter ref="A3:C33"/>
  <mergeCells count="6">
    <mergeCell ref="B39:C39"/>
    <mergeCell ref="B38:C38"/>
    <mergeCell ref="A36:C36"/>
    <mergeCell ref="A1:C1"/>
    <mergeCell ref="B37:C37"/>
    <mergeCell ref="B40:C40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topLeftCell="A4" zoomScaleNormal="100" workbookViewId="0">
      <selection activeCell="B14" sqref="B14"/>
    </sheetView>
  </sheetViews>
  <sheetFormatPr baseColWidth="8" defaultColWidth="8.7421875" defaultRowHeight="15"/>
  <cols>
    <col width="27.98046875" customWidth="1" style="1" min="1" max="1"/>
    <col width="39.953125" customWidth="1" style="1" min="2" max="2"/>
  </cols>
  <sheetData>
    <row r="1" ht="15" customHeight="1" s="1">
      <c r="A1" s="23" t="inlineStr">
        <is>
          <t>Vehículo</t>
        </is>
      </c>
      <c r="B1" s="23" t="inlineStr">
        <is>
          <t>Archivo PDF (carpeta 'fichas')</t>
        </is>
      </c>
    </row>
    <row r="2" ht="15" customHeight="1" s="1">
      <c r="A2" s="24" t="inlineStr">
        <is>
          <t>Yaris Sedan</t>
        </is>
      </c>
      <c r="B2" s="24" t="inlineStr">
        <is>
          <t>Ficha_Yaris_Sedan.pdf</t>
        </is>
      </c>
    </row>
    <row r="3" ht="15" customHeight="1" s="1">
      <c r="A3" s="24" t="inlineStr">
        <is>
          <t>Yaris Sedan HEV</t>
        </is>
      </c>
      <c r="B3" s="24" t="inlineStr">
        <is>
          <t>Ficha_Yaris_Sedan_HEV.pdf</t>
        </is>
      </c>
    </row>
    <row r="4" ht="15" customHeight="1" s="1">
      <c r="A4" s="24" t="inlineStr">
        <is>
          <t>Yaris HB</t>
        </is>
      </c>
      <c r="B4" s="24" t="inlineStr">
        <is>
          <t>Ficha_Yaris_HB.pdf</t>
        </is>
      </c>
    </row>
    <row r="5" ht="15" customHeight="1" s="1">
      <c r="A5" s="24" t="inlineStr">
        <is>
          <t>GR Yaris</t>
        </is>
      </c>
      <c r="B5" s="24" t="inlineStr">
        <is>
          <t>Ficha_GR_Yaris.pdf</t>
        </is>
      </c>
    </row>
    <row r="6" ht="15" customHeight="1" s="1">
      <c r="A6" s="24" t="inlineStr">
        <is>
          <t>Corolla</t>
        </is>
      </c>
      <c r="B6" s="24" t="inlineStr">
        <is>
          <t>Ficha_Corolla.pdf</t>
        </is>
      </c>
    </row>
    <row r="7" ht="15" customHeight="1" s="1">
      <c r="A7" s="24" t="inlineStr">
        <is>
          <t>Corolla HEV</t>
        </is>
      </c>
      <c r="B7" s="24" t="inlineStr">
        <is>
          <t>Ficha_Corolla_HEV.pdf</t>
        </is>
      </c>
    </row>
    <row r="8" ht="15" customHeight="1" s="1">
      <c r="A8" s="24" t="inlineStr">
        <is>
          <t>GR Corolla</t>
        </is>
      </c>
      <c r="B8" s="24" t="inlineStr">
        <is>
          <t>Ficha_GR_Corolla.pdf</t>
        </is>
      </c>
    </row>
    <row r="9" ht="15" customHeight="1" s="1">
      <c r="A9" s="24" t="inlineStr">
        <is>
          <t>Corolla Cross</t>
        </is>
      </c>
      <c r="B9" s="24" t="inlineStr">
        <is>
          <t>Ficha_Corolla_Cross.pdf</t>
        </is>
      </c>
    </row>
    <row r="10" ht="15" customHeight="1" s="1">
      <c r="A10" s="24" t="inlineStr">
        <is>
          <t>Corolla Cross HEV</t>
        </is>
      </c>
      <c r="B10" s="24" t="inlineStr">
        <is>
          <t>Ficha_Corolla_Cross_HEV.pdf</t>
        </is>
      </c>
    </row>
    <row r="11" ht="15" customHeight="1" s="1">
      <c r="A11" s="24" t="inlineStr">
        <is>
          <t>Camry HEV</t>
        </is>
      </c>
      <c r="B11" s="24" t="inlineStr">
        <is>
          <t>Ficha_Camry_HEV.pdf</t>
        </is>
      </c>
    </row>
    <row r="12" ht="15" customHeight="1" s="1">
      <c r="A12" s="24" t="inlineStr">
        <is>
          <t>Prius</t>
        </is>
      </c>
      <c r="B12" s="24" t="inlineStr">
        <is>
          <t>Ficha_Prius.pdf</t>
        </is>
      </c>
    </row>
    <row r="13" ht="15" customHeight="1" s="1">
      <c r="A13" s="24" t="inlineStr">
        <is>
          <t>Supra</t>
        </is>
      </c>
      <c r="B13" s="24" t="inlineStr">
        <is>
          <t>Ficha_Supra.pdf</t>
        </is>
      </c>
    </row>
    <row r="14" ht="15" customHeight="1" s="1">
      <c r="A14" s="24" t="inlineStr">
        <is>
          <t>Raize</t>
        </is>
      </c>
      <c r="B14" s="24" t="inlineStr">
        <is>
          <t>Ficha_Raize.pdf</t>
        </is>
      </c>
    </row>
    <row r="15" ht="15" customHeight="1" s="1">
      <c r="A15" s="24" t="inlineStr">
        <is>
          <t>Avanza</t>
        </is>
      </c>
      <c r="B15" s="24" t="inlineStr">
        <is>
          <t>Ficha_Avanza.pdf</t>
        </is>
      </c>
    </row>
    <row r="16" ht="15" customHeight="1" s="1">
      <c r="A16" s="24" t="inlineStr">
        <is>
          <t>Rav-4 HEV</t>
        </is>
      </c>
      <c r="B16" s="24" t="inlineStr">
        <is>
          <t>Ficha_RAV4_HEV.pdf</t>
        </is>
      </c>
    </row>
    <row r="17" ht="15" customHeight="1" s="1">
      <c r="A17" s="24" t="inlineStr">
        <is>
          <t>Rav-4 PHEV</t>
        </is>
      </c>
      <c r="B17" s="24" t="inlineStr">
        <is>
          <t>Ficha_RAV4_PHEV.pdf</t>
        </is>
      </c>
    </row>
    <row r="18" ht="15" customHeight="1" s="1">
      <c r="A18" s="24" t="inlineStr">
        <is>
          <t>Highlander HEV</t>
        </is>
      </c>
      <c r="B18" s="24" t="inlineStr">
        <is>
          <t>Ficha_Highlander_HEV.pdf</t>
        </is>
      </c>
    </row>
    <row r="19" ht="15" customHeight="1" s="1">
      <c r="A19" s="24" t="inlineStr">
        <is>
          <t>Sienna HEV</t>
        </is>
      </c>
      <c r="B19" s="24" t="inlineStr">
        <is>
          <t>Ficha_Sienna_HEV.pdf</t>
        </is>
      </c>
    </row>
    <row r="20" ht="15" customHeight="1" s="1">
      <c r="A20" s="24" t="inlineStr">
        <is>
          <t>Tacoma</t>
        </is>
      </c>
      <c r="B20" s="24" t="inlineStr">
        <is>
          <t>Ficha_Tacoma.pdf</t>
        </is>
      </c>
    </row>
    <row r="21" ht="15" customHeight="1" s="1">
      <c r="A21" s="24" t="inlineStr">
        <is>
          <t>Tacoma HEV 4x4</t>
        </is>
      </c>
      <c r="B21" s="24" t="inlineStr">
        <is>
          <t>Ficha_Tacoma_HEV_4x4.pdf</t>
        </is>
      </c>
    </row>
    <row r="22" ht="15" customHeight="1" s="1">
      <c r="A22" s="24" t="inlineStr">
        <is>
          <t>Tacoma TRD Pro HEV</t>
        </is>
      </c>
      <c r="B22" s="24" t="inlineStr">
        <is>
          <t>Ficha_Tacoma_TRD_Pro_HEV.pdf</t>
        </is>
      </c>
    </row>
    <row r="23" ht="15" customHeight="1" s="1">
      <c r="A23" s="24" t="inlineStr">
        <is>
          <t>4Runner TRD Pro HEV</t>
        </is>
      </c>
      <c r="B23" s="24" t="inlineStr">
        <is>
          <t>Ficha_4Runner_TRD_Pro_HEV.pdf</t>
        </is>
      </c>
    </row>
    <row r="24" ht="15" customHeight="1" s="1">
      <c r="A24" s="24" t="inlineStr">
        <is>
          <t>4Runner Limited HEV</t>
        </is>
      </c>
      <c r="B24" s="24" t="inlineStr">
        <is>
          <t>Ficha_4Runner_Limited_HEV.pdf</t>
        </is>
      </c>
    </row>
    <row r="25" ht="15" customHeight="1" s="1">
      <c r="A25" s="24" t="inlineStr">
        <is>
          <t>Hiace</t>
        </is>
      </c>
      <c r="B25" s="24" t="inlineStr">
        <is>
          <t>Ficha_Hiace.pdf</t>
        </is>
      </c>
    </row>
    <row r="26" ht="15" customHeight="1" s="1">
      <c r="A26" s="24" t="inlineStr">
        <is>
          <t>Beneficios de Financiamiento</t>
        </is>
      </c>
      <c r="B26" s="24" t="inlineStr">
        <is>
          <t>Beneficios_Financiamiento_Toyota.pdf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01"/>
  <sheetViews>
    <sheetView showGridLines="0" zoomScaleNormal="100" workbookViewId="0">
      <pane xSplit="1" ySplit="1" topLeftCell="B2" activePane="bottomRight" state="frozen"/>
      <selection pane="bottomLeft" activeCell="A2" sqref="A2"/>
      <selection pane="topRight" activeCell="B1" sqref="B1"/>
      <selection pane="bottomRight" activeCell="D2" sqref="D2"/>
    </sheetView>
  </sheetViews>
  <sheetFormatPr baseColWidth="8" defaultColWidth="8.7421875" defaultRowHeight="15"/>
  <cols>
    <col width="20.04296875" customWidth="1" style="1" min="1" max="1"/>
    <col width="16.0078125" customWidth="1" style="1" min="2" max="2"/>
    <col width="25.9609375" customWidth="1" style="1" min="3" max="3"/>
    <col width="16.0078125" customWidth="1" style="1" min="4" max="5"/>
    <col width="13.046875" customWidth="1" style="1" min="6" max="6"/>
    <col width="22.05859375" customWidth="1" style="1" min="7" max="7"/>
    <col width="18.0234375" customWidth="1" style="1" min="8" max="8"/>
    <col width="16.0078125" customWidth="1" style="1" min="9" max="9"/>
    <col width="13.046875" customWidth="1" style="1" min="10" max="10"/>
    <col width="22.05859375" customWidth="1" style="1" min="11" max="11"/>
    <col width="18.0234375" customWidth="1" style="1" min="12" max="12"/>
    <col width="13.98828125" customWidth="1" style="1" min="13" max="13"/>
    <col width="22.05859375" customWidth="1" style="1" min="14" max="14"/>
    <col width="18.0234375" customWidth="1" style="1" min="15" max="15"/>
    <col width="13.98828125" customWidth="1" style="1" min="16" max="16"/>
    <col width="41.96875" customWidth="1" style="1" min="17" max="17"/>
    <col width="18.0234375" customWidth="1" style="1" min="18" max="18"/>
  </cols>
  <sheetData>
    <row r="1" ht="23.25" customHeight="1" s="1">
      <c r="A1" s="25" t="inlineStr">
        <is>
          <t>Cliente</t>
        </is>
      </c>
      <c r="B1" s="25" t="inlineStr">
        <is>
          <t>RFC</t>
        </is>
      </c>
      <c r="C1" s="25" t="inlineStr">
        <is>
          <t>Domicilio Fiscal</t>
        </is>
      </c>
      <c r="D1" s="25" t="inlineStr">
        <is>
          <t>Uso de CFDI</t>
        </is>
      </c>
      <c r="E1" s="25" t="inlineStr">
        <is>
          <t>Régimen</t>
        </is>
      </c>
      <c r="F1" s="25" t="inlineStr">
        <is>
          <t>Tel</t>
        </is>
      </c>
      <c r="G1" s="25" t="inlineStr">
        <is>
          <t>Correo</t>
        </is>
      </c>
      <c r="H1" s="25" t="inlineStr">
        <is>
          <t>Contacto Emergencia</t>
        </is>
      </c>
      <c r="I1" s="25" t="inlineStr">
        <is>
          <t>Conductor</t>
        </is>
      </c>
      <c r="J1" s="25" t="inlineStr">
        <is>
          <t>Tel Conductor</t>
        </is>
      </c>
      <c r="K1" s="25" t="inlineStr">
        <is>
          <t>Correo Conductor</t>
        </is>
      </c>
      <c r="L1" s="25" t="inlineStr">
        <is>
          <t>Responsable Mto.</t>
        </is>
      </c>
      <c r="M1" s="25" t="inlineStr">
        <is>
          <t>Tel Responsable</t>
        </is>
      </c>
      <c r="N1" s="25" t="inlineStr">
        <is>
          <t>Correo Responsable</t>
        </is>
      </c>
      <c r="O1" s="25" t="inlineStr">
        <is>
          <t>Unidad a Facturar</t>
        </is>
      </c>
      <c r="P1" s="25" t="inlineStr">
        <is>
          <t>Valor Factura</t>
        </is>
      </c>
      <c r="Q1" s="25" t="inlineStr">
        <is>
          <t>Mensaje de Confirmación</t>
        </is>
      </c>
      <c r="R1" s="25" t="inlineStr">
        <is>
          <t>WhatsApp Confirmación</t>
        </is>
      </c>
    </row>
    <row r="2" ht="15" customHeight="1" s="1">
      <c r="A2" s="11" t="inlineStr">
        <is>
          <t>YESICA NAYELLI REYES MARTINEZ</t>
        </is>
      </c>
      <c r="B2" s="11" t="inlineStr">
        <is>
          <t>REMY780831FE6</t>
        </is>
      </c>
      <c r="C2" s="11" t="inlineStr">
        <is>
          <t>REFORMA #476, COL. JUAREZ, CUAUHTEMOC, CDMX</t>
        </is>
      </c>
      <c r="D2" s="11" t="inlineStr">
        <is>
          <t>SIN EFECTOS FISCALES</t>
        </is>
      </c>
      <c r="E2" s="11" t="inlineStr">
        <is>
          <t>SUELDOS Y SALARIOS</t>
        </is>
      </c>
      <c r="F2" s="11" t="inlineStr">
        <is>
          <t>5516524745</t>
        </is>
      </c>
      <c r="G2" s="11" t="inlineStr">
        <is>
          <t>NOVELISCA78@GMAIL.COM</t>
        </is>
      </c>
      <c r="H2" s="11" t="inlineStr">
        <is>
          <t>5513552100</t>
        </is>
      </c>
      <c r="I2" s="11" t="inlineStr">
        <is>
          <t>YESICA NAYELLI REYES MARTINEZ</t>
        </is>
      </c>
      <c r="J2" s="11" t="inlineStr">
        <is>
          <t>5516524745</t>
        </is>
      </c>
      <c r="K2" s="11" t="inlineStr">
        <is>
          <t>NOVELISCA78@GMAIL.COM</t>
        </is>
      </c>
      <c r="L2" s="11" t="inlineStr">
        <is>
          <t>YESICA NAYELLI REYES MARTINEZ</t>
        </is>
      </c>
      <c r="M2" s="11" t="inlineStr">
        <is>
          <t>5516524745</t>
        </is>
      </c>
      <c r="N2" s="11" t="inlineStr">
        <is>
          <t>NOVELISCA78@GMAIL.COM</t>
        </is>
      </c>
      <c r="O2" s="11" t="inlineStr">
        <is>
          <t>COROLLA CROSS, LE, COLOR NEGRO, AUTOMATICA</t>
        </is>
      </c>
      <c r="P2" s="11" t="inlineStr">
        <is>
          <t>547,000</t>
        </is>
      </c>
      <c r="Q2" s="10">
        <f>IF(A2="","","Antes de generar su factura, le pido amablemente confirmar que estos datos sean correctos:"&amp;CHAR(10)&amp;CHAR(10)&amp;"La factura se realizará a nombre de: "&amp;B2&amp;CHAR(10)&amp;"RFC: "&amp;C2&amp;CHAR(10)&amp;"Domicilio fiscal (conforme a la constancia): "&amp;D2&amp;CHAR(10)&amp;"Uso de CFDI: "&amp;E2&amp;CHAR(10)&amp;"Régimen: "&amp;F2&amp;CHAR(10)&amp;"Tel: "&amp;G2&amp;CHAR(10)&amp;"Correo: "&amp;H2&amp;CHAR(10)&amp;"Contacto de emergencias: "&amp;I2&amp;CHAR(10)&amp;CHAR(10)&amp;"Conductor: "&amp;J2&amp;CHAR(10)&amp;"Tel: "&amp;K2&amp;CHAR(10)&amp;"Correo: "&amp;L2&amp;CHAR(10)&amp;"Responsable de mantenimiento: "&amp;M2&amp;CHAR(10)&amp;"Tel: "&amp;N2&amp;CHAR(10)&amp;"Correo: "&amp;O2&amp;CHAR(10)&amp;CHAR(10)&amp;"Se factura una unidad: "&amp;P2&amp;CHAR(10)&amp;"Valor factura: "&amp;Q2&amp;CHAR(10)&amp;CHAR(10)&amp;"¿Es correcto, "&amp;A2&amp;"?"&amp;CHAR(10)&amp;CHAR(10)&amp;Config!$B$1)</f>
        <v/>
      </c>
      <c r="R2" s="11">
        <f>IF(A2="","",HYPERLINK("https://wa.me/52"&amp;INDEX(Clientes!$C$2:$C$201,MATCH(A2,Clientes!$B$2:$B$201,0))&amp;"?text="&amp;_xlfn.ENCODEURL(Q2),"Enviar confirmación"))</f>
        <v/>
      </c>
    </row>
    <row r="3" ht="15" customHeight="1" s="1">
      <c r="A3" s="11" t="inlineStr">
        <is>
          <t>SAINTS ENTERPRISES SC</t>
        </is>
      </c>
      <c r="B3" s="11" t="inlineStr">
        <is>
          <t>SEN130712N64</t>
        </is>
      </c>
      <c r="C3" s="11" t="inlineStr">
        <is>
          <t>SANTUARIO DE SRA. DE FRANQUEIRA #93, COL. SANTUARIOS DEL CERRITO, CORREGIDORA, QRO.</t>
        </is>
      </c>
      <c r="D3" s="11" t="inlineStr">
        <is>
          <t>EQUIPO DE TRANSPORTE</t>
        </is>
      </c>
      <c r="E3" s="11" t="inlineStr">
        <is>
          <t>PERSONA MORAL</t>
        </is>
      </c>
      <c r="F3" s="11" t="inlineStr">
        <is>
          <t>4423628789</t>
        </is>
      </c>
      <c r="G3" s="11" t="inlineStr">
        <is>
          <t>SERVICONSULTOR@GMAIL.COM</t>
        </is>
      </c>
      <c r="H3" s="11" t="inlineStr">
        <is>
          <t>4423186494</t>
        </is>
      </c>
      <c r="I3" s="11" t="inlineStr">
        <is>
          <t>VICENTE SANTOS LOPEZ</t>
        </is>
      </c>
      <c r="J3" s="11" t="inlineStr">
        <is>
          <t>4423628789</t>
        </is>
      </c>
      <c r="K3" s="11" t="inlineStr">
        <is>
          <t>SERVICONSULTOR@GMAIL.COM</t>
        </is>
      </c>
      <c r="L3" s="11" t="inlineStr">
        <is>
          <t>VICENTE SANTOS LOPEZ</t>
        </is>
      </c>
      <c r="M3" s="11" t="inlineStr">
        <is>
          <t>4423628789</t>
        </is>
      </c>
      <c r="N3" s="11" t="inlineStr">
        <is>
          <t>SERVICONSULTOR@GMAIL.COM</t>
        </is>
      </c>
      <c r="O3" s="11" t="inlineStr">
        <is>
          <t>CAMRY LE, 2026, COLOR PLATA, AUTOMATICO</t>
        </is>
      </c>
      <c r="P3" s="11" t="inlineStr">
        <is>
          <t>625,600</t>
        </is>
      </c>
      <c r="Q3" s="10">
        <f>IF(A3="","","Antes de generar su factura, le pido amablemente confirmar que estos datos sean correctos:"&amp;CHAR(10)&amp;CHAR(10)&amp;"La factura se realizará a nombre de: "&amp;B3&amp;CHAR(10)&amp;"RFC: "&amp;C3&amp;CHAR(10)&amp;"Domicilio fiscal (conforme a la constancia): "&amp;D3&amp;CHAR(10)&amp;"Uso de CFDI: "&amp;E3&amp;CHAR(10)&amp;"Régimen: "&amp;F3&amp;CHAR(10)&amp;"Tel: "&amp;G3&amp;CHAR(10)&amp;"Correo: "&amp;H3&amp;CHAR(10)&amp;"Contacto de emergencias: "&amp;I3&amp;CHAR(10)&amp;CHAR(10)&amp;"Conductor: "&amp;J3&amp;CHAR(10)&amp;"Tel: "&amp;K3&amp;CHAR(10)&amp;"Correo: "&amp;L3&amp;CHAR(10)&amp;"Responsable de mantenimiento: "&amp;M3&amp;CHAR(10)&amp;"Tel: "&amp;N3&amp;CHAR(10)&amp;"Correo: "&amp;O3&amp;CHAR(10)&amp;CHAR(10)&amp;"Se factura una unidad: "&amp;P3&amp;CHAR(10)&amp;"Valor factura: "&amp;Q3&amp;CHAR(10)&amp;CHAR(10)&amp;"¿Es correcto, "&amp;A3&amp;"?"&amp;CHAR(10)&amp;CHAR(10)&amp;Config!$B$1)</f>
        <v/>
      </c>
      <c r="R3" s="11">
        <f>IF(A3="","",HYPERLINK("https://wa.me/52"&amp;INDEX(Clientes!$C$2:$C$201,MATCH(A3,Clientes!$B$2:$B$201,0))&amp;"?text="&amp;_xlfn.ENCODEURL(Q3),"Enviar confirmación"))</f>
        <v/>
      </c>
    </row>
    <row r="4" ht="15" customHeight="1" s="1">
      <c r="A4" s="11" t="inlineStr">
        <is>
          <t>JAVIER AVICK GONZALEZ MUÑOZ</t>
        </is>
      </c>
      <c r="B4" s="11" t="inlineStr">
        <is>
          <t>GOMJ791011TE1</t>
        </is>
      </c>
      <c r="C4" s="11" t="inlineStr">
        <is>
          <t>BLV. ESMERALDA #3, COL. PUNTA ESMERALDA, EL PUEBLITO, CORREGIDORA, QRO</t>
        </is>
      </c>
      <c r="D4" s="11" t="inlineStr">
        <is>
          <t>EQUIPO DE TRANSPORTE</t>
        </is>
      </c>
      <c r="E4" s="11" t="inlineStr">
        <is>
          <t>PERSONA FÍSICA CON ACTIVIDAD EMPRESARIAL</t>
        </is>
      </c>
      <c r="F4" s="11" t="inlineStr">
        <is>
          <t>4424839331</t>
        </is>
      </c>
      <c r="G4" s="11" t="inlineStr">
        <is>
          <t>AVICK79@HOTMAIL.COM</t>
        </is>
      </c>
      <c r="H4" s="11" t="inlineStr">
        <is>
          <t>4422509120</t>
        </is>
      </c>
      <c r="I4" s="11" t="inlineStr">
        <is>
          <t>JAVIER AVICK GONZALEZ MUÑOZ</t>
        </is>
      </c>
      <c r="J4" s="11" t="inlineStr">
        <is>
          <t>4424839331</t>
        </is>
      </c>
      <c r="K4" s="11" t="inlineStr">
        <is>
          <t>AVICK79@HOTMAIL.COM</t>
        </is>
      </c>
      <c r="L4" s="11" t="inlineStr">
        <is>
          <t>JAVIER AVICK GONZALEZ MUÑOZ</t>
        </is>
      </c>
      <c r="M4" s="11" t="inlineStr">
        <is>
          <t>4424839331</t>
        </is>
      </c>
      <c r="N4" s="11" t="inlineStr">
        <is>
          <t>AVICK79@HOTMAIL.COM</t>
        </is>
      </c>
      <c r="O4" s="11" t="inlineStr">
        <is>
          <t>TACOMA TRD 4X2, 2026, COLOR ROJO, AUTOMATICA</t>
        </is>
      </c>
      <c r="P4" s="11" t="inlineStr">
        <is>
          <t>869,900</t>
        </is>
      </c>
      <c r="Q4" s="10">
        <f>IF(A4="","","Antes de generar su factura, le pido amablemente confirmar que estos datos sean correctos:"&amp;CHAR(10)&amp;CHAR(10)&amp;"La factura se realizará a nombre de: "&amp;B4&amp;CHAR(10)&amp;"RFC: "&amp;C4&amp;CHAR(10)&amp;"Domicilio fiscal (conforme a la constancia): "&amp;D4&amp;CHAR(10)&amp;"Uso de CFDI: "&amp;E4&amp;CHAR(10)&amp;"Régimen: "&amp;F4&amp;CHAR(10)&amp;"Tel: "&amp;G4&amp;CHAR(10)&amp;"Correo: "&amp;H4&amp;CHAR(10)&amp;"Contacto de emergencias: "&amp;I4&amp;CHAR(10)&amp;CHAR(10)&amp;"Conductor: "&amp;J4&amp;CHAR(10)&amp;"Tel: "&amp;K4&amp;CHAR(10)&amp;"Correo: "&amp;L4&amp;CHAR(10)&amp;"Responsable de mantenimiento: "&amp;M4&amp;CHAR(10)&amp;"Tel: "&amp;N4&amp;CHAR(10)&amp;"Correo: "&amp;O4&amp;CHAR(10)&amp;CHAR(10)&amp;"Se factura una unidad: "&amp;P4&amp;CHAR(10)&amp;"Valor factura: "&amp;Q4&amp;CHAR(10)&amp;CHAR(10)&amp;"¿Es correcto, "&amp;A4&amp;"?"&amp;CHAR(10)&amp;CHAR(10)&amp;Config!$B$1)</f>
        <v/>
      </c>
      <c r="R4" s="11">
        <f>IF(A4="","",HYPERLINK("https://wa.me/52"&amp;INDEX(Clientes!$C$2:$C$201,MATCH(A4,Clientes!$B$2:$B$201,0))&amp;"?text="&amp;_xlfn.ENCODEURL(Q4),"Enviar confirmación"))</f>
        <v/>
      </c>
    </row>
    <row r="5" ht="15" customHeight="1" s="1">
      <c r="A5" s="11" t="inlineStr">
        <is>
          <t>ESTEFANA GARCIA SUAREZ</t>
        </is>
      </c>
      <c r="B5" s="11" t="inlineStr">
        <is>
          <t>GASE7011287C7</t>
        </is>
      </c>
      <c r="C5" s="11" t="inlineStr">
        <is>
          <t xml:space="preserve">MESA DEL MORO #71, COL. MISION SAN JOAQUIN, CORREGIDORA, QRO. </t>
        </is>
      </c>
      <c r="D5" s="11" t="inlineStr">
        <is>
          <t>GASTOS EN GENERAL</t>
        </is>
      </c>
      <c r="E5" s="11" t="inlineStr">
        <is>
          <t>SIMPLIFICADO DE CONFIANZA</t>
        </is>
      </c>
      <c r="F5" s="11" t="inlineStr">
        <is>
          <t>4421430912</t>
        </is>
      </c>
      <c r="G5" s="11" t="inlineStr">
        <is>
          <t>MIKA.CHEF@HOTMAIL.COM</t>
        </is>
      </c>
      <c r="H5" s="11" t="inlineStr">
        <is>
          <t>4421208271</t>
        </is>
      </c>
      <c r="I5" s="11" t="inlineStr">
        <is>
          <t>EUSEBIO MORALES ALVAREZ</t>
        </is>
      </c>
      <c r="J5" s="11" t="inlineStr">
        <is>
          <t>4421208271</t>
        </is>
      </c>
      <c r="K5" s="11" t="inlineStr">
        <is>
          <t>MIKA.CHEF@HOTMAIL.COM</t>
        </is>
      </c>
      <c r="L5" s="11" t="inlineStr">
        <is>
          <t>UESEBIO MORALES LAVAREZ</t>
        </is>
      </c>
      <c r="M5" s="11" t="inlineStr">
        <is>
          <t>4421208271</t>
        </is>
      </c>
      <c r="N5" s="11" t="inlineStr">
        <is>
          <t>MIKA.CHEF@HOTMAIL.COM</t>
        </is>
      </c>
      <c r="O5" s="11" t="inlineStr">
        <is>
          <t>HILUX DIESEL, 2027, COLOR BLANCO, AUTOMATICA</t>
        </is>
      </c>
      <c r="P5" s="11" t="inlineStr">
        <is>
          <t>889,900</t>
        </is>
      </c>
      <c r="Q5" s="10">
        <f>IF(A5="","","Antes de generar su factura, le pido amablemente confirmar que estos datos sean correctos:"&amp;CHAR(10)&amp;CHAR(10)&amp;"La factura se realizará a nombre de: "&amp;B5&amp;CHAR(10)&amp;"RFC: "&amp;C5&amp;CHAR(10)&amp;"Domicilio fiscal (conforme a la constancia): "&amp;D5&amp;CHAR(10)&amp;"Uso de CFDI: "&amp;E5&amp;CHAR(10)&amp;"Régimen: "&amp;F5&amp;CHAR(10)&amp;"Tel: "&amp;G5&amp;CHAR(10)&amp;"Correo: "&amp;H5&amp;CHAR(10)&amp;"Contacto de emergencias: "&amp;I5&amp;CHAR(10)&amp;CHAR(10)&amp;"Conductor: "&amp;J5&amp;CHAR(10)&amp;"Tel: "&amp;K5&amp;CHAR(10)&amp;"Correo: "&amp;L5&amp;CHAR(10)&amp;"Responsable de mantenimiento: "&amp;M5&amp;CHAR(10)&amp;"Tel: "&amp;N5&amp;CHAR(10)&amp;"Correo: "&amp;O5&amp;CHAR(10)&amp;CHAR(10)&amp;"Se factura una unidad: "&amp;P5&amp;CHAR(10)&amp;"Valor factura: "&amp;Q5&amp;CHAR(10)&amp;CHAR(10)&amp;"¿Es correcto, "&amp;A5&amp;"?"&amp;CHAR(10)&amp;CHAR(10)&amp;Config!$B$1)</f>
        <v/>
      </c>
      <c r="R5" s="11">
        <f>IF(A5="","",HYPERLINK("https://wa.me/52"&amp;INDEX(Clientes!$C$2:$C$201,MATCH(A5,Clientes!$B$2:$B$201,0))&amp;"?text="&amp;_xlfn.ENCODEURL(Q5),"Enviar confirmación"))</f>
        <v/>
      </c>
    </row>
    <row r="6" ht="15" customHeight="1" s="1">
      <c r="A6" s="11" t="inlineStr">
        <is>
          <t>ESTEFANA GARCIA SUAREZ</t>
        </is>
      </c>
      <c r="B6" s="11" t="inlineStr">
        <is>
          <t>GASE7011287C7</t>
        </is>
      </c>
      <c r="C6" s="11" t="inlineStr">
        <is>
          <t xml:space="preserve">MESA DEL MORO #71, COL. MISION SAN JOAQUIN, CORREGIDORA, QRO. </t>
        </is>
      </c>
      <c r="D6" s="11" t="inlineStr">
        <is>
          <t>GASTOS EN GENERAL</t>
        </is>
      </c>
      <c r="E6" s="11" t="inlineStr">
        <is>
          <t>SIMPLIFICADO DE CONFIANZA</t>
        </is>
      </c>
      <c r="F6" s="11" t="inlineStr">
        <is>
          <t>4421430912</t>
        </is>
      </c>
      <c r="G6" s="11" t="inlineStr">
        <is>
          <t>MIKA.CHEF@HOTMAIL.COM</t>
        </is>
      </c>
      <c r="H6" s="11" t="inlineStr">
        <is>
          <t>4421208271</t>
        </is>
      </c>
      <c r="I6" s="11" t="inlineStr">
        <is>
          <t>EUSEBIO MORALES ALVAREZ</t>
        </is>
      </c>
      <c r="J6" s="11" t="inlineStr">
        <is>
          <t>4421208271</t>
        </is>
      </c>
      <c r="K6" s="11" t="inlineStr">
        <is>
          <t>MIKA.CHEF@HOTMAIL.COM</t>
        </is>
      </c>
      <c r="L6" s="11" t="inlineStr">
        <is>
          <t>UESEBIO MORALES LAVAREZ</t>
        </is>
      </c>
      <c r="M6" s="11" t="inlineStr">
        <is>
          <t>4421208271</t>
        </is>
      </c>
      <c r="N6" s="11" t="inlineStr">
        <is>
          <t>MIKA.CHEF@HOTMAIL.COM</t>
        </is>
      </c>
      <c r="O6" s="11" t="inlineStr">
        <is>
          <t>HILUX DIESEL, 2027, COLOR BLANCO, AUTOMATICA</t>
        </is>
      </c>
      <c r="P6" s="11" t="inlineStr">
        <is>
          <t>889,900</t>
        </is>
      </c>
      <c r="Q6" s="10">
        <f>IF(A6="","","Antes de generar su factura, le pido amablemente confirmar que estos datos sean correctos:"&amp;CHAR(10)&amp;CHAR(10)&amp;"La factura se realizará a nombre de: "&amp;B6&amp;CHAR(10)&amp;"RFC: "&amp;C6&amp;CHAR(10)&amp;"Domicilio fiscal (conforme a la constancia): "&amp;D6&amp;CHAR(10)&amp;"Uso de CFDI: "&amp;E6&amp;CHAR(10)&amp;"Régimen: "&amp;F6&amp;CHAR(10)&amp;"Tel: "&amp;G6&amp;CHAR(10)&amp;"Correo: "&amp;H6&amp;CHAR(10)&amp;"Contacto de emergencias: "&amp;I6&amp;CHAR(10)&amp;CHAR(10)&amp;"Conductor: "&amp;J6&amp;CHAR(10)&amp;"Tel: "&amp;K6&amp;CHAR(10)&amp;"Correo: "&amp;L6&amp;CHAR(10)&amp;"Responsable de mantenimiento: "&amp;M6&amp;CHAR(10)&amp;"Tel: "&amp;N6&amp;CHAR(10)&amp;"Correo: "&amp;O6&amp;CHAR(10)&amp;CHAR(10)&amp;"Se factura una unidad: "&amp;P6&amp;CHAR(10)&amp;"Valor factura: "&amp;Q6&amp;CHAR(10)&amp;CHAR(10)&amp;"¿Es correcto, "&amp;A6&amp;"?"&amp;CHAR(10)&amp;CHAR(10)&amp;Config!$B$1)</f>
        <v/>
      </c>
      <c r="R6" s="11">
        <f>IF(A6="","",HYPERLINK("https://wa.me/52"&amp;INDEX(Clientes!$C$2:$C$201,MATCH(A6,Clientes!$B$2:$B$201,0))&amp;"?text="&amp;_xlfn.ENCODEURL(Q6),"Enviar confirmación"))</f>
        <v/>
      </c>
    </row>
    <row r="7" ht="15" customHeight="1" s="1">
      <c r="A7" s="11" t="inlineStr">
        <is>
          <t>ANA CRISTINA RAMOS HERNANDEZ</t>
        </is>
      </c>
      <c r="B7" s="11" t="inlineStr">
        <is>
          <t>RAHA760724QI0</t>
        </is>
      </c>
      <c r="C7" s="11" t="inlineStr">
        <is>
          <t>PASEO DEL CONDADO #11 INT. 30, COL.OTRA NO ESPECIFICADA EN EL CATALOGO, CORREGIDORA, QRO.</t>
        </is>
      </c>
      <c r="D7" s="11" t="inlineStr">
        <is>
          <t>SIN EFECTOS FISCALES</t>
        </is>
      </c>
      <c r="E7" s="11" t="inlineStr">
        <is>
          <t>SUELOS Y SALARIOS</t>
        </is>
      </c>
      <c r="F7" s="11" t="inlineStr">
        <is>
          <t>4425543638</t>
        </is>
      </c>
      <c r="G7" s="11" t="inlineStr">
        <is>
          <t>MONSET907@GMAIL.COM</t>
        </is>
      </c>
      <c r="H7" s="11" t="inlineStr">
        <is>
          <t>5565609393</t>
        </is>
      </c>
      <c r="I7" s="11" t="inlineStr">
        <is>
          <t>ANA CRISTINA RAMOS HERNANDEZ</t>
        </is>
      </c>
      <c r="J7" s="11" t="inlineStr">
        <is>
          <t>4425543638</t>
        </is>
      </c>
      <c r="K7" s="11" t="inlineStr">
        <is>
          <t>MONSET907@GMAIL.COM</t>
        </is>
      </c>
      <c r="L7" s="11" t="inlineStr">
        <is>
          <t>ANA CRISTINA RAMOS HERNANDEZ</t>
        </is>
      </c>
      <c r="M7" s="11" t="inlineStr">
        <is>
          <t>4425543638</t>
        </is>
      </c>
      <c r="N7" s="11" t="inlineStr">
        <is>
          <t>MONSET907@GMAIL.COM</t>
        </is>
      </c>
      <c r="O7" s="11" t="inlineStr">
        <is>
          <t>RAV4 XLE, COLOR ROJO, 2026, AUTOMATICA</t>
        </is>
      </c>
      <c r="P7" s="11" t="inlineStr">
        <is>
          <t>712,000</t>
        </is>
      </c>
      <c r="Q7" s="10">
        <f>IF(A7="","","Antes de generar su factura, le pido amablemente confirmar que estos datos sean correctos:"&amp;CHAR(10)&amp;CHAR(10)&amp;"La factura se realizará a nombre de: "&amp;B7&amp;CHAR(10)&amp;"RFC: "&amp;C7&amp;CHAR(10)&amp;"Domicilio fiscal (conforme a la constancia): "&amp;D7&amp;CHAR(10)&amp;"Uso de CFDI: "&amp;E7&amp;CHAR(10)&amp;"Régimen: "&amp;F7&amp;CHAR(10)&amp;"Tel: "&amp;G7&amp;CHAR(10)&amp;"Correo: "&amp;H7&amp;CHAR(10)&amp;"Contacto de emergencias: "&amp;I7&amp;CHAR(10)&amp;CHAR(10)&amp;"Conductor: "&amp;J7&amp;CHAR(10)&amp;"Tel: "&amp;K7&amp;CHAR(10)&amp;"Correo: "&amp;L7&amp;CHAR(10)&amp;"Responsable de mantenimiento: "&amp;M7&amp;CHAR(10)&amp;"Tel: "&amp;N7&amp;CHAR(10)&amp;"Correo: "&amp;O7&amp;CHAR(10)&amp;CHAR(10)&amp;"Se factura una unidad: "&amp;P7&amp;CHAR(10)&amp;"Valor factura: "&amp;Q7&amp;CHAR(10)&amp;CHAR(10)&amp;"¿Es correcto, "&amp;A7&amp;"?"&amp;CHAR(10)&amp;CHAR(10)&amp;Config!$B$1)</f>
        <v/>
      </c>
      <c r="R7" s="11">
        <f>IF(A7="","",HYPERLINK("https://wa.me/52"&amp;INDEX(Clientes!$C$2:$C$201,MATCH(A7,Clientes!$B$2:$B$201,0))&amp;"?text="&amp;_xlfn.ENCODEURL(Q7),"Enviar confirmación"))</f>
        <v/>
      </c>
    </row>
    <row r="8" ht="15" customHeight="1" s="1">
      <c r="A8" s="11" t="inlineStr">
        <is>
          <t>ANA CRISTINA RAMOS HERNANDEZ</t>
        </is>
      </c>
      <c r="B8" s="11" t="inlineStr">
        <is>
          <t>RAHA760724QI0</t>
        </is>
      </c>
      <c r="C8" s="11" t="inlineStr">
        <is>
          <t>PASEO DEL CONDADO #11 INT. 30, COL.OTRA NO ESPECIFICADA EN EL CATALOGO, CORREGIDORA, QRO.</t>
        </is>
      </c>
      <c r="D8" s="11" t="inlineStr">
        <is>
          <t>SIN EFECTOS FISCALES</t>
        </is>
      </c>
      <c r="E8" s="11" t="inlineStr">
        <is>
          <t>SUELOS Y SALARIOS</t>
        </is>
      </c>
      <c r="F8" s="11" t="inlineStr">
        <is>
          <t>4425543638</t>
        </is>
      </c>
      <c r="G8" s="11" t="inlineStr">
        <is>
          <t>MONSET2907@GMAIL.COM</t>
        </is>
      </c>
      <c r="H8" s="11" t="inlineStr">
        <is>
          <t>5565609393</t>
        </is>
      </c>
      <c r="I8" s="11" t="inlineStr">
        <is>
          <t>ANA CRISTINA RAMOS HERNANDEZ</t>
        </is>
      </c>
      <c r="J8" s="11" t="inlineStr">
        <is>
          <t>4425543638</t>
        </is>
      </c>
      <c r="K8" s="11" t="inlineStr">
        <is>
          <t>MONSET2907@GMAIL.COM</t>
        </is>
      </c>
      <c r="L8" s="11" t="inlineStr">
        <is>
          <t>ANA CRISTINA RAMOS HERNANDEZ</t>
        </is>
      </c>
      <c r="M8" s="11" t="inlineStr">
        <is>
          <t>4425543638</t>
        </is>
      </c>
      <c r="N8" s="11" t="inlineStr">
        <is>
          <t>MONSET2907@GMAIL.COM</t>
        </is>
      </c>
      <c r="O8" s="11" t="inlineStr">
        <is>
          <t>RAV4 XLE, COLOR ROJO, 2026, AUTOMATICA</t>
        </is>
      </c>
      <c r="P8" s="11" t="inlineStr">
        <is>
          <t>712,000</t>
        </is>
      </c>
      <c r="Q8" s="10">
        <f>IF(A8="","","Antes de generar su factura, le pido amablemente confirmar que estos datos sean correctos:"&amp;CHAR(10)&amp;CHAR(10)&amp;"La factura se realizará a nombre de: "&amp;B8&amp;CHAR(10)&amp;"RFC: "&amp;C8&amp;CHAR(10)&amp;"Domicilio fiscal (conforme a la constancia): "&amp;D8&amp;CHAR(10)&amp;"Uso de CFDI: "&amp;E8&amp;CHAR(10)&amp;"Régimen: "&amp;F8&amp;CHAR(10)&amp;"Tel: "&amp;G8&amp;CHAR(10)&amp;"Correo: "&amp;H8&amp;CHAR(10)&amp;"Contacto de emergencias: "&amp;I8&amp;CHAR(10)&amp;CHAR(10)&amp;"Conductor: "&amp;J8&amp;CHAR(10)&amp;"Tel: "&amp;K8&amp;CHAR(10)&amp;"Correo: "&amp;L8&amp;CHAR(10)&amp;"Responsable de mantenimiento: "&amp;M8&amp;CHAR(10)&amp;"Tel: "&amp;N8&amp;CHAR(10)&amp;"Correo: "&amp;O8&amp;CHAR(10)&amp;CHAR(10)&amp;"Se factura una unidad: "&amp;P8&amp;CHAR(10)&amp;"Valor factura: "&amp;Q8&amp;CHAR(10)&amp;CHAR(10)&amp;"¿Es correcto, "&amp;A8&amp;"?"&amp;CHAR(10)&amp;CHAR(10)&amp;Config!$B$1)</f>
        <v/>
      </c>
      <c r="R8" s="11">
        <f>IF(A8="","",HYPERLINK("https://wa.me/52"&amp;INDEX(Clientes!$C$2:$C$201,MATCH(A8,Clientes!$B$2:$B$201,0))&amp;"?text="&amp;_xlfn.ENCODEURL(Q8),"Enviar confirmación"))</f>
        <v/>
      </c>
    </row>
    <row r="9" ht="15" customHeight="1" s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0">
        <f>IF(A9="","","Antes de generar su factura, le pido amablemente confirmar que estos datos sean correctos:"&amp;CHAR(10)&amp;CHAR(10)&amp;"La factura se realizará a nombre de: "&amp;B9&amp;CHAR(10)&amp;"RFC: "&amp;C9&amp;CHAR(10)&amp;"Domicilio fiscal (conforme a la constancia): "&amp;D9&amp;CHAR(10)&amp;"Uso de CFDI: "&amp;E9&amp;CHAR(10)&amp;"Régimen: "&amp;F9&amp;CHAR(10)&amp;"Tel: "&amp;G9&amp;CHAR(10)&amp;"Correo: "&amp;H9&amp;CHAR(10)&amp;"Contacto de emergencias: "&amp;I9&amp;CHAR(10)&amp;CHAR(10)&amp;"Conductor: "&amp;J9&amp;CHAR(10)&amp;"Tel: "&amp;K9&amp;CHAR(10)&amp;"Correo: "&amp;L9&amp;CHAR(10)&amp;"Responsable de mantenimiento: "&amp;M9&amp;CHAR(10)&amp;"Tel: "&amp;N9&amp;CHAR(10)&amp;"Correo: "&amp;O9&amp;CHAR(10)&amp;CHAR(10)&amp;"Se factura una unidad: "&amp;P9&amp;CHAR(10)&amp;"Valor factura: "&amp;Q9&amp;CHAR(10)&amp;CHAR(10)&amp;"¿Es correcto, "&amp;A9&amp;"?"&amp;CHAR(10)&amp;CHAR(10)&amp;Config!$B$1)</f>
        <v/>
      </c>
      <c r="R9" s="11">
        <f>IF(A9="","",HYPERLINK("https://wa.me/52"&amp;INDEX(Clientes!$C$2:$C$201,MATCH(A9,Clientes!$B$2:$B$201,0))&amp;"?text="&amp;_xlfn.ENCODEURL(Q9),"Enviar confirmación"))</f>
        <v/>
      </c>
    </row>
    <row r="10" ht="15" customHeight="1" s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0">
        <f>IF(A10="","","Antes de generar su factura, le pido amablemente confirmar que estos datos sean correctos:"&amp;CHAR(10)&amp;CHAR(10)&amp;"La factura se realizará a nombre de: "&amp;B10&amp;CHAR(10)&amp;"RFC: "&amp;C10&amp;CHAR(10)&amp;"Domicilio fiscal (conforme a la constancia): "&amp;D10&amp;CHAR(10)&amp;"Uso de CFDI: "&amp;E10&amp;CHAR(10)&amp;"Régimen: "&amp;F10&amp;CHAR(10)&amp;"Tel: "&amp;G10&amp;CHAR(10)&amp;"Correo: "&amp;H10&amp;CHAR(10)&amp;"Contacto de emergencias: "&amp;I10&amp;CHAR(10)&amp;CHAR(10)&amp;"Conductor: "&amp;J10&amp;CHAR(10)&amp;"Tel: "&amp;K10&amp;CHAR(10)&amp;"Correo: "&amp;L10&amp;CHAR(10)&amp;"Responsable de mantenimiento: "&amp;M10&amp;CHAR(10)&amp;"Tel: "&amp;N10&amp;CHAR(10)&amp;"Correo: "&amp;O10&amp;CHAR(10)&amp;CHAR(10)&amp;"Se factura una unidad: "&amp;P10&amp;CHAR(10)&amp;"Valor factura: "&amp;Q10&amp;CHAR(10)&amp;CHAR(10)&amp;"¿Es correcto, "&amp;A10&amp;"?"&amp;CHAR(10)&amp;CHAR(10)&amp;Config!$B$1)</f>
        <v/>
      </c>
      <c r="R10" s="11">
        <f>IF(A10="","",HYPERLINK("https://wa.me/52"&amp;INDEX(Clientes!$C$2:$C$201,MATCH(A10,Clientes!$B$2:$B$201,0))&amp;"?text="&amp;_xlfn.ENCODEURL(Q10),"Enviar confirmación"))</f>
        <v/>
      </c>
    </row>
    <row r="11" ht="15" customHeight="1" s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0">
        <f>IF(A11="","","Antes de generar su factura, le pido amablemente confirmar que estos datos sean correctos:"&amp;CHAR(10)&amp;CHAR(10)&amp;"La factura se realizará a nombre de: "&amp;B11&amp;CHAR(10)&amp;"RFC: "&amp;C11&amp;CHAR(10)&amp;"Domicilio fiscal (conforme a la constancia): "&amp;D11&amp;CHAR(10)&amp;"Uso de CFDI: "&amp;E11&amp;CHAR(10)&amp;"Régimen: "&amp;F11&amp;CHAR(10)&amp;"Tel: "&amp;G11&amp;CHAR(10)&amp;"Correo: "&amp;H11&amp;CHAR(10)&amp;"Contacto de emergencias: "&amp;I11&amp;CHAR(10)&amp;CHAR(10)&amp;"Conductor: "&amp;J11&amp;CHAR(10)&amp;"Tel: "&amp;K11&amp;CHAR(10)&amp;"Correo: "&amp;L11&amp;CHAR(10)&amp;"Responsable de mantenimiento: "&amp;M11&amp;CHAR(10)&amp;"Tel: "&amp;N11&amp;CHAR(10)&amp;"Correo: "&amp;O11&amp;CHAR(10)&amp;CHAR(10)&amp;"Se factura una unidad: "&amp;P11&amp;CHAR(10)&amp;"Valor factura: "&amp;Q11&amp;CHAR(10)&amp;CHAR(10)&amp;"¿Es correcto, "&amp;A11&amp;"?"&amp;CHAR(10)&amp;CHAR(10)&amp;Config!$B$1)</f>
        <v/>
      </c>
      <c r="R11" s="11">
        <f>IF(A11="","",HYPERLINK("https://wa.me/52"&amp;INDEX(Clientes!$C$2:$C$201,MATCH(A11,Clientes!$B$2:$B$201,0))&amp;"?text="&amp;_xlfn.ENCODEURL(Q11),"Enviar confirmación"))</f>
        <v/>
      </c>
    </row>
    <row r="12" ht="15" customHeight="1" s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0">
        <f>IF(A12="","","Antes de generar su factura, le pido amablemente confirmar que estos datos sean correctos:"&amp;CHAR(10)&amp;CHAR(10)&amp;"La factura se realizará a nombre de: "&amp;B12&amp;CHAR(10)&amp;"RFC: "&amp;C12&amp;CHAR(10)&amp;"Domicilio fiscal (conforme a la constancia): "&amp;D12&amp;CHAR(10)&amp;"Uso de CFDI: "&amp;E12&amp;CHAR(10)&amp;"Régimen: "&amp;F12&amp;CHAR(10)&amp;"Tel: "&amp;G12&amp;CHAR(10)&amp;"Correo: "&amp;H12&amp;CHAR(10)&amp;"Contacto de emergencias: "&amp;I12&amp;CHAR(10)&amp;CHAR(10)&amp;"Conductor: "&amp;J12&amp;CHAR(10)&amp;"Tel: "&amp;K12&amp;CHAR(10)&amp;"Correo: "&amp;L12&amp;CHAR(10)&amp;"Responsable de mantenimiento: "&amp;M12&amp;CHAR(10)&amp;"Tel: "&amp;N12&amp;CHAR(10)&amp;"Correo: "&amp;O12&amp;CHAR(10)&amp;CHAR(10)&amp;"Se factura una unidad: "&amp;P12&amp;CHAR(10)&amp;"Valor factura: "&amp;Q12&amp;CHAR(10)&amp;CHAR(10)&amp;"¿Es correcto, "&amp;A12&amp;"?"&amp;CHAR(10)&amp;CHAR(10)&amp;Config!$B$1)</f>
        <v/>
      </c>
      <c r="R12" s="11">
        <f>IF(A12="","",HYPERLINK("https://wa.me/52"&amp;INDEX(Clientes!$C$2:$C$201,MATCH(A12,Clientes!$B$2:$B$201,0))&amp;"?text="&amp;_xlfn.ENCODEURL(Q12),"Enviar confirmación"))</f>
        <v/>
      </c>
    </row>
    <row r="13" ht="15" customHeight="1" s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0">
        <f>IF(A13="","","Antes de generar su factura, le pido amablemente confirmar que estos datos sean correctos:"&amp;CHAR(10)&amp;CHAR(10)&amp;"La factura se realizará a nombre de: "&amp;B13&amp;CHAR(10)&amp;"RFC: "&amp;C13&amp;CHAR(10)&amp;"Domicilio fiscal (conforme a la constancia): "&amp;D13&amp;CHAR(10)&amp;"Uso de CFDI: "&amp;E13&amp;CHAR(10)&amp;"Régimen: "&amp;F13&amp;CHAR(10)&amp;"Tel: "&amp;G13&amp;CHAR(10)&amp;"Correo: "&amp;H13&amp;CHAR(10)&amp;"Contacto de emergencias: "&amp;I13&amp;CHAR(10)&amp;CHAR(10)&amp;"Conductor: "&amp;J13&amp;CHAR(10)&amp;"Tel: "&amp;K13&amp;CHAR(10)&amp;"Correo: "&amp;L13&amp;CHAR(10)&amp;"Responsable de mantenimiento: "&amp;M13&amp;CHAR(10)&amp;"Tel: "&amp;N13&amp;CHAR(10)&amp;"Correo: "&amp;O13&amp;CHAR(10)&amp;CHAR(10)&amp;"Se factura una unidad: "&amp;P13&amp;CHAR(10)&amp;"Valor factura: "&amp;Q13&amp;CHAR(10)&amp;CHAR(10)&amp;"¿Es correcto, "&amp;A13&amp;"?"&amp;CHAR(10)&amp;CHAR(10)&amp;Config!$B$1)</f>
        <v/>
      </c>
      <c r="R13" s="11">
        <f>IF(A13="","",HYPERLINK("https://wa.me/52"&amp;INDEX(Clientes!$C$2:$C$201,MATCH(A13,Clientes!$B$2:$B$201,0))&amp;"?text="&amp;_xlfn.ENCODEURL(Q13),"Enviar confirmación"))</f>
        <v/>
      </c>
    </row>
    <row r="14" ht="15" customHeight="1" s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0">
        <f>IF(A14="","","Antes de generar su factura, le pido amablemente confirmar que estos datos sean correctos:"&amp;CHAR(10)&amp;CHAR(10)&amp;"La factura se realizará a nombre de: "&amp;B14&amp;CHAR(10)&amp;"RFC: "&amp;C14&amp;CHAR(10)&amp;"Domicilio fiscal (conforme a la constancia): "&amp;D14&amp;CHAR(10)&amp;"Uso de CFDI: "&amp;E14&amp;CHAR(10)&amp;"Régimen: "&amp;F14&amp;CHAR(10)&amp;"Tel: "&amp;G14&amp;CHAR(10)&amp;"Correo: "&amp;H14&amp;CHAR(10)&amp;"Contacto de emergencias: "&amp;I14&amp;CHAR(10)&amp;CHAR(10)&amp;"Conductor: "&amp;J14&amp;CHAR(10)&amp;"Tel: "&amp;K14&amp;CHAR(10)&amp;"Correo: "&amp;L14&amp;CHAR(10)&amp;"Responsable de mantenimiento: "&amp;M14&amp;CHAR(10)&amp;"Tel: "&amp;N14&amp;CHAR(10)&amp;"Correo: "&amp;O14&amp;CHAR(10)&amp;CHAR(10)&amp;"Se factura una unidad: "&amp;P14&amp;CHAR(10)&amp;"Valor factura: "&amp;Q14&amp;CHAR(10)&amp;CHAR(10)&amp;"¿Es correcto, "&amp;A14&amp;"?"&amp;CHAR(10)&amp;CHAR(10)&amp;Config!$B$1)</f>
        <v/>
      </c>
      <c r="R14" s="11">
        <f>IF(A14="","",HYPERLINK("https://wa.me/52"&amp;INDEX(Clientes!$C$2:$C$201,MATCH(A14,Clientes!$B$2:$B$201,0))&amp;"?text="&amp;_xlfn.ENCODEURL(Q14),"Enviar confirmación"))</f>
        <v/>
      </c>
    </row>
    <row r="15" ht="15" customHeight="1" s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0">
        <f>IF(A15="","","Antes de generar su factura, le pido amablemente confirmar que estos datos sean correctos:"&amp;CHAR(10)&amp;CHAR(10)&amp;"La factura se realizará a nombre de: "&amp;B15&amp;CHAR(10)&amp;"RFC: "&amp;C15&amp;CHAR(10)&amp;"Domicilio fiscal (conforme a la constancia): "&amp;D15&amp;CHAR(10)&amp;"Uso de CFDI: "&amp;E15&amp;CHAR(10)&amp;"Régimen: "&amp;F15&amp;CHAR(10)&amp;"Tel: "&amp;G15&amp;CHAR(10)&amp;"Correo: "&amp;H15&amp;CHAR(10)&amp;"Contacto de emergencias: "&amp;I15&amp;CHAR(10)&amp;CHAR(10)&amp;"Conductor: "&amp;J15&amp;CHAR(10)&amp;"Tel: "&amp;K15&amp;CHAR(10)&amp;"Correo: "&amp;L15&amp;CHAR(10)&amp;"Responsable de mantenimiento: "&amp;M15&amp;CHAR(10)&amp;"Tel: "&amp;N15&amp;CHAR(10)&amp;"Correo: "&amp;O15&amp;CHAR(10)&amp;CHAR(10)&amp;"Se factura una unidad: "&amp;P15&amp;CHAR(10)&amp;"Valor factura: "&amp;Q15&amp;CHAR(10)&amp;CHAR(10)&amp;"¿Es correcto, "&amp;A15&amp;"?"&amp;CHAR(10)&amp;CHAR(10)&amp;Config!$B$1)</f>
        <v/>
      </c>
      <c r="R15" s="11">
        <f>IF(A15="","",HYPERLINK("https://wa.me/52"&amp;INDEX(Clientes!$C$2:$C$201,MATCH(A15,Clientes!$B$2:$B$201,0))&amp;"?text="&amp;_xlfn.ENCODEURL(Q15),"Enviar confirmación"))</f>
        <v/>
      </c>
    </row>
    <row r="16" ht="15" customHeight="1" s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0">
        <f>IF(A16="","","Antes de generar su factura, le pido amablemente confirmar que estos datos sean correctos:"&amp;CHAR(10)&amp;CHAR(10)&amp;"La factura se realizará a nombre de: "&amp;B16&amp;CHAR(10)&amp;"RFC: "&amp;C16&amp;CHAR(10)&amp;"Domicilio fiscal (conforme a la constancia): "&amp;D16&amp;CHAR(10)&amp;"Uso de CFDI: "&amp;E16&amp;CHAR(10)&amp;"Régimen: "&amp;F16&amp;CHAR(10)&amp;"Tel: "&amp;G16&amp;CHAR(10)&amp;"Correo: "&amp;H16&amp;CHAR(10)&amp;"Contacto de emergencias: "&amp;I16&amp;CHAR(10)&amp;CHAR(10)&amp;"Conductor: "&amp;J16&amp;CHAR(10)&amp;"Tel: "&amp;K16&amp;CHAR(10)&amp;"Correo: "&amp;L16&amp;CHAR(10)&amp;"Responsable de mantenimiento: "&amp;M16&amp;CHAR(10)&amp;"Tel: "&amp;N16&amp;CHAR(10)&amp;"Correo: "&amp;O16&amp;CHAR(10)&amp;CHAR(10)&amp;"Se factura una unidad: "&amp;P16&amp;CHAR(10)&amp;"Valor factura: "&amp;Q16&amp;CHAR(10)&amp;CHAR(10)&amp;"¿Es correcto, "&amp;A16&amp;"?"&amp;CHAR(10)&amp;CHAR(10)&amp;Config!$B$1)</f>
        <v/>
      </c>
      <c r="R16" s="11">
        <f>IF(A16="","",HYPERLINK("https://wa.me/52"&amp;INDEX(Clientes!$C$2:$C$201,MATCH(A16,Clientes!$B$2:$B$201,0))&amp;"?text="&amp;_xlfn.ENCODEURL(Q16),"Enviar confirmación"))</f>
        <v/>
      </c>
    </row>
    <row r="17" ht="15" customHeight="1" s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0">
        <f>IF(A17="","","Antes de generar su factura, le pido amablemente confirmar que estos datos sean correctos:"&amp;CHAR(10)&amp;CHAR(10)&amp;"La factura se realizará a nombre de: "&amp;B17&amp;CHAR(10)&amp;"RFC: "&amp;C17&amp;CHAR(10)&amp;"Domicilio fiscal (conforme a la constancia): "&amp;D17&amp;CHAR(10)&amp;"Uso de CFDI: "&amp;E17&amp;CHAR(10)&amp;"Régimen: "&amp;F17&amp;CHAR(10)&amp;"Tel: "&amp;G17&amp;CHAR(10)&amp;"Correo: "&amp;H17&amp;CHAR(10)&amp;"Contacto de emergencias: "&amp;I17&amp;CHAR(10)&amp;CHAR(10)&amp;"Conductor: "&amp;J17&amp;CHAR(10)&amp;"Tel: "&amp;K17&amp;CHAR(10)&amp;"Correo: "&amp;L17&amp;CHAR(10)&amp;"Responsable de mantenimiento: "&amp;M17&amp;CHAR(10)&amp;"Tel: "&amp;N17&amp;CHAR(10)&amp;"Correo: "&amp;O17&amp;CHAR(10)&amp;CHAR(10)&amp;"Se factura una unidad: "&amp;P17&amp;CHAR(10)&amp;"Valor factura: "&amp;Q17&amp;CHAR(10)&amp;CHAR(10)&amp;"¿Es correcto, "&amp;A17&amp;"?"&amp;CHAR(10)&amp;CHAR(10)&amp;Config!$B$1)</f>
        <v/>
      </c>
      <c r="R17" s="11">
        <f>IF(A17="","",HYPERLINK("https://wa.me/52"&amp;INDEX(Clientes!$C$2:$C$201,MATCH(A17,Clientes!$B$2:$B$201,0))&amp;"?text="&amp;_xlfn.ENCODEURL(Q17),"Enviar confirmación"))</f>
        <v/>
      </c>
    </row>
    <row r="18" ht="15" customHeight="1" s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0">
        <f>IF(A18="","","Antes de generar su factura, le pido amablemente confirmar que estos datos sean correctos:"&amp;CHAR(10)&amp;CHAR(10)&amp;"La factura se realizará a nombre de: "&amp;B18&amp;CHAR(10)&amp;"RFC: "&amp;C18&amp;CHAR(10)&amp;"Domicilio fiscal (conforme a la constancia): "&amp;D18&amp;CHAR(10)&amp;"Uso de CFDI: "&amp;E18&amp;CHAR(10)&amp;"Régimen: "&amp;F18&amp;CHAR(10)&amp;"Tel: "&amp;G18&amp;CHAR(10)&amp;"Correo: "&amp;H18&amp;CHAR(10)&amp;"Contacto de emergencias: "&amp;I18&amp;CHAR(10)&amp;CHAR(10)&amp;"Conductor: "&amp;J18&amp;CHAR(10)&amp;"Tel: "&amp;K18&amp;CHAR(10)&amp;"Correo: "&amp;L18&amp;CHAR(10)&amp;"Responsable de mantenimiento: "&amp;M18&amp;CHAR(10)&amp;"Tel: "&amp;N18&amp;CHAR(10)&amp;"Correo: "&amp;O18&amp;CHAR(10)&amp;CHAR(10)&amp;"Se factura una unidad: "&amp;P18&amp;CHAR(10)&amp;"Valor factura: "&amp;Q18&amp;CHAR(10)&amp;CHAR(10)&amp;"¿Es correcto, "&amp;A18&amp;"?"&amp;CHAR(10)&amp;CHAR(10)&amp;Config!$B$1)</f>
        <v/>
      </c>
      <c r="R18" s="11">
        <f>IF(A18="","",HYPERLINK("https://wa.me/52"&amp;INDEX(Clientes!$C$2:$C$201,MATCH(A18,Clientes!$B$2:$B$201,0))&amp;"?text="&amp;_xlfn.ENCODEURL(Q18),"Enviar confirmación"))</f>
        <v/>
      </c>
    </row>
    <row r="19" ht="15" customHeight="1" s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0">
        <f>IF(A19="","","Antes de generar su factura, le pido amablemente confirmar que estos datos sean correctos:"&amp;CHAR(10)&amp;CHAR(10)&amp;"La factura se realizará a nombre de: "&amp;B19&amp;CHAR(10)&amp;"RFC: "&amp;C19&amp;CHAR(10)&amp;"Domicilio fiscal (conforme a la constancia): "&amp;D19&amp;CHAR(10)&amp;"Uso de CFDI: "&amp;E19&amp;CHAR(10)&amp;"Régimen: "&amp;F19&amp;CHAR(10)&amp;"Tel: "&amp;G19&amp;CHAR(10)&amp;"Correo: "&amp;H19&amp;CHAR(10)&amp;"Contacto de emergencias: "&amp;I19&amp;CHAR(10)&amp;CHAR(10)&amp;"Conductor: "&amp;J19&amp;CHAR(10)&amp;"Tel: "&amp;K19&amp;CHAR(10)&amp;"Correo: "&amp;L19&amp;CHAR(10)&amp;"Responsable de mantenimiento: "&amp;M19&amp;CHAR(10)&amp;"Tel: "&amp;N19&amp;CHAR(10)&amp;"Correo: "&amp;O19&amp;CHAR(10)&amp;CHAR(10)&amp;"Se factura una unidad: "&amp;P19&amp;CHAR(10)&amp;"Valor factura: "&amp;Q19&amp;CHAR(10)&amp;CHAR(10)&amp;"¿Es correcto, "&amp;A19&amp;"?"&amp;CHAR(10)&amp;CHAR(10)&amp;Config!$B$1)</f>
        <v/>
      </c>
      <c r="R19" s="11">
        <f>IF(A19="","",HYPERLINK("https://wa.me/52"&amp;INDEX(Clientes!$C$2:$C$201,MATCH(A19,Clientes!$B$2:$B$201,0))&amp;"?text="&amp;_xlfn.ENCODEURL(Q19),"Enviar confirmación"))</f>
        <v/>
      </c>
    </row>
    <row r="20" ht="15" customHeight="1" s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0">
        <f>IF(A20="","","Antes de generar su factura, le pido amablemente confirmar que estos datos sean correctos:"&amp;CHAR(10)&amp;CHAR(10)&amp;"La factura se realizará a nombre de: "&amp;B20&amp;CHAR(10)&amp;"RFC: "&amp;C20&amp;CHAR(10)&amp;"Domicilio fiscal (conforme a la constancia): "&amp;D20&amp;CHAR(10)&amp;"Uso de CFDI: "&amp;E20&amp;CHAR(10)&amp;"Régimen: "&amp;F20&amp;CHAR(10)&amp;"Tel: "&amp;G20&amp;CHAR(10)&amp;"Correo: "&amp;H20&amp;CHAR(10)&amp;"Contacto de emergencias: "&amp;I20&amp;CHAR(10)&amp;CHAR(10)&amp;"Conductor: "&amp;J20&amp;CHAR(10)&amp;"Tel: "&amp;K20&amp;CHAR(10)&amp;"Correo: "&amp;L20&amp;CHAR(10)&amp;"Responsable de mantenimiento: "&amp;M20&amp;CHAR(10)&amp;"Tel: "&amp;N20&amp;CHAR(10)&amp;"Correo: "&amp;O20&amp;CHAR(10)&amp;CHAR(10)&amp;"Se factura una unidad: "&amp;P20&amp;CHAR(10)&amp;"Valor factura: "&amp;Q20&amp;CHAR(10)&amp;CHAR(10)&amp;"¿Es correcto, "&amp;A20&amp;"?"&amp;CHAR(10)&amp;CHAR(10)&amp;Config!$B$1)</f>
        <v/>
      </c>
      <c r="R20" s="11">
        <f>IF(A20="","",HYPERLINK("https://wa.me/52"&amp;INDEX(Clientes!$C$2:$C$201,MATCH(A20,Clientes!$B$2:$B$201,0))&amp;"?text="&amp;_xlfn.ENCODEURL(Q20),"Enviar confirmación"))</f>
        <v/>
      </c>
    </row>
    <row r="21" ht="15" customHeight="1" s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0">
        <f>IF(A21="","","Antes de generar su factura, le pido amablemente confirmar que estos datos sean correctos:"&amp;CHAR(10)&amp;CHAR(10)&amp;"La factura se realizará a nombre de: "&amp;B21&amp;CHAR(10)&amp;"RFC: "&amp;C21&amp;CHAR(10)&amp;"Domicilio fiscal (conforme a la constancia): "&amp;D21&amp;CHAR(10)&amp;"Uso de CFDI: "&amp;E21&amp;CHAR(10)&amp;"Régimen: "&amp;F21&amp;CHAR(10)&amp;"Tel: "&amp;G21&amp;CHAR(10)&amp;"Correo: "&amp;H21&amp;CHAR(10)&amp;"Contacto de emergencias: "&amp;I21&amp;CHAR(10)&amp;CHAR(10)&amp;"Conductor: "&amp;J21&amp;CHAR(10)&amp;"Tel: "&amp;K21&amp;CHAR(10)&amp;"Correo: "&amp;L21&amp;CHAR(10)&amp;"Responsable de mantenimiento: "&amp;M21&amp;CHAR(10)&amp;"Tel: "&amp;N21&amp;CHAR(10)&amp;"Correo: "&amp;O21&amp;CHAR(10)&amp;CHAR(10)&amp;"Se factura una unidad: "&amp;P21&amp;CHAR(10)&amp;"Valor factura: "&amp;Q21&amp;CHAR(10)&amp;CHAR(10)&amp;"¿Es correcto, "&amp;A21&amp;"?"&amp;CHAR(10)&amp;CHAR(10)&amp;Config!$B$1)</f>
        <v/>
      </c>
      <c r="R21" s="11">
        <f>IF(A21="","",HYPERLINK("https://wa.me/52"&amp;INDEX(Clientes!$C$2:$C$201,MATCH(A21,Clientes!$B$2:$B$201,0))&amp;"?text="&amp;_xlfn.ENCODEURL(Q21),"Enviar confirmación"))</f>
        <v/>
      </c>
    </row>
    <row r="22" ht="15" customHeight="1" s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0">
        <f>IF(A22="","","Antes de generar su factura, le pido amablemente confirmar que estos datos sean correctos:"&amp;CHAR(10)&amp;CHAR(10)&amp;"La factura se realizará a nombre de: "&amp;B22&amp;CHAR(10)&amp;"RFC: "&amp;C22&amp;CHAR(10)&amp;"Domicilio fiscal (conforme a la constancia): "&amp;D22&amp;CHAR(10)&amp;"Uso de CFDI: "&amp;E22&amp;CHAR(10)&amp;"Régimen: "&amp;F22&amp;CHAR(10)&amp;"Tel: "&amp;G22&amp;CHAR(10)&amp;"Correo: "&amp;H22&amp;CHAR(10)&amp;"Contacto de emergencias: "&amp;I22&amp;CHAR(10)&amp;CHAR(10)&amp;"Conductor: "&amp;J22&amp;CHAR(10)&amp;"Tel: "&amp;K22&amp;CHAR(10)&amp;"Correo: "&amp;L22&amp;CHAR(10)&amp;"Responsable de mantenimiento: "&amp;M22&amp;CHAR(10)&amp;"Tel: "&amp;N22&amp;CHAR(10)&amp;"Correo: "&amp;O22&amp;CHAR(10)&amp;CHAR(10)&amp;"Se factura una unidad: "&amp;P22&amp;CHAR(10)&amp;"Valor factura: "&amp;Q22&amp;CHAR(10)&amp;CHAR(10)&amp;"¿Es correcto, "&amp;A22&amp;"?"&amp;CHAR(10)&amp;CHAR(10)&amp;Config!$B$1)</f>
        <v/>
      </c>
      <c r="R22" s="11">
        <f>IF(A22="","",HYPERLINK("https://wa.me/52"&amp;INDEX(Clientes!$C$2:$C$201,MATCH(A22,Clientes!$B$2:$B$201,0))&amp;"?text="&amp;_xlfn.ENCODEURL(Q22),"Enviar confirmación"))</f>
        <v/>
      </c>
    </row>
    <row r="23" ht="15" customHeight="1" s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0">
        <f>IF(A23="","","Antes de generar su factura, le pido amablemente confirmar que estos datos sean correctos:"&amp;CHAR(10)&amp;CHAR(10)&amp;"La factura se realizará a nombre de: "&amp;B23&amp;CHAR(10)&amp;"RFC: "&amp;C23&amp;CHAR(10)&amp;"Domicilio fiscal (conforme a la constancia): "&amp;D23&amp;CHAR(10)&amp;"Uso de CFDI: "&amp;E23&amp;CHAR(10)&amp;"Régimen: "&amp;F23&amp;CHAR(10)&amp;"Tel: "&amp;G23&amp;CHAR(10)&amp;"Correo: "&amp;H23&amp;CHAR(10)&amp;"Contacto de emergencias: "&amp;I23&amp;CHAR(10)&amp;CHAR(10)&amp;"Conductor: "&amp;J23&amp;CHAR(10)&amp;"Tel: "&amp;K23&amp;CHAR(10)&amp;"Correo: "&amp;L23&amp;CHAR(10)&amp;"Responsable de mantenimiento: "&amp;M23&amp;CHAR(10)&amp;"Tel: "&amp;N23&amp;CHAR(10)&amp;"Correo: "&amp;O23&amp;CHAR(10)&amp;CHAR(10)&amp;"Se factura una unidad: "&amp;P23&amp;CHAR(10)&amp;"Valor factura: "&amp;Q23&amp;CHAR(10)&amp;CHAR(10)&amp;"¿Es correcto, "&amp;A23&amp;"?"&amp;CHAR(10)&amp;CHAR(10)&amp;Config!$B$1)</f>
        <v/>
      </c>
      <c r="R23" s="11">
        <f>IF(A23="","",HYPERLINK("https://wa.me/52"&amp;INDEX(Clientes!$C$2:$C$201,MATCH(A23,Clientes!$B$2:$B$201,0))&amp;"?text="&amp;_xlfn.ENCODEURL(Q23),"Enviar confirmación"))</f>
        <v/>
      </c>
    </row>
    <row r="24" ht="15" customHeight="1" s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0">
        <f>IF(A24="","","Antes de generar su factura, le pido amablemente confirmar que estos datos sean correctos:"&amp;CHAR(10)&amp;CHAR(10)&amp;"La factura se realizará a nombre de: "&amp;B24&amp;CHAR(10)&amp;"RFC: "&amp;C24&amp;CHAR(10)&amp;"Domicilio fiscal (conforme a la constancia): "&amp;D24&amp;CHAR(10)&amp;"Uso de CFDI: "&amp;E24&amp;CHAR(10)&amp;"Régimen: "&amp;F24&amp;CHAR(10)&amp;"Tel: "&amp;G24&amp;CHAR(10)&amp;"Correo: "&amp;H24&amp;CHAR(10)&amp;"Contacto de emergencias: "&amp;I24&amp;CHAR(10)&amp;CHAR(10)&amp;"Conductor: "&amp;J24&amp;CHAR(10)&amp;"Tel: "&amp;K24&amp;CHAR(10)&amp;"Correo: "&amp;L24&amp;CHAR(10)&amp;"Responsable de mantenimiento: "&amp;M24&amp;CHAR(10)&amp;"Tel: "&amp;N24&amp;CHAR(10)&amp;"Correo: "&amp;O24&amp;CHAR(10)&amp;CHAR(10)&amp;"Se factura una unidad: "&amp;P24&amp;CHAR(10)&amp;"Valor factura: "&amp;Q24&amp;CHAR(10)&amp;CHAR(10)&amp;"¿Es correcto, "&amp;A24&amp;"?"&amp;CHAR(10)&amp;CHAR(10)&amp;Config!$B$1)</f>
        <v/>
      </c>
      <c r="R24" s="11">
        <f>IF(A24="","",HYPERLINK("https://wa.me/52"&amp;INDEX(Clientes!$C$2:$C$201,MATCH(A24,Clientes!$B$2:$B$201,0))&amp;"?text="&amp;_xlfn.ENCODEURL(Q24),"Enviar confirmación"))</f>
        <v/>
      </c>
    </row>
    <row r="25" ht="15" customHeight="1" s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0">
        <f>IF(A25="","","Antes de generar su factura, le pido amablemente confirmar que estos datos sean correctos:"&amp;CHAR(10)&amp;CHAR(10)&amp;"La factura se realizará a nombre de: "&amp;B25&amp;CHAR(10)&amp;"RFC: "&amp;C25&amp;CHAR(10)&amp;"Domicilio fiscal (conforme a la constancia): "&amp;D25&amp;CHAR(10)&amp;"Uso de CFDI: "&amp;E25&amp;CHAR(10)&amp;"Régimen: "&amp;F25&amp;CHAR(10)&amp;"Tel: "&amp;G25&amp;CHAR(10)&amp;"Correo: "&amp;H25&amp;CHAR(10)&amp;"Contacto de emergencias: "&amp;I25&amp;CHAR(10)&amp;CHAR(10)&amp;"Conductor: "&amp;J25&amp;CHAR(10)&amp;"Tel: "&amp;K25&amp;CHAR(10)&amp;"Correo: "&amp;L25&amp;CHAR(10)&amp;"Responsable de mantenimiento: "&amp;M25&amp;CHAR(10)&amp;"Tel: "&amp;N25&amp;CHAR(10)&amp;"Correo: "&amp;O25&amp;CHAR(10)&amp;CHAR(10)&amp;"Se factura una unidad: "&amp;P25&amp;CHAR(10)&amp;"Valor factura: "&amp;Q25&amp;CHAR(10)&amp;CHAR(10)&amp;"¿Es correcto, "&amp;A25&amp;"?"&amp;CHAR(10)&amp;CHAR(10)&amp;Config!$B$1)</f>
        <v/>
      </c>
      <c r="R25" s="11">
        <f>IF(A25="","",HYPERLINK("https://wa.me/52"&amp;INDEX(Clientes!$C$2:$C$201,MATCH(A25,Clientes!$B$2:$B$201,0))&amp;"?text="&amp;_xlfn.ENCODEURL(Q25),"Enviar confirmación"))</f>
        <v/>
      </c>
    </row>
    <row r="26" ht="15" customHeight="1" s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0">
        <f>IF(A26="","","Antes de generar su factura, le pido amablemente confirmar que estos datos sean correctos:"&amp;CHAR(10)&amp;CHAR(10)&amp;"La factura se realizará a nombre de: "&amp;B26&amp;CHAR(10)&amp;"RFC: "&amp;C26&amp;CHAR(10)&amp;"Domicilio fiscal (conforme a la constancia): "&amp;D26&amp;CHAR(10)&amp;"Uso de CFDI: "&amp;E26&amp;CHAR(10)&amp;"Régimen: "&amp;F26&amp;CHAR(10)&amp;"Tel: "&amp;G26&amp;CHAR(10)&amp;"Correo: "&amp;H26&amp;CHAR(10)&amp;"Contacto de emergencias: "&amp;I26&amp;CHAR(10)&amp;CHAR(10)&amp;"Conductor: "&amp;J26&amp;CHAR(10)&amp;"Tel: "&amp;K26&amp;CHAR(10)&amp;"Correo: "&amp;L26&amp;CHAR(10)&amp;"Responsable de mantenimiento: "&amp;M26&amp;CHAR(10)&amp;"Tel: "&amp;N26&amp;CHAR(10)&amp;"Correo: "&amp;O26&amp;CHAR(10)&amp;CHAR(10)&amp;"Se factura una unidad: "&amp;P26&amp;CHAR(10)&amp;"Valor factura: "&amp;Q26&amp;CHAR(10)&amp;CHAR(10)&amp;"¿Es correcto, "&amp;A26&amp;"?"&amp;CHAR(10)&amp;CHAR(10)&amp;Config!$B$1)</f>
        <v/>
      </c>
      <c r="R26" s="11">
        <f>IF(A26="","",HYPERLINK("https://wa.me/52"&amp;INDEX(Clientes!$C$2:$C$201,MATCH(A26,Clientes!$B$2:$B$201,0))&amp;"?text="&amp;_xlfn.ENCODEURL(Q26),"Enviar confirmación"))</f>
        <v/>
      </c>
    </row>
    <row r="27" ht="15" customHeight="1" s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0">
        <f>IF(A27="","","Antes de generar su factura, le pido amablemente confirmar que estos datos sean correctos:"&amp;CHAR(10)&amp;CHAR(10)&amp;"La factura se realizará a nombre de: "&amp;B27&amp;CHAR(10)&amp;"RFC: "&amp;C27&amp;CHAR(10)&amp;"Domicilio fiscal (conforme a la constancia): "&amp;D27&amp;CHAR(10)&amp;"Uso de CFDI: "&amp;E27&amp;CHAR(10)&amp;"Régimen: "&amp;F27&amp;CHAR(10)&amp;"Tel: "&amp;G27&amp;CHAR(10)&amp;"Correo: "&amp;H27&amp;CHAR(10)&amp;"Contacto de emergencias: "&amp;I27&amp;CHAR(10)&amp;CHAR(10)&amp;"Conductor: "&amp;J27&amp;CHAR(10)&amp;"Tel: "&amp;K27&amp;CHAR(10)&amp;"Correo: "&amp;L27&amp;CHAR(10)&amp;"Responsable de mantenimiento: "&amp;M27&amp;CHAR(10)&amp;"Tel: "&amp;N27&amp;CHAR(10)&amp;"Correo: "&amp;O27&amp;CHAR(10)&amp;CHAR(10)&amp;"Se factura una unidad: "&amp;P27&amp;CHAR(10)&amp;"Valor factura: "&amp;Q27&amp;CHAR(10)&amp;CHAR(10)&amp;"¿Es correcto, "&amp;A27&amp;"?"&amp;CHAR(10)&amp;CHAR(10)&amp;Config!$B$1)</f>
        <v/>
      </c>
      <c r="R27" s="11">
        <f>IF(A27="","",HYPERLINK("https://wa.me/52"&amp;INDEX(Clientes!$C$2:$C$201,MATCH(A27,Clientes!$B$2:$B$201,0))&amp;"?text="&amp;_xlfn.ENCODEURL(Q27),"Enviar confirmación"))</f>
        <v/>
      </c>
    </row>
    <row r="28" ht="15" customHeight="1" s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0">
        <f>IF(A28="","","Antes de generar su factura, le pido amablemente confirmar que estos datos sean correctos:"&amp;CHAR(10)&amp;CHAR(10)&amp;"La factura se realizará a nombre de: "&amp;B28&amp;CHAR(10)&amp;"RFC: "&amp;C28&amp;CHAR(10)&amp;"Domicilio fiscal (conforme a la constancia): "&amp;D28&amp;CHAR(10)&amp;"Uso de CFDI: "&amp;E28&amp;CHAR(10)&amp;"Régimen: "&amp;F28&amp;CHAR(10)&amp;"Tel: "&amp;G28&amp;CHAR(10)&amp;"Correo: "&amp;H28&amp;CHAR(10)&amp;"Contacto de emergencias: "&amp;I28&amp;CHAR(10)&amp;CHAR(10)&amp;"Conductor: "&amp;J28&amp;CHAR(10)&amp;"Tel: "&amp;K28&amp;CHAR(10)&amp;"Correo: "&amp;L28&amp;CHAR(10)&amp;"Responsable de mantenimiento: "&amp;M28&amp;CHAR(10)&amp;"Tel: "&amp;N28&amp;CHAR(10)&amp;"Correo: "&amp;O28&amp;CHAR(10)&amp;CHAR(10)&amp;"Se factura una unidad: "&amp;P28&amp;CHAR(10)&amp;"Valor factura: "&amp;Q28&amp;CHAR(10)&amp;CHAR(10)&amp;"¿Es correcto, "&amp;A28&amp;"?"&amp;CHAR(10)&amp;CHAR(10)&amp;Config!$B$1)</f>
        <v/>
      </c>
      <c r="R28" s="11">
        <f>IF(A28="","",HYPERLINK("https://wa.me/52"&amp;INDEX(Clientes!$C$2:$C$201,MATCH(A28,Clientes!$B$2:$B$201,0))&amp;"?text="&amp;_xlfn.ENCODEURL(Q28),"Enviar confirmación"))</f>
        <v/>
      </c>
    </row>
    <row r="29" ht="15" customHeight="1" s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0">
        <f>IF(A29="","","Antes de generar su factura, le pido amablemente confirmar que estos datos sean correctos:"&amp;CHAR(10)&amp;CHAR(10)&amp;"La factura se realizará a nombre de: "&amp;B29&amp;CHAR(10)&amp;"RFC: "&amp;C29&amp;CHAR(10)&amp;"Domicilio fiscal (conforme a la constancia): "&amp;D29&amp;CHAR(10)&amp;"Uso de CFDI: "&amp;E29&amp;CHAR(10)&amp;"Régimen: "&amp;F29&amp;CHAR(10)&amp;"Tel: "&amp;G29&amp;CHAR(10)&amp;"Correo: "&amp;H29&amp;CHAR(10)&amp;"Contacto de emergencias: "&amp;I29&amp;CHAR(10)&amp;CHAR(10)&amp;"Conductor: "&amp;J29&amp;CHAR(10)&amp;"Tel: "&amp;K29&amp;CHAR(10)&amp;"Correo: "&amp;L29&amp;CHAR(10)&amp;"Responsable de mantenimiento: "&amp;M29&amp;CHAR(10)&amp;"Tel: "&amp;N29&amp;CHAR(10)&amp;"Correo: "&amp;O29&amp;CHAR(10)&amp;CHAR(10)&amp;"Se factura una unidad: "&amp;P29&amp;CHAR(10)&amp;"Valor factura: "&amp;Q29&amp;CHAR(10)&amp;CHAR(10)&amp;"¿Es correcto, "&amp;A29&amp;"?"&amp;CHAR(10)&amp;CHAR(10)&amp;Config!$B$1)</f>
        <v/>
      </c>
      <c r="R29" s="11">
        <f>IF(A29="","",HYPERLINK("https://wa.me/52"&amp;INDEX(Clientes!$C$2:$C$201,MATCH(A29,Clientes!$B$2:$B$201,0))&amp;"?text="&amp;_xlfn.ENCODEURL(Q29),"Enviar confirmación"))</f>
        <v/>
      </c>
    </row>
    <row r="30" ht="15" customHeight="1" s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0">
        <f>IF(A30="","","Antes de generar su factura, le pido amablemente confirmar que estos datos sean correctos:"&amp;CHAR(10)&amp;CHAR(10)&amp;"La factura se realizará a nombre de: "&amp;B30&amp;CHAR(10)&amp;"RFC: "&amp;C30&amp;CHAR(10)&amp;"Domicilio fiscal (conforme a la constancia): "&amp;D30&amp;CHAR(10)&amp;"Uso de CFDI: "&amp;E30&amp;CHAR(10)&amp;"Régimen: "&amp;F30&amp;CHAR(10)&amp;"Tel: "&amp;G30&amp;CHAR(10)&amp;"Correo: "&amp;H30&amp;CHAR(10)&amp;"Contacto de emergencias: "&amp;I30&amp;CHAR(10)&amp;CHAR(10)&amp;"Conductor: "&amp;J30&amp;CHAR(10)&amp;"Tel: "&amp;K30&amp;CHAR(10)&amp;"Correo: "&amp;L30&amp;CHAR(10)&amp;"Responsable de mantenimiento: "&amp;M30&amp;CHAR(10)&amp;"Tel: "&amp;N30&amp;CHAR(10)&amp;"Correo: "&amp;O30&amp;CHAR(10)&amp;CHAR(10)&amp;"Se factura una unidad: "&amp;P30&amp;CHAR(10)&amp;"Valor factura: "&amp;Q30&amp;CHAR(10)&amp;CHAR(10)&amp;"¿Es correcto, "&amp;A30&amp;"?"&amp;CHAR(10)&amp;CHAR(10)&amp;Config!$B$1)</f>
        <v/>
      </c>
      <c r="R30" s="11">
        <f>IF(A30="","",HYPERLINK("https://wa.me/52"&amp;INDEX(Clientes!$C$2:$C$201,MATCH(A30,Clientes!$B$2:$B$201,0))&amp;"?text="&amp;_xlfn.ENCODEURL(Q30),"Enviar confirmación"))</f>
        <v/>
      </c>
    </row>
    <row r="31" ht="15" customHeight="1" s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0">
        <f>IF(A31="","","Antes de generar su factura, le pido amablemente confirmar que estos datos sean correctos:"&amp;CHAR(10)&amp;CHAR(10)&amp;"La factura se realizará a nombre de: "&amp;B31&amp;CHAR(10)&amp;"RFC: "&amp;C31&amp;CHAR(10)&amp;"Domicilio fiscal (conforme a la constancia): "&amp;D31&amp;CHAR(10)&amp;"Uso de CFDI: "&amp;E31&amp;CHAR(10)&amp;"Régimen: "&amp;F31&amp;CHAR(10)&amp;"Tel: "&amp;G31&amp;CHAR(10)&amp;"Correo: "&amp;H31&amp;CHAR(10)&amp;"Contacto de emergencias: "&amp;I31&amp;CHAR(10)&amp;CHAR(10)&amp;"Conductor: "&amp;J31&amp;CHAR(10)&amp;"Tel: "&amp;K31&amp;CHAR(10)&amp;"Correo: "&amp;L31&amp;CHAR(10)&amp;"Responsable de mantenimiento: "&amp;M31&amp;CHAR(10)&amp;"Tel: "&amp;N31&amp;CHAR(10)&amp;"Correo: "&amp;O31&amp;CHAR(10)&amp;CHAR(10)&amp;"Se factura una unidad: "&amp;P31&amp;CHAR(10)&amp;"Valor factura: "&amp;Q31&amp;CHAR(10)&amp;CHAR(10)&amp;"¿Es correcto, "&amp;A31&amp;"?"&amp;CHAR(10)&amp;CHAR(10)&amp;Config!$B$1)</f>
        <v/>
      </c>
      <c r="R31" s="11">
        <f>IF(A31="","",HYPERLINK("https://wa.me/52"&amp;INDEX(Clientes!$C$2:$C$201,MATCH(A31,Clientes!$B$2:$B$201,0))&amp;"?text="&amp;_xlfn.ENCODEURL(Q31),"Enviar confirmación"))</f>
        <v/>
      </c>
    </row>
    <row r="32" ht="15" customHeight="1" s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0">
        <f>IF(A32="","","Antes de generar su factura, le pido amablemente confirmar que estos datos sean correctos:"&amp;CHAR(10)&amp;CHAR(10)&amp;"La factura se realizará a nombre de: "&amp;B32&amp;CHAR(10)&amp;"RFC: "&amp;C32&amp;CHAR(10)&amp;"Domicilio fiscal (conforme a la constancia): "&amp;D32&amp;CHAR(10)&amp;"Uso de CFDI: "&amp;E32&amp;CHAR(10)&amp;"Régimen: "&amp;F32&amp;CHAR(10)&amp;"Tel: "&amp;G32&amp;CHAR(10)&amp;"Correo: "&amp;H32&amp;CHAR(10)&amp;"Contacto de emergencias: "&amp;I32&amp;CHAR(10)&amp;CHAR(10)&amp;"Conductor: "&amp;J32&amp;CHAR(10)&amp;"Tel: "&amp;K32&amp;CHAR(10)&amp;"Correo: "&amp;L32&amp;CHAR(10)&amp;"Responsable de mantenimiento: "&amp;M32&amp;CHAR(10)&amp;"Tel: "&amp;N32&amp;CHAR(10)&amp;"Correo: "&amp;O32&amp;CHAR(10)&amp;CHAR(10)&amp;"Se factura una unidad: "&amp;P32&amp;CHAR(10)&amp;"Valor factura: "&amp;Q32&amp;CHAR(10)&amp;CHAR(10)&amp;"¿Es correcto, "&amp;A32&amp;"?"&amp;CHAR(10)&amp;CHAR(10)&amp;Config!$B$1)</f>
        <v/>
      </c>
      <c r="R32" s="11">
        <f>IF(A32="","",HYPERLINK("https://wa.me/52"&amp;INDEX(Clientes!$C$2:$C$201,MATCH(A32,Clientes!$B$2:$B$201,0))&amp;"?text="&amp;_xlfn.ENCODEURL(Q32),"Enviar confirmación"))</f>
        <v/>
      </c>
    </row>
    <row r="33" ht="15" customHeight="1" s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0">
        <f>IF(A33="","","Antes de generar su factura, le pido amablemente confirmar que estos datos sean correctos:"&amp;CHAR(10)&amp;CHAR(10)&amp;"La factura se realizará a nombre de: "&amp;B33&amp;CHAR(10)&amp;"RFC: "&amp;C33&amp;CHAR(10)&amp;"Domicilio fiscal (conforme a la constancia): "&amp;D33&amp;CHAR(10)&amp;"Uso de CFDI: "&amp;E33&amp;CHAR(10)&amp;"Régimen: "&amp;F33&amp;CHAR(10)&amp;"Tel: "&amp;G33&amp;CHAR(10)&amp;"Correo: "&amp;H33&amp;CHAR(10)&amp;"Contacto de emergencias: "&amp;I33&amp;CHAR(10)&amp;CHAR(10)&amp;"Conductor: "&amp;J33&amp;CHAR(10)&amp;"Tel: "&amp;K33&amp;CHAR(10)&amp;"Correo: "&amp;L33&amp;CHAR(10)&amp;"Responsable de mantenimiento: "&amp;M33&amp;CHAR(10)&amp;"Tel: "&amp;N33&amp;CHAR(10)&amp;"Correo: "&amp;O33&amp;CHAR(10)&amp;CHAR(10)&amp;"Se factura una unidad: "&amp;P33&amp;CHAR(10)&amp;"Valor factura: "&amp;Q33&amp;CHAR(10)&amp;CHAR(10)&amp;"¿Es correcto, "&amp;A33&amp;"?"&amp;CHAR(10)&amp;CHAR(10)&amp;Config!$B$1)</f>
        <v/>
      </c>
      <c r="R33" s="11">
        <f>IF(A33="","",HYPERLINK("https://wa.me/52"&amp;INDEX(Clientes!$C$2:$C$201,MATCH(A33,Clientes!$B$2:$B$201,0))&amp;"?text="&amp;_xlfn.ENCODEURL(Q33),"Enviar confirmación"))</f>
        <v/>
      </c>
    </row>
    <row r="34" ht="15" customHeight="1" s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0">
        <f>IF(A34="","","Antes de generar su factura, le pido amablemente confirmar que estos datos sean correctos:"&amp;CHAR(10)&amp;CHAR(10)&amp;"La factura se realizará a nombre de: "&amp;B34&amp;CHAR(10)&amp;"RFC: "&amp;C34&amp;CHAR(10)&amp;"Domicilio fiscal (conforme a la constancia): "&amp;D34&amp;CHAR(10)&amp;"Uso de CFDI: "&amp;E34&amp;CHAR(10)&amp;"Régimen: "&amp;F34&amp;CHAR(10)&amp;"Tel: "&amp;G34&amp;CHAR(10)&amp;"Correo: "&amp;H34&amp;CHAR(10)&amp;"Contacto de emergencias: "&amp;I34&amp;CHAR(10)&amp;CHAR(10)&amp;"Conductor: "&amp;J34&amp;CHAR(10)&amp;"Tel: "&amp;K34&amp;CHAR(10)&amp;"Correo: "&amp;L34&amp;CHAR(10)&amp;"Responsable de mantenimiento: "&amp;M34&amp;CHAR(10)&amp;"Tel: "&amp;N34&amp;CHAR(10)&amp;"Correo: "&amp;O34&amp;CHAR(10)&amp;CHAR(10)&amp;"Se factura una unidad: "&amp;P34&amp;CHAR(10)&amp;"Valor factura: "&amp;Q34&amp;CHAR(10)&amp;CHAR(10)&amp;"¿Es correcto, "&amp;A34&amp;"?"&amp;CHAR(10)&amp;CHAR(10)&amp;Config!$B$1)</f>
        <v/>
      </c>
      <c r="R34" s="11">
        <f>IF(A34="","",HYPERLINK("https://wa.me/52"&amp;INDEX(Clientes!$C$2:$C$201,MATCH(A34,Clientes!$B$2:$B$201,0))&amp;"?text="&amp;_xlfn.ENCODEURL(Q34),"Enviar confirmación"))</f>
        <v/>
      </c>
    </row>
    <row r="35" ht="15" customHeight="1" s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0">
        <f>IF(A35="","","Antes de generar su factura, le pido amablemente confirmar que estos datos sean correctos:"&amp;CHAR(10)&amp;CHAR(10)&amp;"La factura se realizará a nombre de: "&amp;B35&amp;CHAR(10)&amp;"RFC: "&amp;C35&amp;CHAR(10)&amp;"Domicilio fiscal (conforme a la constancia): "&amp;D35&amp;CHAR(10)&amp;"Uso de CFDI: "&amp;E35&amp;CHAR(10)&amp;"Régimen: "&amp;F35&amp;CHAR(10)&amp;"Tel: "&amp;G35&amp;CHAR(10)&amp;"Correo: "&amp;H35&amp;CHAR(10)&amp;"Contacto de emergencias: "&amp;I35&amp;CHAR(10)&amp;CHAR(10)&amp;"Conductor: "&amp;J35&amp;CHAR(10)&amp;"Tel: "&amp;K35&amp;CHAR(10)&amp;"Correo: "&amp;L35&amp;CHAR(10)&amp;"Responsable de mantenimiento: "&amp;M35&amp;CHAR(10)&amp;"Tel: "&amp;N35&amp;CHAR(10)&amp;"Correo: "&amp;O35&amp;CHAR(10)&amp;CHAR(10)&amp;"Se factura una unidad: "&amp;P35&amp;CHAR(10)&amp;"Valor factura: "&amp;Q35&amp;CHAR(10)&amp;CHAR(10)&amp;"¿Es correcto, "&amp;A35&amp;"?"&amp;CHAR(10)&amp;CHAR(10)&amp;Config!$B$1)</f>
        <v/>
      </c>
      <c r="R35" s="11">
        <f>IF(A35="","",HYPERLINK("https://wa.me/52"&amp;INDEX(Clientes!$C$2:$C$201,MATCH(A35,Clientes!$B$2:$B$201,0))&amp;"?text="&amp;_xlfn.ENCODEURL(Q35),"Enviar confirmación"))</f>
        <v/>
      </c>
    </row>
    <row r="36" ht="15" customHeight="1" s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0">
        <f>IF(A36="","","Antes de generar su factura, le pido amablemente confirmar que estos datos sean correctos:"&amp;CHAR(10)&amp;CHAR(10)&amp;"La factura se realizará a nombre de: "&amp;B36&amp;CHAR(10)&amp;"RFC: "&amp;C36&amp;CHAR(10)&amp;"Domicilio fiscal (conforme a la constancia): "&amp;D36&amp;CHAR(10)&amp;"Uso de CFDI: "&amp;E36&amp;CHAR(10)&amp;"Régimen: "&amp;F36&amp;CHAR(10)&amp;"Tel: "&amp;G36&amp;CHAR(10)&amp;"Correo: "&amp;H36&amp;CHAR(10)&amp;"Contacto de emergencias: "&amp;I36&amp;CHAR(10)&amp;CHAR(10)&amp;"Conductor: "&amp;J36&amp;CHAR(10)&amp;"Tel: "&amp;K36&amp;CHAR(10)&amp;"Correo: "&amp;L36&amp;CHAR(10)&amp;"Responsable de mantenimiento: "&amp;M36&amp;CHAR(10)&amp;"Tel: "&amp;N36&amp;CHAR(10)&amp;"Correo: "&amp;O36&amp;CHAR(10)&amp;CHAR(10)&amp;"Se factura una unidad: "&amp;P36&amp;CHAR(10)&amp;"Valor factura: "&amp;Q36&amp;CHAR(10)&amp;CHAR(10)&amp;"¿Es correcto, "&amp;A36&amp;"?"&amp;CHAR(10)&amp;CHAR(10)&amp;Config!$B$1)</f>
        <v/>
      </c>
      <c r="R36" s="11">
        <f>IF(A36="","",HYPERLINK("https://wa.me/52"&amp;INDEX(Clientes!$C$2:$C$201,MATCH(A36,Clientes!$B$2:$B$201,0))&amp;"?text="&amp;_xlfn.ENCODEURL(Q36),"Enviar confirmación"))</f>
        <v/>
      </c>
    </row>
    <row r="37" ht="15" customHeight="1" s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0">
        <f>IF(A37="","","Antes de generar su factura, le pido amablemente confirmar que estos datos sean correctos:"&amp;CHAR(10)&amp;CHAR(10)&amp;"La factura se realizará a nombre de: "&amp;B37&amp;CHAR(10)&amp;"RFC: "&amp;C37&amp;CHAR(10)&amp;"Domicilio fiscal (conforme a la constancia): "&amp;D37&amp;CHAR(10)&amp;"Uso de CFDI: "&amp;E37&amp;CHAR(10)&amp;"Régimen: "&amp;F37&amp;CHAR(10)&amp;"Tel: "&amp;G37&amp;CHAR(10)&amp;"Correo: "&amp;H37&amp;CHAR(10)&amp;"Contacto de emergencias: "&amp;I37&amp;CHAR(10)&amp;CHAR(10)&amp;"Conductor: "&amp;J37&amp;CHAR(10)&amp;"Tel: "&amp;K37&amp;CHAR(10)&amp;"Correo: "&amp;L37&amp;CHAR(10)&amp;"Responsable de mantenimiento: "&amp;M37&amp;CHAR(10)&amp;"Tel: "&amp;N37&amp;CHAR(10)&amp;"Correo: "&amp;O37&amp;CHAR(10)&amp;CHAR(10)&amp;"Se factura una unidad: "&amp;P37&amp;CHAR(10)&amp;"Valor factura: "&amp;Q37&amp;CHAR(10)&amp;CHAR(10)&amp;"¿Es correcto, "&amp;A37&amp;"?"&amp;CHAR(10)&amp;CHAR(10)&amp;Config!$B$1)</f>
        <v/>
      </c>
      <c r="R37" s="11">
        <f>IF(A37="","",HYPERLINK("https://wa.me/52"&amp;INDEX(Clientes!$C$2:$C$201,MATCH(A37,Clientes!$B$2:$B$201,0))&amp;"?text="&amp;_xlfn.ENCODEURL(Q37),"Enviar confirmación"))</f>
        <v/>
      </c>
    </row>
    <row r="38" ht="15" customHeight="1" s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0">
        <f>IF(A38="","","Antes de generar su factura, le pido amablemente confirmar que estos datos sean correctos:"&amp;CHAR(10)&amp;CHAR(10)&amp;"La factura se realizará a nombre de: "&amp;B38&amp;CHAR(10)&amp;"RFC: "&amp;C38&amp;CHAR(10)&amp;"Domicilio fiscal (conforme a la constancia): "&amp;D38&amp;CHAR(10)&amp;"Uso de CFDI: "&amp;E38&amp;CHAR(10)&amp;"Régimen: "&amp;F38&amp;CHAR(10)&amp;"Tel: "&amp;G38&amp;CHAR(10)&amp;"Correo: "&amp;H38&amp;CHAR(10)&amp;"Contacto de emergencias: "&amp;I38&amp;CHAR(10)&amp;CHAR(10)&amp;"Conductor: "&amp;J38&amp;CHAR(10)&amp;"Tel: "&amp;K38&amp;CHAR(10)&amp;"Correo: "&amp;L38&amp;CHAR(10)&amp;"Responsable de mantenimiento: "&amp;M38&amp;CHAR(10)&amp;"Tel: "&amp;N38&amp;CHAR(10)&amp;"Correo: "&amp;O38&amp;CHAR(10)&amp;CHAR(10)&amp;"Se factura una unidad: "&amp;P38&amp;CHAR(10)&amp;"Valor factura: "&amp;Q38&amp;CHAR(10)&amp;CHAR(10)&amp;"¿Es correcto, "&amp;A38&amp;"?"&amp;CHAR(10)&amp;CHAR(10)&amp;Config!$B$1)</f>
        <v/>
      </c>
      <c r="R38" s="11">
        <f>IF(A38="","",HYPERLINK("https://wa.me/52"&amp;INDEX(Clientes!$C$2:$C$201,MATCH(A38,Clientes!$B$2:$B$201,0))&amp;"?text="&amp;_xlfn.ENCODEURL(Q38),"Enviar confirmación"))</f>
        <v/>
      </c>
    </row>
    <row r="39" ht="15" customHeight="1" s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0">
        <f>IF(A39="","","Antes de generar su factura, le pido amablemente confirmar que estos datos sean correctos:"&amp;CHAR(10)&amp;CHAR(10)&amp;"La factura se realizará a nombre de: "&amp;B39&amp;CHAR(10)&amp;"RFC: "&amp;C39&amp;CHAR(10)&amp;"Domicilio fiscal (conforme a la constancia): "&amp;D39&amp;CHAR(10)&amp;"Uso de CFDI: "&amp;E39&amp;CHAR(10)&amp;"Régimen: "&amp;F39&amp;CHAR(10)&amp;"Tel: "&amp;G39&amp;CHAR(10)&amp;"Correo: "&amp;H39&amp;CHAR(10)&amp;"Contacto de emergencias: "&amp;I39&amp;CHAR(10)&amp;CHAR(10)&amp;"Conductor: "&amp;J39&amp;CHAR(10)&amp;"Tel: "&amp;K39&amp;CHAR(10)&amp;"Correo: "&amp;L39&amp;CHAR(10)&amp;"Responsable de mantenimiento: "&amp;M39&amp;CHAR(10)&amp;"Tel: "&amp;N39&amp;CHAR(10)&amp;"Correo: "&amp;O39&amp;CHAR(10)&amp;CHAR(10)&amp;"Se factura una unidad: "&amp;P39&amp;CHAR(10)&amp;"Valor factura: "&amp;Q39&amp;CHAR(10)&amp;CHAR(10)&amp;"¿Es correcto, "&amp;A39&amp;"?"&amp;CHAR(10)&amp;CHAR(10)&amp;Config!$B$1)</f>
        <v/>
      </c>
      <c r="R39" s="11">
        <f>IF(A39="","",HYPERLINK("https://wa.me/52"&amp;INDEX(Clientes!$C$2:$C$201,MATCH(A39,Clientes!$B$2:$B$201,0))&amp;"?text="&amp;_xlfn.ENCODEURL(Q39),"Enviar confirmación"))</f>
        <v/>
      </c>
    </row>
    <row r="40" ht="15" customHeight="1" s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0">
        <f>IF(A40="","","Antes de generar su factura, le pido amablemente confirmar que estos datos sean correctos:"&amp;CHAR(10)&amp;CHAR(10)&amp;"La factura se realizará a nombre de: "&amp;B40&amp;CHAR(10)&amp;"RFC: "&amp;C40&amp;CHAR(10)&amp;"Domicilio fiscal (conforme a la constancia): "&amp;D40&amp;CHAR(10)&amp;"Uso de CFDI: "&amp;E40&amp;CHAR(10)&amp;"Régimen: "&amp;F40&amp;CHAR(10)&amp;"Tel: "&amp;G40&amp;CHAR(10)&amp;"Correo: "&amp;H40&amp;CHAR(10)&amp;"Contacto de emergencias: "&amp;I40&amp;CHAR(10)&amp;CHAR(10)&amp;"Conductor: "&amp;J40&amp;CHAR(10)&amp;"Tel: "&amp;K40&amp;CHAR(10)&amp;"Correo: "&amp;L40&amp;CHAR(10)&amp;"Responsable de mantenimiento: "&amp;M40&amp;CHAR(10)&amp;"Tel: "&amp;N40&amp;CHAR(10)&amp;"Correo: "&amp;O40&amp;CHAR(10)&amp;CHAR(10)&amp;"Se factura una unidad: "&amp;P40&amp;CHAR(10)&amp;"Valor factura: "&amp;Q40&amp;CHAR(10)&amp;CHAR(10)&amp;"¿Es correcto, "&amp;A40&amp;"?"&amp;CHAR(10)&amp;CHAR(10)&amp;Config!$B$1)</f>
        <v/>
      </c>
      <c r="R40" s="11">
        <f>IF(A40="","",HYPERLINK("https://wa.me/52"&amp;INDEX(Clientes!$C$2:$C$201,MATCH(A40,Clientes!$B$2:$B$201,0))&amp;"?text="&amp;_xlfn.ENCODEURL(Q40),"Enviar confirmación"))</f>
        <v/>
      </c>
    </row>
    <row r="41" ht="15" customHeight="1" s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0">
        <f>IF(A41="","","Antes de generar su factura, le pido amablemente confirmar que estos datos sean correctos:"&amp;CHAR(10)&amp;CHAR(10)&amp;"La factura se realizará a nombre de: "&amp;B41&amp;CHAR(10)&amp;"RFC: "&amp;C41&amp;CHAR(10)&amp;"Domicilio fiscal (conforme a la constancia): "&amp;D41&amp;CHAR(10)&amp;"Uso de CFDI: "&amp;E41&amp;CHAR(10)&amp;"Régimen: "&amp;F41&amp;CHAR(10)&amp;"Tel: "&amp;G41&amp;CHAR(10)&amp;"Correo: "&amp;H41&amp;CHAR(10)&amp;"Contacto de emergencias: "&amp;I41&amp;CHAR(10)&amp;CHAR(10)&amp;"Conductor: "&amp;J41&amp;CHAR(10)&amp;"Tel: "&amp;K41&amp;CHAR(10)&amp;"Correo: "&amp;L41&amp;CHAR(10)&amp;"Responsable de mantenimiento: "&amp;M41&amp;CHAR(10)&amp;"Tel: "&amp;N41&amp;CHAR(10)&amp;"Correo: "&amp;O41&amp;CHAR(10)&amp;CHAR(10)&amp;"Se factura una unidad: "&amp;P41&amp;CHAR(10)&amp;"Valor factura: "&amp;Q41&amp;CHAR(10)&amp;CHAR(10)&amp;"¿Es correcto, "&amp;A41&amp;"?"&amp;CHAR(10)&amp;CHAR(10)&amp;Config!$B$1)</f>
        <v/>
      </c>
      <c r="R41" s="11">
        <f>IF(A41="","",HYPERLINK("https://wa.me/52"&amp;INDEX(Clientes!$C$2:$C$201,MATCH(A41,Clientes!$B$2:$B$201,0))&amp;"?text="&amp;_xlfn.ENCODEURL(Q41),"Enviar confirmación"))</f>
        <v/>
      </c>
    </row>
    <row r="42" ht="15" customHeight="1" s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0">
        <f>IF(A42="","","Antes de generar su factura, le pido amablemente confirmar que estos datos sean correctos:"&amp;CHAR(10)&amp;CHAR(10)&amp;"La factura se realizará a nombre de: "&amp;B42&amp;CHAR(10)&amp;"RFC: "&amp;C42&amp;CHAR(10)&amp;"Domicilio fiscal (conforme a la constancia): "&amp;D42&amp;CHAR(10)&amp;"Uso de CFDI: "&amp;E42&amp;CHAR(10)&amp;"Régimen: "&amp;F42&amp;CHAR(10)&amp;"Tel: "&amp;G42&amp;CHAR(10)&amp;"Correo: "&amp;H42&amp;CHAR(10)&amp;"Contacto de emergencias: "&amp;I42&amp;CHAR(10)&amp;CHAR(10)&amp;"Conductor: "&amp;J42&amp;CHAR(10)&amp;"Tel: "&amp;K42&amp;CHAR(10)&amp;"Correo: "&amp;L42&amp;CHAR(10)&amp;"Responsable de mantenimiento: "&amp;M42&amp;CHAR(10)&amp;"Tel: "&amp;N42&amp;CHAR(10)&amp;"Correo: "&amp;O42&amp;CHAR(10)&amp;CHAR(10)&amp;"Se factura una unidad: "&amp;P42&amp;CHAR(10)&amp;"Valor factura: "&amp;Q42&amp;CHAR(10)&amp;CHAR(10)&amp;"¿Es correcto, "&amp;A42&amp;"?"&amp;CHAR(10)&amp;CHAR(10)&amp;Config!$B$1)</f>
        <v/>
      </c>
      <c r="R42" s="11">
        <f>IF(A42="","",HYPERLINK("https://wa.me/52"&amp;INDEX(Clientes!$C$2:$C$201,MATCH(A42,Clientes!$B$2:$B$201,0))&amp;"?text="&amp;_xlfn.ENCODEURL(Q42),"Enviar confirmación"))</f>
        <v/>
      </c>
    </row>
    <row r="43" ht="15" customHeight="1" s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0">
        <f>IF(A43="","","Antes de generar su factura, le pido amablemente confirmar que estos datos sean correctos:"&amp;CHAR(10)&amp;CHAR(10)&amp;"La factura se realizará a nombre de: "&amp;B43&amp;CHAR(10)&amp;"RFC: "&amp;C43&amp;CHAR(10)&amp;"Domicilio fiscal (conforme a la constancia): "&amp;D43&amp;CHAR(10)&amp;"Uso de CFDI: "&amp;E43&amp;CHAR(10)&amp;"Régimen: "&amp;F43&amp;CHAR(10)&amp;"Tel: "&amp;G43&amp;CHAR(10)&amp;"Correo: "&amp;H43&amp;CHAR(10)&amp;"Contacto de emergencias: "&amp;I43&amp;CHAR(10)&amp;CHAR(10)&amp;"Conductor: "&amp;J43&amp;CHAR(10)&amp;"Tel: "&amp;K43&amp;CHAR(10)&amp;"Correo: "&amp;L43&amp;CHAR(10)&amp;"Responsable de mantenimiento: "&amp;M43&amp;CHAR(10)&amp;"Tel: "&amp;N43&amp;CHAR(10)&amp;"Correo: "&amp;O43&amp;CHAR(10)&amp;CHAR(10)&amp;"Se factura una unidad: "&amp;P43&amp;CHAR(10)&amp;"Valor factura: "&amp;Q43&amp;CHAR(10)&amp;CHAR(10)&amp;"¿Es correcto, "&amp;A43&amp;"?"&amp;CHAR(10)&amp;CHAR(10)&amp;Config!$B$1)</f>
        <v/>
      </c>
      <c r="R43" s="11">
        <f>IF(A43="","",HYPERLINK("https://wa.me/52"&amp;INDEX(Clientes!$C$2:$C$201,MATCH(A43,Clientes!$B$2:$B$201,0))&amp;"?text="&amp;_xlfn.ENCODEURL(Q43),"Enviar confirmación"))</f>
        <v/>
      </c>
    </row>
    <row r="44" ht="15" customHeight="1" s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0">
        <f>IF(A44="","","Antes de generar su factura, le pido amablemente confirmar que estos datos sean correctos:"&amp;CHAR(10)&amp;CHAR(10)&amp;"La factura se realizará a nombre de: "&amp;B44&amp;CHAR(10)&amp;"RFC: "&amp;C44&amp;CHAR(10)&amp;"Domicilio fiscal (conforme a la constancia): "&amp;D44&amp;CHAR(10)&amp;"Uso de CFDI: "&amp;E44&amp;CHAR(10)&amp;"Régimen: "&amp;F44&amp;CHAR(10)&amp;"Tel: "&amp;G44&amp;CHAR(10)&amp;"Correo: "&amp;H44&amp;CHAR(10)&amp;"Contacto de emergencias: "&amp;I44&amp;CHAR(10)&amp;CHAR(10)&amp;"Conductor: "&amp;J44&amp;CHAR(10)&amp;"Tel: "&amp;K44&amp;CHAR(10)&amp;"Correo: "&amp;L44&amp;CHAR(10)&amp;"Responsable de mantenimiento: "&amp;M44&amp;CHAR(10)&amp;"Tel: "&amp;N44&amp;CHAR(10)&amp;"Correo: "&amp;O44&amp;CHAR(10)&amp;CHAR(10)&amp;"Se factura una unidad: "&amp;P44&amp;CHAR(10)&amp;"Valor factura: "&amp;Q44&amp;CHAR(10)&amp;CHAR(10)&amp;"¿Es correcto, "&amp;A44&amp;"?"&amp;CHAR(10)&amp;CHAR(10)&amp;Config!$B$1)</f>
        <v/>
      </c>
      <c r="R44" s="11">
        <f>IF(A44="","",HYPERLINK("https://wa.me/52"&amp;INDEX(Clientes!$C$2:$C$201,MATCH(A44,Clientes!$B$2:$B$201,0))&amp;"?text="&amp;_xlfn.ENCODEURL(Q44),"Enviar confirmación"))</f>
        <v/>
      </c>
    </row>
    <row r="45" ht="15" customHeight="1" s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0">
        <f>IF(A45="","","Antes de generar su factura, le pido amablemente confirmar que estos datos sean correctos:"&amp;CHAR(10)&amp;CHAR(10)&amp;"La factura se realizará a nombre de: "&amp;B45&amp;CHAR(10)&amp;"RFC: "&amp;C45&amp;CHAR(10)&amp;"Domicilio fiscal (conforme a la constancia): "&amp;D45&amp;CHAR(10)&amp;"Uso de CFDI: "&amp;E45&amp;CHAR(10)&amp;"Régimen: "&amp;F45&amp;CHAR(10)&amp;"Tel: "&amp;G45&amp;CHAR(10)&amp;"Correo: "&amp;H45&amp;CHAR(10)&amp;"Contacto de emergencias: "&amp;I45&amp;CHAR(10)&amp;CHAR(10)&amp;"Conductor: "&amp;J45&amp;CHAR(10)&amp;"Tel: "&amp;K45&amp;CHAR(10)&amp;"Correo: "&amp;L45&amp;CHAR(10)&amp;"Responsable de mantenimiento: "&amp;M45&amp;CHAR(10)&amp;"Tel: "&amp;N45&amp;CHAR(10)&amp;"Correo: "&amp;O45&amp;CHAR(10)&amp;CHAR(10)&amp;"Se factura una unidad: "&amp;P45&amp;CHAR(10)&amp;"Valor factura: "&amp;Q45&amp;CHAR(10)&amp;CHAR(10)&amp;"¿Es correcto, "&amp;A45&amp;"?"&amp;CHAR(10)&amp;CHAR(10)&amp;Config!$B$1)</f>
        <v/>
      </c>
      <c r="R45" s="11">
        <f>IF(A45="","",HYPERLINK("https://wa.me/52"&amp;INDEX(Clientes!$C$2:$C$201,MATCH(A45,Clientes!$B$2:$B$201,0))&amp;"?text="&amp;_xlfn.ENCODEURL(Q45),"Enviar confirmación"))</f>
        <v/>
      </c>
    </row>
    <row r="46" ht="15" customHeight="1" s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0">
        <f>IF(A46="","","Antes de generar su factura, le pido amablemente confirmar que estos datos sean correctos:"&amp;CHAR(10)&amp;CHAR(10)&amp;"La factura se realizará a nombre de: "&amp;B46&amp;CHAR(10)&amp;"RFC: "&amp;C46&amp;CHAR(10)&amp;"Domicilio fiscal (conforme a la constancia): "&amp;D46&amp;CHAR(10)&amp;"Uso de CFDI: "&amp;E46&amp;CHAR(10)&amp;"Régimen: "&amp;F46&amp;CHAR(10)&amp;"Tel: "&amp;G46&amp;CHAR(10)&amp;"Correo: "&amp;H46&amp;CHAR(10)&amp;"Contacto de emergencias: "&amp;I46&amp;CHAR(10)&amp;CHAR(10)&amp;"Conductor: "&amp;J46&amp;CHAR(10)&amp;"Tel: "&amp;K46&amp;CHAR(10)&amp;"Correo: "&amp;L46&amp;CHAR(10)&amp;"Responsable de mantenimiento: "&amp;M46&amp;CHAR(10)&amp;"Tel: "&amp;N46&amp;CHAR(10)&amp;"Correo: "&amp;O46&amp;CHAR(10)&amp;CHAR(10)&amp;"Se factura una unidad: "&amp;P46&amp;CHAR(10)&amp;"Valor factura: "&amp;Q46&amp;CHAR(10)&amp;CHAR(10)&amp;"¿Es correcto, "&amp;A46&amp;"?"&amp;CHAR(10)&amp;CHAR(10)&amp;Config!$B$1)</f>
        <v/>
      </c>
      <c r="R46" s="11">
        <f>IF(A46="","",HYPERLINK("https://wa.me/52"&amp;INDEX(Clientes!$C$2:$C$201,MATCH(A46,Clientes!$B$2:$B$201,0))&amp;"?text="&amp;_xlfn.ENCODEURL(Q46),"Enviar confirmación"))</f>
        <v/>
      </c>
    </row>
    <row r="47" ht="15" customHeight="1" s="1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0">
        <f>IF(A47="","","Antes de generar su factura, le pido amablemente confirmar que estos datos sean correctos:"&amp;CHAR(10)&amp;CHAR(10)&amp;"La factura se realizará a nombre de: "&amp;B47&amp;CHAR(10)&amp;"RFC: "&amp;C47&amp;CHAR(10)&amp;"Domicilio fiscal (conforme a la constancia): "&amp;D47&amp;CHAR(10)&amp;"Uso de CFDI: "&amp;E47&amp;CHAR(10)&amp;"Régimen: "&amp;F47&amp;CHAR(10)&amp;"Tel: "&amp;G47&amp;CHAR(10)&amp;"Correo: "&amp;H47&amp;CHAR(10)&amp;"Contacto de emergencias: "&amp;I47&amp;CHAR(10)&amp;CHAR(10)&amp;"Conductor: "&amp;J47&amp;CHAR(10)&amp;"Tel: "&amp;K47&amp;CHAR(10)&amp;"Correo: "&amp;L47&amp;CHAR(10)&amp;"Responsable de mantenimiento: "&amp;M47&amp;CHAR(10)&amp;"Tel: "&amp;N47&amp;CHAR(10)&amp;"Correo: "&amp;O47&amp;CHAR(10)&amp;CHAR(10)&amp;"Se factura una unidad: "&amp;P47&amp;CHAR(10)&amp;"Valor factura: "&amp;Q47&amp;CHAR(10)&amp;CHAR(10)&amp;"¿Es correcto, "&amp;A47&amp;"?"&amp;CHAR(10)&amp;CHAR(10)&amp;Config!$B$1)</f>
        <v/>
      </c>
      <c r="R47" s="11">
        <f>IF(A47="","",HYPERLINK("https://wa.me/52"&amp;INDEX(Clientes!$C$2:$C$201,MATCH(A47,Clientes!$B$2:$B$201,0))&amp;"?text="&amp;_xlfn.ENCODEURL(Q47),"Enviar confirmación"))</f>
        <v/>
      </c>
    </row>
    <row r="48" ht="15" customHeight="1" s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0">
        <f>IF(A48="","","Antes de generar su factura, le pido amablemente confirmar que estos datos sean correctos:"&amp;CHAR(10)&amp;CHAR(10)&amp;"La factura se realizará a nombre de: "&amp;B48&amp;CHAR(10)&amp;"RFC: "&amp;C48&amp;CHAR(10)&amp;"Domicilio fiscal (conforme a la constancia): "&amp;D48&amp;CHAR(10)&amp;"Uso de CFDI: "&amp;E48&amp;CHAR(10)&amp;"Régimen: "&amp;F48&amp;CHAR(10)&amp;"Tel: "&amp;G48&amp;CHAR(10)&amp;"Correo: "&amp;H48&amp;CHAR(10)&amp;"Contacto de emergencias: "&amp;I48&amp;CHAR(10)&amp;CHAR(10)&amp;"Conductor: "&amp;J48&amp;CHAR(10)&amp;"Tel: "&amp;K48&amp;CHAR(10)&amp;"Correo: "&amp;L48&amp;CHAR(10)&amp;"Responsable de mantenimiento: "&amp;M48&amp;CHAR(10)&amp;"Tel: "&amp;N48&amp;CHAR(10)&amp;"Correo: "&amp;O48&amp;CHAR(10)&amp;CHAR(10)&amp;"Se factura una unidad: "&amp;P48&amp;CHAR(10)&amp;"Valor factura: "&amp;Q48&amp;CHAR(10)&amp;CHAR(10)&amp;"¿Es correcto, "&amp;A48&amp;"?"&amp;CHAR(10)&amp;CHAR(10)&amp;Config!$B$1)</f>
        <v/>
      </c>
      <c r="R48" s="11">
        <f>IF(A48="","",HYPERLINK("https://wa.me/52"&amp;INDEX(Clientes!$C$2:$C$201,MATCH(A48,Clientes!$B$2:$B$201,0))&amp;"?text="&amp;_xlfn.ENCODEURL(Q48),"Enviar confirmación"))</f>
        <v/>
      </c>
    </row>
    <row r="49" ht="15" customHeight="1" s="1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0">
        <f>IF(A49="","","Antes de generar su factura, le pido amablemente confirmar que estos datos sean correctos:"&amp;CHAR(10)&amp;CHAR(10)&amp;"La factura se realizará a nombre de: "&amp;B49&amp;CHAR(10)&amp;"RFC: "&amp;C49&amp;CHAR(10)&amp;"Domicilio fiscal (conforme a la constancia): "&amp;D49&amp;CHAR(10)&amp;"Uso de CFDI: "&amp;E49&amp;CHAR(10)&amp;"Régimen: "&amp;F49&amp;CHAR(10)&amp;"Tel: "&amp;G49&amp;CHAR(10)&amp;"Correo: "&amp;H49&amp;CHAR(10)&amp;"Contacto de emergencias: "&amp;I49&amp;CHAR(10)&amp;CHAR(10)&amp;"Conductor: "&amp;J49&amp;CHAR(10)&amp;"Tel: "&amp;K49&amp;CHAR(10)&amp;"Correo: "&amp;L49&amp;CHAR(10)&amp;"Responsable de mantenimiento: "&amp;M49&amp;CHAR(10)&amp;"Tel: "&amp;N49&amp;CHAR(10)&amp;"Correo: "&amp;O49&amp;CHAR(10)&amp;CHAR(10)&amp;"Se factura una unidad: "&amp;P49&amp;CHAR(10)&amp;"Valor factura: "&amp;Q49&amp;CHAR(10)&amp;CHAR(10)&amp;"¿Es correcto, "&amp;A49&amp;"?"&amp;CHAR(10)&amp;CHAR(10)&amp;Config!$B$1)</f>
        <v/>
      </c>
      <c r="R49" s="11">
        <f>IF(A49="","",HYPERLINK("https://wa.me/52"&amp;INDEX(Clientes!$C$2:$C$201,MATCH(A49,Clientes!$B$2:$B$201,0))&amp;"?text="&amp;_xlfn.ENCODEURL(Q49),"Enviar confirmación"))</f>
        <v/>
      </c>
    </row>
    <row r="50" ht="15" customHeight="1" s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0">
        <f>IF(A50="","","Antes de generar su factura, le pido amablemente confirmar que estos datos sean correctos:"&amp;CHAR(10)&amp;CHAR(10)&amp;"La factura se realizará a nombre de: "&amp;B50&amp;CHAR(10)&amp;"RFC: "&amp;C50&amp;CHAR(10)&amp;"Domicilio fiscal (conforme a la constancia): "&amp;D50&amp;CHAR(10)&amp;"Uso de CFDI: "&amp;E50&amp;CHAR(10)&amp;"Régimen: "&amp;F50&amp;CHAR(10)&amp;"Tel: "&amp;G50&amp;CHAR(10)&amp;"Correo: "&amp;H50&amp;CHAR(10)&amp;"Contacto de emergencias: "&amp;I50&amp;CHAR(10)&amp;CHAR(10)&amp;"Conductor: "&amp;J50&amp;CHAR(10)&amp;"Tel: "&amp;K50&amp;CHAR(10)&amp;"Correo: "&amp;L50&amp;CHAR(10)&amp;"Responsable de mantenimiento: "&amp;M50&amp;CHAR(10)&amp;"Tel: "&amp;N50&amp;CHAR(10)&amp;"Correo: "&amp;O50&amp;CHAR(10)&amp;CHAR(10)&amp;"Se factura una unidad: "&amp;P50&amp;CHAR(10)&amp;"Valor factura: "&amp;Q50&amp;CHAR(10)&amp;CHAR(10)&amp;"¿Es correcto, "&amp;A50&amp;"?"&amp;CHAR(10)&amp;CHAR(10)&amp;Config!$B$1)</f>
        <v/>
      </c>
      <c r="R50" s="11">
        <f>IF(A50="","",HYPERLINK("https://wa.me/52"&amp;INDEX(Clientes!$C$2:$C$201,MATCH(A50,Clientes!$B$2:$B$201,0))&amp;"?text="&amp;_xlfn.ENCODEURL(Q50),"Enviar confirmación"))</f>
        <v/>
      </c>
    </row>
    <row r="51" ht="15" customHeight="1" s="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0">
        <f>IF(A51="","","Antes de generar su factura, le pido amablemente confirmar que estos datos sean correctos:"&amp;CHAR(10)&amp;CHAR(10)&amp;"La factura se realizará a nombre de: "&amp;B51&amp;CHAR(10)&amp;"RFC: "&amp;C51&amp;CHAR(10)&amp;"Domicilio fiscal (conforme a la constancia): "&amp;D51&amp;CHAR(10)&amp;"Uso de CFDI: "&amp;E51&amp;CHAR(10)&amp;"Régimen: "&amp;F51&amp;CHAR(10)&amp;"Tel: "&amp;G51&amp;CHAR(10)&amp;"Correo: "&amp;H51&amp;CHAR(10)&amp;"Contacto de emergencias: "&amp;I51&amp;CHAR(10)&amp;CHAR(10)&amp;"Conductor: "&amp;J51&amp;CHAR(10)&amp;"Tel: "&amp;K51&amp;CHAR(10)&amp;"Correo: "&amp;L51&amp;CHAR(10)&amp;"Responsable de mantenimiento: "&amp;M51&amp;CHAR(10)&amp;"Tel: "&amp;N51&amp;CHAR(10)&amp;"Correo: "&amp;O51&amp;CHAR(10)&amp;CHAR(10)&amp;"Se factura una unidad: "&amp;P51&amp;CHAR(10)&amp;"Valor factura: "&amp;Q51&amp;CHAR(10)&amp;CHAR(10)&amp;"¿Es correcto, "&amp;A51&amp;"?"&amp;CHAR(10)&amp;CHAR(10)&amp;Config!$B$1)</f>
        <v/>
      </c>
      <c r="R51" s="11">
        <f>IF(A51="","",HYPERLINK("https://wa.me/52"&amp;INDEX(Clientes!$C$2:$C$201,MATCH(A51,Clientes!$B$2:$B$201,0))&amp;"?text="&amp;_xlfn.ENCODEURL(Q51),"Enviar confirmación"))</f>
        <v/>
      </c>
    </row>
    <row r="52" ht="15" customHeight="1" s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0">
        <f>IF(A52="","","Antes de generar su factura, le pido amablemente confirmar que estos datos sean correctos:"&amp;CHAR(10)&amp;CHAR(10)&amp;"La factura se realizará a nombre de: "&amp;B52&amp;CHAR(10)&amp;"RFC: "&amp;C52&amp;CHAR(10)&amp;"Domicilio fiscal (conforme a la constancia): "&amp;D52&amp;CHAR(10)&amp;"Uso de CFDI: "&amp;E52&amp;CHAR(10)&amp;"Régimen: "&amp;F52&amp;CHAR(10)&amp;"Tel: "&amp;G52&amp;CHAR(10)&amp;"Correo: "&amp;H52&amp;CHAR(10)&amp;"Contacto de emergencias: "&amp;I52&amp;CHAR(10)&amp;CHAR(10)&amp;"Conductor: "&amp;J52&amp;CHAR(10)&amp;"Tel: "&amp;K52&amp;CHAR(10)&amp;"Correo: "&amp;L52&amp;CHAR(10)&amp;"Responsable de mantenimiento: "&amp;M52&amp;CHAR(10)&amp;"Tel: "&amp;N52&amp;CHAR(10)&amp;"Correo: "&amp;O52&amp;CHAR(10)&amp;CHAR(10)&amp;"Se factura una unidad: "&amp;P52&amp;CHAR(10)&amp;"Valor factura: "&amp;Q52&amp;CHAR(10)&amp;CHAR(10)&amp;"¿Es correcto, "&amp;A52&amp;"?"&amp;CHAR(10)&amp;CHAR(10)&amp;Config!$B$1)</f>
        <v/>
      </c>
      <c r="R52" s="11">
        <f>IF(A52="","",HYPERLINK("https://wa.me/52"&amp;INDEX(Clientes!$C$2:$C$201,MATCH(A52,Clientes!$B$2:$B$201,0))&amp;"?text="&amp;_xlfn.ENCODEURL(Q52),"Enviar confirmación"))</f>
        <v/>
      </c>
    </row>
    <row r="53" ht="15" customHeight="1" s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0">
        <f>IF(A53="","","Antes de generar su factura, le pido amablemente confirmar que estos datos sean correctos:"&amp;CHAR(10)&amp;CHAR(10)&amp;"La factura se realizará a nombre de: "&amp;B53&amp;CHAR(10)&amp;"RFC: "&amp;C53&amp;CHAR(10)&amp;"Domicilio fiscal (conforme a la constancia): "&amp;D53&amp;CHAR(10)&amp;"Uso de CFDI: "&amp;E53&amp;CHAR(10)&amp;"Régimen: "&amp;F53&amp;CHAR(10)&amp;"Tel: "&amp;G53&amp;CHAR(10)&amp;"Correo: "&amp;H53&amp;CHAR(10)&amp;"Contacto de emergencias: "&amp;I53&amp;CHAR(10)&amp;CHAR(10)&amp;"Conductor: "&amp;J53&amp;CHAR(10)&amp;"Tel: "&amp;K53&amp;CHAR(10)&amp;"Correo: "&amp;L53&amp;CHAR(10)&amp;"Responsable de mantenimiento: "&amp;M53&amp;CHAR(10)&amp;"Tel: "&amp;N53&amp;CHAR(10)&amp;"Correo: "&amp;O53&amp;CHAR(10)&amp;CHAR(10)&amp;"Se factura una unidad: "&amp;P53&amp;CHAR(10)&amp;"Valor factura: "&amp;Q53&amp;CHAR(10)&amp;CHAR(10)&amp;"¿Es correcto, "&amp;A53&amp;"?"&amp;CHAR(10)&amp;CHAR(10)&amp;Config!$B$1)</f>
        <v/>
      </c>
      <c r="R53" s="11">
        <f>IF(A53="","",HYPERLINK("https://wa.me/52"&amp;INDEX(Clientes!$C$2:$C$201,MATCH(A53,Clientes!$B$2:$B$201,0))&amp;"?text="&amp;_xlfn.ENCODEURL(Q53),"Enviar confirmación"))</f>
        <v/>
      </c>
    </row>
    <row r="54" ht="15" customHeight="1" s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0">
        <f>IF(A54="","","Antes de generar su factura, le pido amablemente confirmar que estos datos sean correctos:"&amp;CHAR(10)&amp;CHAR(10)&amp;"La factura se realizará a nombre de: "&amp;B54&amp;CHAR(10)&amp;"RFC: "&amp;C54&amp;CHAR(10)&amp;"Domicilio fiscal (conforme a la constancia): "&amp;D54&amp;CHAR(10)&amp;"Uso de CFDI: "&amp;E54&amp;CHAR(10)&amp;"Régimen: "&amp;F54&amp;CHAR(10)&amp;"Tel: "&amp;G54&amp;CHAR(10)&amp;"Correo: "&amp;H54&amp;CHAR(10)&amp;"Contacto de emergencias: "&amp;I54&amp;CHAR(10)&amp;CHAR(10)&amp;"Conductor: "&amp;J54&amp;CHAR(10)&amp;"Tel: "&amp;K54&amp;CHAR(10)&amp;"Correo: "&amp;L54&amp;CHAR(10)&amp;"Responsable de mantenimiento: "&amp;M54&amp;CHAR(10)&amp;"Tel: "&amp;N54&amp;CHAR(10)&amp;"Correo: "&amp;O54&amp;CHAR(10)&amp;CHAR(10)&amp;"Se factura una unidad: "&amp;P54&amp;CHAR(10)&amp;"Valor factura: "&amp;Q54&amp;CHAR(10)&amp;CHAR(10)&amp;"¿Es correcto, "&amp;A54&amp;"?"&amp;CHAR(10)&amp;CHAR(10)&amp;Config!$B$1)</f>
        <v/>
      </c>
      <c r="R54" s="11">
        <f>IF(A54="","",HYPERLINK("https://wa.me/52"&amp;INDEX(Clientes!$C$2:$C$201,MATCH(A54,Clientes!$B$2:$B$201,0))&amp;"?text="&amp;_xlfn.ENCODEURL(Q54),"Enviar confirmación"))</f>
        <v/>
      </c>
    </row>
    <row r="55" ht="15" customHeight="1" s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0">
        <f>IF(A55="","","Antes de generar su factura, le pido amablemente confirmar que estos datos sean correctos:"&amp;CHAR(10)&amp;CHAR(10)&amp;"La factura se realizará a nombre de: "&amp;B55&amp;CHAR(10)&amp;"RFC: "&amp;C55&amp;CHAR(10)&amp;"Domicilio fiscal (conforme a la constancia): "&amp;D55&amp;CHAR(10)&amp;"Uso de CFDI: "&amp;E55&amp;CHAR(10)&amp;"Régimen: "&amp;F55&amp;CHAR(10)&amp;"Tel: "&amp;G55&amp;CHAR(10)&amp;"Correo: "&amp;H55&amp;CHAR(10)&amp;"Contacto de emergencias: "&amp;I55&amp;CHAR(10)&amp;CHAR(10)&amp;"Conductor: "&amp;J55&amp;CHAR(10)&amp;"Tel: "&amp;K55&amp;CHAR(10)&amp;"Correo: "&amp;L55&amp;CHAR(10)&amp;"Responsable de mantenimiento: "&amp;M55&amp;CHAR(10)&amp;"Tel: "&amp;N55&amp;CHAR(10)&amp;"Correo: "&amp;O55&amp;CHAR(10)&amp;CHAR(10)&amp;"Se factura una unidad: "&amp;P55&amp;CHAR(10)&amp;"Valor factura: "&amp;Q55&amp;CHAR(10)&amp;CHAR(10)&amp;"¿Es correcto, "&amp;A55&amp;"?"&amp;CHAR(10)&amp;CHAR(10)&amp;Config!$B$1)</f>
        <v/>
      </c>
      <c r="R55" s="11">
        <f>IF(A55="","",HYPERLINK("https://wa.me/52"&amp;INDEX(Clientes!$C$2:$C$201,MATCH(A55,Clientes!$B$2:$B$201,0))&amp;"?text="&amp;_xlfn.ENCODEURL(Q55),"Enviar confirmación"))</f>
        <v/>
      </c>
    </row>
    <row r="56" ht="15" customHeight="1" s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0">
        <f>IF(A56="","","Antes de generar su factura, le pido amablemente confirmar que estos datos sean correctos:"&amp;CHAR(10)&amp;CHAR(10)&amp;"La factura se realizará a nombre de: "&amp;B56&amp;CHAR(10)&amp;"RFC: "&amp;C56&amp;CHAR(10)&amp;"Domicilio fiscal (conforme a la constancia): "&amp;D56&amp;CHAR(10)&amp;"Uso de CFDI: "&amp;E56&amp;CHAR(10)&amp;"Régimen: "&amp;F56&amp;CHAR(10)&amp;"Tel: "&amp;G56&amp;CHAR(10)&amp;"Correo: "&amp;H56&amp;CHAR(10)&amp;"Contacto de emergencias: "&amp;I56&amp;CHAR(10)&amp;CHAR(10)&amp;"Conductor: "&amp;J56&amp;CHAR(10)&amp;"Tel: "&amp;K56&amp;CHAR(10)&amp;"Correo: "&amp;L56&amp;CHAR(10)&amp;"Responsable de mantenimiento: "&amp;M56&amp;CHAR(10)&amp;"Tel: "&amp;N56&amp;CHAR(10)&amp;"Correo: "&amp;O56&amp;CHAR(10)&amp;CHAR(10)&amp;"Se factura una unidad: "&amp;P56&amp;CHAR(10)&amp;"Valor factura: "&amp;Q56&amp;CHAR(10)&amp;CHAR(10)&amp;"¿Es correcto, "&amp;A56&amp;"?"&amp;CHAR(10)&amp;CHAR(10)&amp;Config!$B$1)</f>
        <v/>
      </c>
      <c r="R56" s="11">
        <f>IF(A56="","",HYPERLINK("https://wa.me/52"&amp;INDEX(Clientes!$C$2:$C$201,MATCH(A56,Clientes!$B$2:$B$201,0))&amp;"?text="&amp;_xlfn.ENCODEURL(Q56),"Enviar confirmación"))</f>
        <v/>
      </c>
    </row>
    <row r="57" ht="15" customHeight="1" s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0">
        <f>IF(A57="","","Antes de generar su factura, le pido amablemente confirmar que estos datos sean correctos:"&amp;CHAR(10)&amp;CHAR(10)&amp;"La factura se realizará a nombre de: "&amp;B57&amp;CHAR(10)&amp;"RFC: "&amp;C57&amp;CHAR(10)&amp;"Domicilio fiscal (conforme a la constancia): "&amp;D57&amp;CHAR(10)&amp;"Uso de CFDI: "&amp;E57&amp;CHAR(10)&amp;"Régimen: "&amp;F57&amp;CHAR(10)&amp;"Tel: "&amp;G57&amp;CHAR(10)&amp;"Correo: "&amp;H57&amp;CHAR(10)&amp;"Contacto de emergencias: "&amp;I57&amp;CHAR(10)&amp;CHAR(10)&amp;"Conductor: "&amp;J57&amp;CHAR(10)&amp;"Tel: "&amp;K57&amp;CHAR(10)&amp;"Correo: "&amp;L57&amp;CHAR(10)&amp;"Responsable de mantenimiento: "&amp;M57&amp;CHAR(10)&amp;"Tel: "&amp;N57&amp;CHAR(10)&amp;"Correo: "&amp;O57&amp;CHAR(10)&amp;CHAR(10)&amp;"Se factura una unidad: "&amp;P57&amp;CHAR(10)&amp;"Valor factura: "&amp;Q57&amp;CHAR(10)&amp;CHAR(10)&amp;"¿Es correcto, "&amp;A57&amp;"?"&amp;CHAR(10)&amp;CHAR(10)&amp;Config!$B$1)</f>
        <v/>
      </c>
      <c r="R57" s="11">
        <f>IF(A57="","",HYPERLINK("https://wa.me/52"&amp;INDEX(Clientes!$C$2:$C$201,MATCH(A57,Clientes!$B$2:$B$201,0))&amp;"?text="&amp;_xlfn.ENCODEURL(Q57),"Enviar confirmación"))</f>
        <v/>
      </c>
    </row>
    <row r="58" ht="15" customHeight="1" s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0">
        <f>IF(A58="","","Antes de generar su factura, le pido amablemente confirmar que estos datos sean correctos:"&amp;CHAR(10)&amp;CHAR(10)&amp;"La factura se realizará a nombre de: "&amp;B58&amp;CHAR(10)&amp;"RFC: "&amp;C58&amp;CHAR(10)&amp;"Domicilio fiscal (conforme a la constancia): "&amp;D58&amp;CHAR(10)&amp;"Uso de CFDI: "&amp;E58&amp;CHAR(10)&amp;"Régimen: "&amp;F58&amp;CHAR(10)&amp;"Tel: "&amp;G58&amp;CHAR(10)&amp;"Correo: "&amp;H58&amp;CHAR(10)&amp;"Contacto de emergencias: "&amp;I58&amp;CHAR(10)&amp;CHAR(10)&amp;"Conductor: "&amp;J58&amp;CHAR(10)&amp;"Tel: "&amp;K58&amp;CHAR(10)&amp;"Correo: "&amp;L58&amp;CHAR(10)&amp;"Responsable de mantenimiento: "&amp;M58&amp;CHAR(10)&amp;"Tel: "&amp;N58&amp;CHAR(10)&amp;"Correo: "&amp;O58&amp;CHAR(10)&amp;CHAR(10)&amp;"Se factura una unidad: "&amp;P58&amp;CHAR(10)&amp;"Valor factura: "&amp;Q58&amp;CHAR(10)&amp;CHAR(10)&amp;"¿Es correcto, "&amp;A58&amp;"?"&amp;CHAR(10)&amp;CHAR(10)&amp;Config!$B$1)</f>
        <v/>
      </c>
      <c r="R58" s="11">
        <f>IF(A58="","",HYPERLINK("https://wa.me/52"&amp;INDEX(Clientes!$C$2:$C$201,MATCH(A58,Clientes!$B$2:$B$201,0))&amp;"?text="&amp;_xlfn.ENCODEURL(Q58),"Enviar confirmación"))</f>
        <v/>
      </c>
    </row>
    <row r="59" ht="15" customHeight="1" s="1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0">
        <f>IF(A59="","","Antes de generar su factura, le pido amablemente confirmar que estos datos sean correctos:"&amp;CHAR(10)&amp;CHAR(10)&amp;"La factura se realizará a nombre de: "&amp;B59&amp;CHAR(10)&amp;"RFC: "&amp;C59&amp;CHAR(10)&amp;"Domicilio fiscal (conforme a la constancia): "&amp;D59&amp;CHAR(10)&amp;"Uso de CFDI: "&amp;E59&amp;CHAR(10)&amp;"Régimen: "&amp;F59&amp;CHAR(10)&amp;"Tel: "&amp;G59&amp;CHAR(10)&amp;"Correo: "&amp;H59&amp;CHAR(10)&amp;"Contacto de emergencias: "&amp;I59&amp;CHAR(10)&amp;CHAR(10)&amp;"Conductor: "&amp;J59&amp;CHAR(10)&amp;"Tel: "&amp;K59&amp;CHAR(10)&amp;"Correo: "&amp;L59&amp;CHAR(10)&amp;"Responsable de mantenimiento: "&amp;M59&amp;CHAR(10)&amp;"Tel: "&amp;N59&amp;CHAR(10)&amp;"Correo: "&amp;O59&amp;CHAR(10)&amp;CHAR(10)&amp;"Se factura una unidad: "&amp;P59&amp;CHAR(10)&amp;"Valor factura: "&amp;Q59&amp;CHAR(10)&amp;CHAR(10)&amp;"¿Es correcto, "&amp;A59&amp;"?"&amp;CHAR(10)&amp;CHAR(10)&amp;Config!$B$1)</f>
        <v/>
      </c>
      <c r="R59" s="11">
        <f>IF(A59="","",HYPERLINK("https://wa.me/52"&amp;INDEX(Clientes!$C$2:$C$201,MATCH(A59,Clientes!$B$2:$B$201,0))&amp;"?text="&amp;_xlfn.ENCODEURL(Q59),"Enviar confirmación"))</f>
        <v/>
      </c>
    </row>
    <row r="60" ht="15" customHeight="1" s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0">
        <f>IF(A60="","","Antes de generar su factura, le pido amablemente confirmar que estos datos sean correctos:"&amp;CHAR(10)&amp;CHAR(10)&amp;"La factura se realizará a nombre de: "&amp;B60&amp;CHAR(10)&amp;"RFC: "&amp;C60&amp;CHAR(10)&amp;"Domicilio fiscal (conforme a la constancia): "&amp;D60&amp;CHAR(10)&amp;"Uso de CFDI: "&amp;E60&amp;CHAR(10)&amp;"Régimen: "&amp;F60&amp;CHAR(10)&amp;"Tel: "&amp;G60&amp;CHAR(10)&amp;"Correo: "&amp;H60&amp;CHAR(10)&amp;"Contacto de emergencias: "&amp;I60&amp;CHAR(10)&amp;CHAR(10)&amp;"Conductor: "&amp;J60&amp;CHAR(10)&amp;"Tel: "&amp;K60&amp;CHAR(10)&amp;"Correo: "&amp;L60&amp;CHAR(10)&amp;"Responsable de mantenimiento: "&amp;M60&amp;CHAR(10)&amp;"Tel: "&amp;N60&amp;CHAR(10)&amp;"Correo: "&amp;O60&amp;CHAR(10)&amp;CHAR(10)&amp;"Se factura una unidad: "&amp;P60&amp;CHAR(10)&amp;"Valor factura: "&amp;Q60&amp;CHAR(10)&amp;CHAR(10)&amp;"¿Es correcto, "&amp;A60&amp;"?"&amp;CHAR(10)&amp;CHAR(10)&amp;Config!$B$1)</f>
        <v/>
      </c>
      <c r="R60" s="11">
        <f>IF(A60="","",HYPERLINK("https://wa.me/52"&amp;INDEX(Clientes!$C$2:$C$201,MATCH(A60,Clientes!$B$2:$B$201,0))&amp;"?text="&amp;_xlfn.ENCODEURL(Q60),"Enviar confirmación"))</f>
        <v/>
      </c>
    </row>
    <row r="61" ht="15" customHeight="1" s="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0">
        <f>IF(A61="","","Antes de generar su factura, le pido amablemente confirmar que estos datos sean correctos:"&amp;CHAR(10)&amp;CHAR(10)&amp;"La factura se realizará a nombre de: "&amp;B61&amp;CHAR(10)&amp;"RFC: "&amp;C61&amp;CHAR(10)&amp;"Domicilio fiscal (conforme a la constancia): "&amp;D61&amp;CHAR(10)&amp;"Uso de CFDI: "&amp;E61&amp;CHAR(10)&amp;"Régimen: "&amp;F61&amp;CHAR(10)&amp;"Tel: "&amp;G61&amp;CHAR(10)&amp;"Correo: "&amp;H61&amp;CHAR(10)&amp;"Contacto de emergencias: "&amp;I61&amp;CHAR(10)&amp;CHAR(10)&amp;"Conductor: "&amp;J61&amp;CHAR(10)&amp;"Tel: "&amp;K61&amp;CHAR(10)&amp;"Correo: "&amp;L61&amp;CHAR(10)&amp;"Responsable de mantenimiento: "&amp;M61&amp;CHAR(10)&amp;"Tel: "&amp;N61&amp;CHAR(10)&amp;"Correo: "&amp;O61&amp;CHAR(10)&amp;CHAR(10)&amp;"Se factura una unidad: "&amp;P61&amp;CHAR(10)&amp;"Valor factura: "&amp;Q61&amp;CHAR(10)&amp;CHAR(10)&amp;"¿Es correcto, "&amp;A61&amp;"?"&amp;CHAR(10)&amp;CHAR(10)&amp;Config!$B$1)</f>
        <v/>
      </c>
      <c r="R61" s="11">
        <f>IF(A61="","",HYPERLINK("https://wa.me/52"&amp;INDEX(Clientes!$C$2:$C$201,MATCH(A61,Clientes!$B$2:$B$201,0))&amp;"?text="&amp;_xlfn.ENCODEURL(Q61),"Enviar confirmación"))</f>
        <v/>
      </c>
    </row>
    <row r="62" ht="15" customHeight="1" s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0">
        <f>IF(A62="","","Antes de generar su factura, le pido amablemente confirmar que estos datos sean correctos:"&amp;CHAR(10)&amp;CHAR(10)&amp;"La factura se realizará a nombre de: "&amp;B62&amp;CHAR(10)&amp;"RFC: "&amp;C62&amp;CHAR(10)&amp;"Domicilio fiscal (conforme a la constancia): "&amp;D62&amp;CHAR(10)&amp;"Uso de CFDI: "&amp;E62&amp;CHAR(10)&amp;"Régimen: "&amp;F62&amp;CHAR(10)&amp;"Tel: "&amp;G62&amp;CHAR(10)&amp;"Correo: "&amp;H62&amp;CHAR(10)&amp;"Contacto de emergencias: "&amp;I62&amp;CHAR(10)&amp;CHAR(10)&amp;"Conductor: "&amp;J62&amp;CHAR(10)&amp;"Tel: "&amp;K62&amp;CHAR(10)&amp;"Correo: "&amp;L62&amp;CHAR(10)&amp;"Responsable de mantenimiento: "&amp;M62&amp;CHAR(10)&amp;"Tel: "&amp;N62&amp;CHAR(10)&amp;"Correo: "&amp;O62&amp;CHAR(10)&amp;CHAR(10)&amp;"Se factura una unidad: "&amp;P62&amp;CHAR(10)&amp;"Valor factura: "&amp;Q62&amp;CHAR(10)&amp;CHAR(10)&amp;"¿Es correcto, "&amp;A62&amp;"?"&amp;CHAR(10)&amp;CHAR(10)&amp;Config!$B$1)</f>
        <v/>
      </c>
      <c r="R62" s="11">
        <f>IF(A62="","",HYPERLINK("https://wa.me/52"&amp;INDEX(Clientes!$C$2:$C$201,MATCH(A62,Clientes!$B$2:$B$201,0))&amp;"?text="&amp;_xlfn.ENCODEURL(Q62),"Enviar confirmación"))</f>
        <v/>
      </c>
    </row>
    <row r="63" ht="15" customHeight="1" s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0">
        <f>IF(A63="","","Antes de generar su factura, le pido amablemente confirmar que estos datos sean correctos:"&amp;CHAR(10)&amp;CHAR(10)&amp;"La factura se realizará a nombre de: "&amp;B63&amp;CHAR(10)&amp;"RFC: "&amp;C63&amp;CHAR(10)&amp;"Domicilio fiscal (conforme a la constancia): "&amp;D63&amp;CHAR(10)&amp;"Uso de CFDI: "&amp;E63&amp;CHAR(10)&amp;"Régimen: "&amp;F63&amp;CHAR(10)&amp;"Tel: "&amp;G63&amp;CHAR(10)&amp;"Correo: "&amp;H63&amp;CHAR(10)&amp;"Contacto de emergencias: "&amp;I63&amp;CHAR(10)&amp;CHAR(10)&amp;"Conductor: "&amp;J63&amp;CHAR(10)&amp;"Tel: "&amp;K63&amp;CHAR(10)&amp;"Correo: "&amp;L63&amp;CHAR(10)&amp;"Responsable de mantenimiento: "&amp;M63&amp;CHAR(10)&amp;"Tel: "&amp;N63&amp;CHAR(10)&amp;"Correo: "&amp;O63&amp;CHAR(10)&amp;CHAR(10)&amp;"Se factura una unidad: "&amp;P63&amp;CHAR(10)&amp;"Valor factura: "&amp;Q63&amp;CHAR(10)&amp;CHAR(10)&amp;"¿Es correcto, "&amp;A63&amp;"?"&amp;CHAR(10)&amp;CHAR(10)&amp;Config!$B$1)</f>
        <v/>
      </c>
      <c r="R63" s="11">
        <f>IF(A63="","",HYPERLINK("https://wa.me/52"&amp;INDEX(Clientes!$C$2:$C$201,MATCH(A63,Clientes!$B$2:$B$201,0))&amp;"?text="&amp;_xlfn.ENCODEURL(Q63),"Enviar confirmación"))</f>
        <v/>
      </c>
    </row>
    <row r="64" ht="15" customHeight="1" s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0">
        <f>IF(A64="","","Antes de generar su factura, le pido amablemente confirmar que estos datos sean correctos:"&amp;CHAR(10)&amp;CHAR(10)&amp;"La factura se realizará a nombre de: "&amp;B64&amp;CHAR(10)&amp;"RFC: "&amp;C64&amp;CHAR(10)&amp;"Domicilio fiscal (conforme a la constancia): "&amp;D64&amp;CHAR(10)&amp;"Uso de CFDI: "&amp;E64&amp;CHAR(10)&amp;"Régimen: "&amp;F64&amp;CHAR(10)&amp;"Tel: "&amp;G64&amp;CHAR(10)&amp;"Correo: "&amp;H64&amp;CHAR(10)&amp;"Contacto de emergencias: "&amp;I64&amp;CHAR(10)&amp;CHAR(10)&amp;"Conductor: "&amp;J64&amp;CHAR(10)&amp;"Tel: "&amp;K64&amp;CHAR(10)&amp;"Correo: "&amp;L64&amp;CHAR(10)&amp;"Responsable de mantenimiento: "&amp;M64&amp;CHAR(10)&amp;"Tel: "&amp;N64&amp;CHAR(10)&amp;"Correo: "&amp;O64&amp;CHAR(10)&amp;CHAR(10)&amp;"Se factura una unidad: "&amp;P64&amp;CHAR(10)&amp;"Valor factura: "&amp;Q64&amp;CHAR(10)&amp;CHAR(10)&amp;"¿Es correcto, "&amp;A64&amp;"?"&amp;CHAR(10)&amp;CHAR(10)&amp;Config!$B$1)</f>
        <v/>
      </c>
      <c r="R64" s="11">
        <f>IF(A64="","",HYPERLINK("https://wa.me/52"&amp;INDEX(Clientes!$C$2:$C$201,MATCH(A64,Clientes!$B$2:$B$201,0))&amp;"?text="&amp;_xlfn.ENCODEURL(Q64),"Enviar confirmación"))</f>
        <v/>
      </c>
    </row>
    <row r="65" ht="15" customHeight="1" s="1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0">
        <f>IF(A65="","","Antes de generar su factura, le pido amablemente confirmar que estos datos sean correctos:"&amp;CHAR(10)&amp;CHAR(10)&amp;"La factura se realizará a nombre de: "&amp;B65&amp;CHAR(10)&amp;"RFC: "&amp;C65&amp;CHAR(10)&amp;"Domicilio fiscal (conforme a la constancia): "&amp;D65&amp;CHAR(10)&amp;"Uso de CFDI: "&amp;E65&amp;CHAR(10)&amp;"Régimen: "&amp;F65&amp;CHAR(10)&amp;"Tel: "&amp;G65&amp;CHAR(10)&amp;"Correo: "&amp;H65&amp;CHAR(10)&amp;"Contacto de emergencias: "&amp;I65&amp;CHAR(10)&amp;CHAR(10)&amp;"Conductor: "&amp;J65&amp;CHAR(10)&amp;"Tel: "&amp;K65&amp;CHAR(10)&amp;"Correo: "&amp;L65&amp;CHAR(10)&amp;"Responsable de mantenimiento: "&amp;M65&amp;CHAR(10)&amp;"Tel: "&amp;N65&amp;CHAR(10)&amp;"Correo: "&amp;O65&amp;CHAR(10)&amp;CHAR(10)&amp;"Se factura una unidad: "&amp;P65&amp;CHAR(10)&amp;"Valor factura: "&amp;Q65&amp;CHAR(10)&amp;CHAR(10)&amp;"¿Es correcto, "&amp;A65&amp;"?"&amp;CHAR(10)&amp;CHAR(10)&amp;Config!$B$1)</f>
        <v/>
      </c>
      <c r="R65" s="11">
        <f>IF(A65="","",HYPERLINK("https://wa.me/52"&amp;INDEX(Clientes!$C$2:$C$201,MATCH(A65,Clientes!$B$2:$B$201,0))&amp;"?text="&amp;_xlfn.ENCODEURL(Q65),"Enviar confirmación"))</f>
        <v/>
      </c>
    </row>
    <row r="66" ht="15" customHeight="1" s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0">
        <f>IF(A66="","","Antes de generar su factura, le pido amablemente confirmar que estos datos sean correctos:"&amp;CHAR(10)&amp;CHAR(10)&amp;"La factura se realizará a nombre de: "&amp;B66&amp;CHAR(10)&amp;"RFC: "&amp;C66&amp;CHAR(10)&amp;"Domicilio fiscal (conforme a la constancia): "&amp;D66&amp;CHAR(10)&amp;"Uso de CFDI: "&amp;E66&amp;CHAR(10)&amp;"Régimen: "&amp;F66&amp;CHAR(10)&amp;"Tel: "&amp;G66&amp;CHAR(10)&amp;"Correo: "&amp;H66&amp;CHAR(10)&amp;"Contacto de emergencias: "&amp;I66&amp;CHAR(10)&amp;CHAR(10)&amp;"Conductor: "&amp;J66&amp;CHAR(10)&amp;"Tel: "&amp;K66&amp;CHAR(10)&amp;"Correo: "&amp;L66&amp;CHAR(10)&amp;"Responsable de mantenimiento: "&amp;M66&amp;CHAR(10)&amp;"Tel: "&amp;N66&amp;CHAR(10)&amp;"Correo: "&amp;O66&amp;CHAR(10)&amp;CHAR(10)&amp;"Se factura una unidad: "&amp;P66&amp;CHAR(10)&amp;"Valor factura: "&amp;Q66&amp;CHAR(10)&amp;CHAR(10)&amp;"¿Es correcto, "&amp;A66&amp;"?"&amp;CHAR(10)&amp;CHAR(10)&amp;Config!$B$1)</f>
        <v/>
      </c>
      <c r="R66" s="11">
        <f>IF(A66="","",HYPERLINK("https://wa.me/52"&amp;INDEX(Clientes!$C$2:$C$201,MATCH(A66,Clientes!$B$2:$B$201,0))&amp;"?text="&amp;_xlfn.ENCODEURL(Q66),"Enviar confirmación"))</f>
        <v/>
      </c>
    </row>
    <row r="67" ht="15" customHeight="1" s="1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0">
        <f>IF(A67="","","Antes de generar su factura, le pido amablemente confirmar que estos datos sean correctos:"&amp;CHAR(10)&amp;CHAR(10)&amp;"La factura se realizará a nombre de: "&amp;B67&amp;CHAR(10)&amp;"RFC: "&amp;C67&amp;CHAR(10)&amp;"Domicilio fiscal (conforme a la constancia): "&amp;D67&amp;CHAR(10)&amp;"Uso de CFDI: "&amp;E67&amp;CHAR(10)&amp;"Régimen: "&amp;F67&amp;CHAR(10)&amp;"Tel: "&amp;G67&amp;CHAR(10)&amp;"Correo: "&amp;H67&amp;CHAR(10)&amp;"Contacto de emergencias: "&amp;I67&amp;CHAR(10)&amp;CHAR(10)&amp;"Conductor: "&amp;J67&amp;CHAR(10)&amp;"Tel: "&amp;K67&amp;CHAR(10)&amp;"Correo: "&amp;L67&amp;CHAR(10)&amp;"Responsable de mantenimiento: "&amp;M67&amp;CHAR(10)&amp;"Tel: "&amp;N67&amp;CHAR(10)&amp;"Correo: "&amp;O67&amp;CHAR(10)&amp;CHAR(10)&amp;"Se factura una unidad: "&amp;P67&amp;CHAR(10)&amp;"Valor factura: "&amp;Q67&amp;CHAR(10)&amp;CHAR(10)&amp;"¿Es correcto, "&amp;A67&amp;"?"&amp;CHAR(10)&amp;CHAR(10)&amp;Config!$B$1)</f>
        <v/>
      </c>
      <c r="R67" s="11">
        <f>IF(A67="","",HYPERLINK("https://wa.me/52"&amp;INDEX(Clientes!$C$2:$C$201,MATCH(A67,Clientes!$B$2:$B$201,0))&amp;"?text="&amp;_xlfn.ENCODEURL(Q67),"Enviar confirmación"))</f>
        <v/>
      </c>
    </row>
    <row r="68" ht="15" customHeight="1" s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0">
        <f>IF(A68="","","Antes de generar su factura, le pido amablemente confirmar que estos datos sean correctos:"&amp;CHAR(10)&amp;CHAR(10)&amp;"La factura se realizará a nombre de: "&amp;B68&amp;CHAR(10)&amp;"RFC: "&amp;C68&amp;CHAR(10)&amp;"Domicilio fiscal (conforme a la constancia): "&amp;D68&amp;CHAR(10)&amp;"Uso de CFDI: "&amp;E68&amp;CHAR(10)&amp;"Régimen: "&amp;F68&amp;CHAR(10)&amp;"Tel: "&amp;G68&amp;CHAR(10)&amp;"Correo: "&amp;H68&amp;CHAR(10)&amp;"Contacto de emergencias: "&amp;I68&amp;CHAR(10)&amp;CHAR(10)&amp;"Conductor: "&amp;J68&amp;CHAR(10)&amp;"Tel: "&amp;K68&amp;CHAR(10)&amp;"Correo: "&amp;L68&amp;CHAR(10)&amp;"Responsable de mantenimiento: "&amp;M68&amp;CHAR(10)&amp;"Tel: "&amp;N68&amp;CHAR(10)&amp;"Correo: "&amp;O68&amp;CHAR(10)&amp;CHAR(10)&amp;"Se factura una unidad: "&amp;P68&amp;CHAR(10)&amp;"Valor factura: "&amp;Q68&amp;CHAR(10)&amp;CHAR(10)&amp;"¿Es correcto, "&amp;A68&amp;"?"&amp;CHAR(10)&amp;CHAR(10)&amp;Config!$B$1)</f>
        <v/>
      </c>
      <c r="R68" s="11">
        <f>IF(A68="","",HYPERLINK("https://wa.me/52"&amp;INDEX(Clientes!$C$2:$C$201,MATCH(A68,Clientes!$B$2:$B$201,0))&amp;"?text="&amp;_xlfn.ENCODEURL(Q68),"Enviar confirmación"))</f>
        <v/>
      </c>
    </row>
    <row r="69" ht="15" customHeight="1" s="1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0">
        <f>IF(A69="","","Antes de generar su factura, le pido amablemente confirmar que estos datos sean correctos:"&amp;CHAR(10)&amp;CHAR(10)&amp;"La factura se realizará a nombre de: "&amp;B69&amp;CHAR(10)&amp;"RFC: "&amp;C69&amp;CHAR(10)&amp;"Domicilio fiscal (conforme a la constancia): "&amp;D69&amp;CHAR(10)&amp;"Uso de CFDI: "&amp;E69&amp;CHAR(10)&amp;"Régimen: "&amp;F69&amp;CHAR(10)&amp;"Tel: "&amp;G69&amp;CHAR(10)&amp;"Correo: "&amp;H69&amp;CHAR(10)&amp;"Contacto de emergencias: "&amp;I69&amp;CHAR(10)&amp;CHAR(10)&amp;"Conductor: "&amp;J69&amp;CHAR(10)&amp;"Tel: "&amp;K69&amp;CHAR(10)&amp;"Correo: "&amp;L69&amp;CHAR(10)&amp;"Responsable de mantenimiento: "&amp;M69&amp;CHAR(10)&amp;"Tel: "&amp;N69&amp;CHAR(10)&amp;"Correo: "&amp;O69&amp;CHAR(10)&amp;CHAR(10)&amp;"Se factura una unidad: "&amp;P69&amp;CHAR(10)&amp;"Valor factura: "&amp;Q69&amp;CHAR(10)&amp;CHAR(10)&amp;"¿Es correcto, "&amp;A69&amp;"?"&amp;CHAR(10)&amp;CHAR(10)&amp;Config!$B$1)</f>
        <v/>
      </c>
      <c r="R69" s="11">
        <f>IF(A69="","",HYPERLINK("https://wa.me/52"&amp;INDEX(Clientes!$C$2:$C$201,MATCH(A69,Clientes!$B$2:$B$201,0))&amp;"?text="&amp;_xlfn.ENCODEURL(Q69),"Enviar confirmación"))</f>
        <v/>
      </c>
    </row>
    <row r="70" ht="15" customHeight="1" s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0">
        <f>IF(A70="","","Antes de generar su factura, le pido amablemente confirmar que estos datos sean correctos:"&amp;CHAR(10)&amp;CHAR(10)&amp;"La factura se realizará a nombre de: "&amp;B70&amp;CHAR(10)&amp;"RFC: "&amp;C70&amp;CHAR(10)&amp;"Domicilio fiscal (conforme a la constancia): "&amp;D70&amp;CHAR(10)&amp;"Uso de CFDI: "&amp;E70&amp;CHAR(10)&amp;"Régimen: "&amp;F70&amp;CHAR(10)&amp;"Tel: "&amp;G70&amp;CHAR(10)&amp;"Correo: "&amp;H70&amp;CHAR(10)&amp;"Contacto de emergencias: "&amp;I70&amp;CHAR(10)&amp;CHAR(10)&amp;"Conductor: "&amp;J70&amp;CHAR(10)&amp;"Tel: "&amp;K70&amp;CHAR(10)&amp;"Correo: "&amp;L70&amp;CHAR(10)&amp;"Responsable de mantenimiento: "&amp;M70&amp;CHAR(10)&amp;"Tel: "&amp;N70&amp;CHAR(10)&amp;"Correo: "&amp;O70&amp;CHAR(10)&amp;CHAR(10)&amp;"Se factura una unidad: "&amp;P70&amp;CHAR(10)&amp;"Valor factura: "&amp;Q70&amp;CHAR(10)&amp;CHAR(10)&amp;"¿Es correcto, "&amp;A70&amp;"?"&amp;CHAR(10)&amp;CHAR(10)&amp;Config!$B$1)</f>
        <v/>
      </c>
      <c r="R70" s="11">
        <f>IF(A70="","",HYPERLINK("https://wa.me/52"&amp;INDEX(Clientes!$C$2:$C$201,MATCH(A70,Clientes!$B$2:$B$201,0))&amp;"?text="&amp;_xlfn.ENCODEURL(Q70),"Enviar confirmación"))</f>
        <v/>
      </c>
    </row>
    <row r="71" ht="15" customHeight="1" s="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0">
        <f>IF(A71="","","Antes de generar su factura, le pido amablemente confirmar que estos datos sean correctos:"&amp;CHAR(10)&amp;CHAR(10)&amp;"La factura se realizará a nombre de: "&amp;B71&amp;CHAR(10)&amp;"RFC: "&amp;C71&amp;CHAR(10)&amp;"Domicilio fiscal (conforme a la constancia): "&amp;D71&amp;CHAR(10)&amp;"Uso de CFDI: "&amp;E71&amp;CHAR(10)&amp;"Régimen: "&amp;F71&amp;CHAR(10)&amp;"Tel: "&amp;G71&amp;CHAR(10)&amp;"Correo: "&amp;H71&amp;CHAR(10)&amp;"Contacto de emergencias: "&amp;I71&amp;CHAR(10)&amp;CHAR(10)&amp;"Conductor: "&amp;J71&amp;CHAR(10)&amp;"Tel: "&amp;K71&amp;CHAR(10)&amp;"Correo: "&amp;L71&amp;CHAR(10)&amp;"Responsable de mantenimiento: "&amp;M71&amp;CHAR(10)&amp;"Tel: "&amp;N71&amp;CHAR(10)&amp;"Correo: "&amp;O71&amp;CHAR(10)&amp;CHAR(10)&amp;"Se factura una unidad: "&amp;P71&amp;CHAR(10)&amp;"Valor factura: "&amp;Q71&amp;CHAR(10)&amp;CHAR(10)&amp;"¿Es correcto, "&amp;A71&amp;"?"&amp;CHAR(10)&amp;CHAR(10)&amp;Config!$B$1)</f>
        <v/>
      </c>
      <c r="R71" s="11">
        <f>IF(A71="","",HYPERLINK("https://wa.me/52"&amp;INDEX(Clientes!$C$2:$C$201,MATCH(A71,Clientes!$B$2:$B$201,0))&amp;"?text="&amp;_xlfn.ENCODEURL(Q71),"Enviar confirmación"))</f>
        <v/>
      </c>
    </row>
    <row r="72" ht="15" customHeight="1" s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0">
        <f>IF(A72="","","Antes de generar su factura, le pido amablemente confirmar que estos datos sean correctos:"&amp;CHAR(10)&amp;CHAR(10)&amp;"La factura se realizará a nombre de: "&amp;B72&amp;CHAR(10)&amp;"RFC: "&amp;C72&amp;CHAR(10)&amp;"Domicilio fiscal (conforme a la constancia): "&amp;D72&amp;CHAR(10)&amp;"Uso de CFDI: "&amp;E72&amp;CHAR(10)&amp;"Régimen: "&amp;F72&amp;CHAR(10)&amp;"Tel: "&amp;G72&amp;CHAR(10)&amp;"Correo: "&amp;H72&amp;CHAR(10)&amp;"Contacto de emergencias: "&amp;I72&amp;CHAR(10)&amp;CHAR(10)&amp;"Conductor: "&amp;J72&amp;CHAR(10)&amp;"Tel: "&amp;K72&amp;CHAR(10)&amp;"Correo: "&amp;L72&amp;CHAR(10)&amp;"Responsable de mantenimiento: "&amp;M72&amp;CHAR(10)&amp;"Tel: "&amp;N72&amp;CHAR(10)&amp;"Correo: "&amp;O72&amp;CHAR(10)&amp;CHAR(10)&amp;"Se factura una unidad: "&amp;P72&amp;CHAR(10)&amp;"Valor factura: "&amp;Q72&amp;CHAR(10)&amp;CHAR(10)&amp;"¿Es correcto, "&amp;A72&amp;"?"&amp;CHAR(10)&amp;CHAR(10)&amp;Config!$B$1)</f>
        <v/>
      </c>
      <c r="R72" s="11">
        <f>IF(A72="","",HYPERLINK("https://wa.me/52"&amp;INDEX(Clientes!$C$2:$C$201,MATCH(A72,Clientes!$B$2:$B$201,0))&amp;"?text="&amp;_xlfn.ENCODEURL(Q72),"Enviar confirmación"))</f>
        <v/>
      </c>
    </row>
    <row r="73" ht="15" customHeight="1" s="1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0">
        <f>IF(A73="","","Antes de generar su factura, le pido amablemente confirmar que estos datos sean correctos:"&amp;CHAR(10)&amp;CHAR(10)&amp;"La factura se realizará a nombre de: "&amp;B73&amp;CHAR(10)&amp;"RFC: "&amp;C73&amp;CHAR(10)&amp;"Domicilio fiscal (conforme a la constancia): "&amp;D73&amp;CHAR(10)&amp;"Uso de CFDI: "&amp;E73&amp;CHAR(10)&amp;"Régimen: "&amp;F73&amp;CHAR(10)&amp;"Tel: "&amp;G73&amp;CHAR(10)&amp;"Correo: "&amp;H73&amp;CHAR(10)&amp;"Contacto de emergencias: "&amp;I73&amp;CHAR(10)&amp;CHAR(10)&amp;"Conductor: "&amp;J73&amp;CHAR(10)&amp;"Tel: "&amp;K73&amp;CHAR(10)&amp;"Correo: "&amp;L73&amp;CHAR(10)&amp;"Responsable de mantenimiento: "&amp;M73&amp;CHAR(10)&amp;"Tel: "&amp;N73&amp;CHAR(10)&amp;"Correo: "&amp;O73&amp;CHAR(10)&amp;CHAR(10)&amp;"Se factura una unidad: "&amp;P73&amp;CHAR(10)&amp;"Valor factura: "&amp;Q73&amp;CHAR(10)&amp;CHAR(10)&amp;"¿Es correcto, "&amp;A73&amp;"?"&amp;CHAR(10)&amp;CHAR(10)&amp;Config!$B$1)</f>
        <v/>
      </c>
      <c r="R73" s="11">
        <f>IF(A73="","",HYPERLINK("https://wa.me/52"&amp;INDEX(Clientes!$C$2:$C$201,MATCH(A73,Clientes!$B$2:$B$201,0))&amp;"?text="&amp;_xlfn.ENCODEURL(Q73),"Enviar confirmación"))</f>
        <v/>
      </c>
    </row>
    <row r="74" ht="15" customHeight="1" s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0">
        <f>IF(A74="","","Antes de generar su factura, le pido amablemente confirmar que estos datos sean correctos:"&amp;CHAR(10)&amp;CHAR(10)&amp;"La factura se realizará a nombre de: "&amp;B74&amp;CHAR(10)&amp;"RFC: "&amp;C74&amp;CHAR(10)&amp;"Domicilio fiscal (conforme a la constancia): "&amp;D74&amp;CHAR(10)&amp;"Uso de CFDI: "&amp;E74&amp;CHAR(10)&amp;"Régimen: "&amp;F74&amp;CHAR(10)&amp;"Tel: "&amp;G74&amp;CHAR(10)&amp;"Correo: "&amp;H74&amp;CHAR(10)&amp;"Contacto de emergencias: "&amp;I74&amp;CHAR(10)&amp;CHAR(10)&amp;"Conductor: "&amp;J74&amp;CHAR(10)&amp;"Tel: "&amp;K74&amp;CHAR(10)&amp;"Correo: "&amp;L74&amp;CHAR(10)&amp;"Responsable de mantenimiento: "&amp;M74&amp;CHAR(10)&amp;"Tel: "&amp;N74&amp;CHAR(10)&amp;"Correo: "&amp;O74&amp;CHAR(10)&amp;CHAR(10)&amp;"Se factura una unidad: "&amp;P74&amp;CHAR(10)&amp;"Valor factura: "&amp;Q74&amp;CHAR(10)&amp;CHAR(10)&amp;"¿Es correcto, "&amp;A74&amp;"?"&amp;CHAR(10)&amp;CHAR(10)&amp;Config!$B$1)</f>
        <v/>
      </c>
      <c r="R74" s="11">
        <f>IF(A74="","",HYPERLINK("https://wa.me/52"&amp;INDEX(Clientes!$C$2:$C$201,MATCH(A74,Clientes!$B$2:$B$201,0))&amp;"?text="&amp;_xlfn.ENCODEURL(Q74),"Enviar confirmación"))</f>
        <v/>
      </c>
    </row>
    <row r="75" ht="15" customHeight="1" s="1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0">
        <f>IF(A75="","","Antes de generar su factura, le pido amablemente confirmar que estos datos sean correctos:"&amp;CHAR(10)&amp;CHAR(10)&amp;"La factura se realizará a nombre de: "&amp;B75&amp;CHAR(10)&amp;"RFC: "&amp;C75&amp;CHAR(10)&amp;"Domicilio fiscal (conforme a la constancia): "&amp;D75&amp;CHAR(10)&amp;"Uso de CFDI: "&amp;E75&amp;CHAR(10)&amp;"Régimen: "&amp;F75&amp;CHAR(10)&amp;"Tel: "&amp;G75&amp;CHAR(10)&amp;"Correo: "&amp;H75&amp;CHAR(10)&amp;"Contacto de emergencias: "&amp;I75&amp;CHAR(10)&amp;CHAR(10)&amp;"Conductor: "&amp;J75&amp;CHAR(10)&amp;"Tel: "&amp;K75&amp;CHAR(10)&amp;"Correo: "&amp;L75&amp;CHAR(10)&amp;"Responsable de mantenimiento: "&amp;M75&amp;CHAR(10)&amp;"Tel: "&amp;N75&amp;CHAR(10)&amp;"Correo: "&amp;O75&amp;CHAR(10)&amp;CHAR(10)&amp;"Se factura una unidad: "&amp;P75&amp;CHAR(10)&amp;"Valor factura: "&amp;Q75&amp;CHAR(10)&amp;CHAR(10)&amp;"¿Es correcto, "&amp;A75&amp;"?"&amp;CHAR(10)&amp;CHAR(10)&amp;Config!$B$1)</f>
        <v/>
      </c>
      <c r="R75" s="11">
        <f>IF(A75="","",HYPERLINK("https://wa.me/52"&amp;INDEX(Clientes!$C$2:$C$201,MATCH(A75,Clientes!$B$2:$B$201,0))&amp;"?text="&amp;_xlfn.ENCODEURL(Q75),"Enviar confirmación"))</f>
        <v/>
      </c>
    </row>
    <row r="76" ht="15" customHeight="1" s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0">
        <f>IF(A76="","","Antes de generar su factura, le pido amablemente confirmar que estos datos sean correctos:"&amp;CHAR(10)&amp;CHAR(10)&amp;"La factura se realizará a nombre de: "&amp;B76&amp;CHAR(10)&amp;"RFC: "&amp;C76&amp;CHAR(10)&amp;"Domicilio fiscal (conforme a la constancia): "&amp;D76&amp;CHAR(10)&amp;"Uso de CFDI: "&amp;E76&amp;CHAR(10)&amp;"Régimen: "&amp;F76&amp;CHAR(10)&amp;"Tel: "&amp;G76&amp;CHAR(10)&amp;"Correo: "&amp;H76&amp;CHAR(10)&amp;"Contacto de emergencias: "&amp;I76&amp;CHAR(10)&amp;CHAR(10)&amp;"Conductor: "&amp;J76&amp;CHAR(10)&amp;"Tel: "&amp;K76&amp;CHAR(10)&amp;"Correo: "&amp;L76&amp;CHAR(10)&amp;"Responsable de mantenimiento: "&amp;M76&amp;CHAR(10)&amp;"Tel: "&amp;N76&amp;CHAR(10)&amp;"Correo: "&amp;O76&amp;CHAR(10)&amp;CHAR(10)&amp;"Se factura una unidad: "&amp;P76&amp;CHAR(10)&amp;"Valor factura: "&amp;Q76&amp;CHAR(10)&amp;CHAR(10)&amp;"¿Es correcto, "&amp;A76&amp;"?"&amp;CHAR(10)&amp;CHAR(10)&amp;Config!$B$1)</f>
        <v/>
      </c>
      <c r="R76" s="11">
        <f>IF(A76="","",HYPERLINK("https://wa.me/52"&amp;INDEX(Clientes!$C$2:$C$201,MATCH(A76,Clientes!$B$2:$B$201,0))&amp;"?text="&amp;_xlfn.ENCODEURL(Q76),"Enviar confirmación"))</f>
        <v/>
      </c>
    </row>
    <row r="77" ht="15" customHeight="1" s="1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0">
        <f>IF(A77="","","Antes de generar su factura, le pido amablemente confirmar que estos datos sean correctos:"&amp;CHAR(10)&amp;CHAR(10)&amp;"La factura se realizará a nombre de: "&amp;B77&amp;CHAR(10)&amp;"RFC: "&amp;C77&amp;CHAR(10)&amp;"Domicilio fiscal (conforme a la constancia): "&amp;D77&amp;CHAR(10)&amp;"Uso de CFDI: "&amp;E77&amp;CHAR(10)&amp;"Régimen: "&amp;F77&amp;CHAR(10)&amp;"Tel: "&amp;G77&amp;CHAR(10)&amp;"Correo: "&amp;H77&amp;CHAR(10)&amp;"Contacto de emergencias: "&amp;I77&amp;CHAR(10)&amp;CHAR(10)&amp;"Conductor: "&amp;J77&amp;CHAR(10)&amp;"Tel: "&amp;K77&amp;CHAR(10)&amp;"Correo: "&amp;L77&amp;CHAR(10)&amp;"Responsable de mantenimiento: "&amp;M77&amp;CHAR(10)&amp;"Tel: "&amp;N77&amp;CHAR(10)&amp;"Correo: "&amp;O77&amp;CHAR(10)&amp;CHAR(10)&amp;"Se factura una unidad: "&amp;P77&amp;CHAR(10)&amp;"Valor factura: "&amp;Q77&amp;CHAR(10)&amp;CHAR(10)&amp;"¿Es correcto, "&amp;A77&amp;"?"&amp;CHAR(10)&amp;CHAR(10)&amp;Config!$B$1)</f>
        <v/>
      </c>
      <c r="R77" s="11">
        <f>IF(A77="","",HYPERLINK("https://wa.me/52"&amp;INDEX(Clientes!$C$2:$C$201,MATCH(A77,Clientes!$B$2:$B$201,0))&amp;"?text="&amp;_xlfn.ENCODEURL(Q77),"Enviar confirmación"))</f>
        <v/>
      </c>
    </row>
    <row r="78" ht="15" customHeight="1" s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0">
        <f>IF(A78="","","Antes de generar su factura, le pido amablemente confirmar que estos datos sean correctos:"&amp;CHAR(10)&amp;CHAR(10)&amp;"La factura se realizará a nombre de: "&amp;B78&amp;CHAR(10)&amp;"RFC: "&amp;C78&amp;CHAR(10)&amp;"Domicilio fiscal (conforme a la constancia): "&amp;D78&amp;CHAR(10)&amp;"Uso de CFDI: "&amp;E78&amp;CHAR(10)&amp;"Régimen: "&amp;F78&amp;CHAR(10)&amp;"Tel: "&amp;G78&amp;CHAR(10)&amp;"Correo: "&amp;H78&amp;CHAR(10)&amp;"Contacto de emergencias: "&amp;I78&amp;CHAR(10)&amp;CHAR(10)&amp;"Conductor: "&amp;J78&amp;CHAR(10)&amp;"Tel: "&amp;K78&amp;CHAR(10)&amp;"Correo: "&amp;L78&amp;CHAR(10)&amp;"Responsable de mantenimiento: "&amp;M78&amp;CHAR(10)&amp;"Tel: "&amp;N78&amp;CHAR(10)&amp;"Correo: "&amp;O78&amp;CHAR(10)&amp;CHAR(10)&amp;"Se factura una unidad: "&amp;P78&amp;CHAR(10)&amp;"Valor factura: "&amp;Q78&amp;CHAR(10)&amp;CHAR(10)&amp;"¿Es correcto, "&amp;A78&amp;"?"&amp;CHAR(10)&amp;CHAR(10)&amp;Config!$B$1)</f>
        <v/>
      </c>
      <c r="R78" s="11">
        <f>IF(A78="","",HYPERLINK("https://wa.me/52"&amp;INDEX(Clientes!$C$2:$C$201,MATCH(A78,Clientes!$B$2:$B$201,0))&amp;"?text="&amp;_xlfn.ENCODEURL(Q78),"Enviar confirmación"))</f>
        <v/>
      </c>
    </row>
    <row r="79" ht="15" customHeight="1" s="1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0">
        <f>IF(A79="","","Antes de generar su factura, le pido amablemente confirmar que estos datos sean correctos:"&amp;CHAR(10)&amp;CHAR(10)&amp;"La factura se realizará a nombre de: "&amp;B79&amp;CHAR(10)&amp;"RFC: "&amp;C79&amp;CHAR(10)&amp;"Domicilio fiscal (conforme a la constancia): "&amp;D79&amp;CHAR(10)&amp;"Uso de CFDI: "&amp;E79&amp;CHAR(10)&amp;"Régimen: "&amp;F79&amp;CHAR(10)&amp;"Tel: "&amp;G79&amp;CHAR(10)&amp;"Correo: "&amp;H79&amp;CHAR(10)&amp;"Contacto de emergencias: "&amp;I79&amp;CHAR(10)&amp;CHAR(10)&amp;"Conductor: "&amp;J79&amp;CHAR(10)&amp;"Tel: "&amp;K79&amp;CHAR(10)&amp;"Correo: "&amp;L79&amp;CHAR(10)&amp;"Responsable de mantenimiento: "&amp;M79&amp;CHAR(10)&amp;"Tel: "&amp;N79&amp;CHAR(10)&amp;"Correo: "&amp;O79&amp;CHAR(10)&amp;CHAR(10)&amp;"Se factura una unidad: "&amp;P79&amp;CHAR(10)&amp;"Valor factura: "&amp;Q79&amp;CHAR(10)&amp;CHAR(10)&amp;"¿Es correcto, "&amp;A79&amp;"?"&amp;CHAR(10)&amp;CHAR(10)&amp;Config!$B$1)</f>
        <v/>
      </c>
      <c r="R79" s="11">
        <f>IF(A79="","",HYPERLINK("https://wa.me/52"&amp;INDEX(Clientes!$C$2:$C$201,MATCH(A79,Clientes!$B$2:$B$201,0))&amp;"?text="&amp;_xlfn.ENCODEURL(Q79),"Enviar confirmación"))</f>
        <v/>
      </c>
    </row>
    <row r="80" ht="15" customHeight="1" s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0">
        <f>IF(A80="","","Antes de generar su factura, le pido amablemente confirmar que estos datos sean correctos:"&amp;CHAR(10)&amp;CHAR(10)&amp;"La factura se realizará a nombre de: "&amp;B80&amp;CHAR(10)&amp;"RFC: "&amp;C80&amp;CHAR(10)&amp;"Domicilio fiscal (conforme a la constancia): "&amp;D80&amp;CHAR(10)&amp;"Uso de CFDI: "&amp;E80&amp;CHAR(10)&amp;"Régimen: "&amp;F80&amp;CHAR(10)&amp;"Tel: "&amp;G80&amp;CHAR(10)&amp;"Correo: "&amp;H80&amp;CHAR(10)&amp;"Contacto de emergencias: "&amp;I80&amp;CHAR(10)&amp;CHAR(10)&amp;"Conductor: "&amp;J80&amp;CHAR(10)&amp;"Tel: "&amp;K80&amp;CHAR(10)&amp;"Correo: "&amp;L80&amp;CHAR(10)&amp;"Responsable de mantenimiento: "&amp;M80&amp;CHAR(10)&amp;"Tel: "&amp;N80&amp;CHAR(10)&amp;"Correo: "&amp;O80&amp;CHAR(10)&amp;CHAR(10)&amp;"Se factura una unidad: "&amp;P80&amp;CHAR(10)&amp;"Valor factura: "&amp;Q80&amp;CHAR(10)&amp;CHAR(10)&amp;"¿Es correcto, "&amp;A80&amp;"?"&amp;CHAR(10)&amp;CHAR(10)&amp;Config!$B$1)</f>
        <v/>
      </c>
      <c r="R80" s="11">
        <f>IF(A80="","",HYPERLINK("https://wa.me/52"&amp;INDEX(Clientes!$C$2:$C$201,MATCH(A80,Clientes!$B$2:$B$201,0))&amp;"?text="&amp;_xlfn.ENCODEURL(Q80),"Enviar confirmación"))</f>
        <v/>
      </c>
    </row>
    <row r="81" ht="15" customHeight="1" s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0">
        <f>IF(A81="","","Antes de generar su factura, le pido amablemente confirmar que estos datos sean correctos:"&amp;CHAR(10)&amp;CHAR(10)&amp;"La factura se realizará a nombre de: "&amp;B81&amp;CHAR(10)&amp;"RFC: "&amp;C81&amp;CHAR(10)&amp;"Domicilio fiscal (conforme a la constancia): "&amp;D81&amp;CHAR(10)&amp;"Uso de CFDI: "&amp;E81&amp;CHAR(10)&amp;"Régimen: "&amp;F81&amp;CHAR(10)&amp;"Tel: "&amp;G81&amp;CHAR(10)&amp;"Correo: "&amp;H81&amp;CHAR(10)&amp;"Contacto de emergencias: "&amp;I81&amp;CHAR(10)&amp;CHAR(10)&amp;"Conductor: "&amp;J81&amp;CHAR(10)&amp;"Tel: "&amp;K81&amp;CHAR(10)&amp;"Correo: "&amp;L81&amp;CHAR(10)&amp;"Responsable de mantenimiento: "&amp;M81&amp;CHAR(10)&amp;"Tel: "&amp;N81&amp;CHAR(10)&amp;"Correo: "&amp;O81&amp;CHAR(10)&amp;CHAR(10)&amp;"Se factura una unidad: "&amp;P81&amp;CHAR(10)&amp;"Valor factura: "&amp;Q81&amp;CHAR(10)&amp;CHAR(10)&amp;"¿Es correcto, "&amp;A81&amp;"?"&amp;CHAR(10)&amp;CHAR(10)&amp;Config!$B$1)</f>
        <v/>
      </c>
      <c r="R81" s="11">
        <f>IF(A81="","",HYPERLINK("https://wa.me/52"&amp;INDEX(Clientes!$C$2:$C$201,MATCH(A81,Clientes!$B$2:$B$201,0))&amp;"?text="&amp;_xlfn.ENCODEURL(Q81),"Enviar confirmación"))</f>
        <v/>
      </c>
    </row>
    <row r="82" ht="15" customHeight="1" s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0">
        <f>IF(A82="","","Antes de generar su factura, le pido amablemente confirmar que estos datos sean correctos:"&amp;CHAR(10)&amp;CHAR(10)&amp;"La factura se realizará a nombre de: "&amp;B82&amp;CHAR(10)&amp;"RFC: "&amp;C82&amp;CHAR(10)&amp;"Domicilio fiscal (conforme a la constancia): "&amp;D82&amp;CHAR(10)&amp;"Uso de CFDI: "&amp;E82&amp;CHAR(10)&amp;"Régimen: "&amp;F82&amp;CHAR(10)&amp;"Tel: "&amp;G82&amp;CHAR(10)&amp;"Correo: "&amp;H82&amp;CHAR(10)&amp;"Contacto de emergencias: "&amp;I82&amp;CHAR(10)&amp;CHAR(10)&amp;"Conductor: "&amp;J82&amp;CHAR(10)&amp;"Tel: "&amp;K82&amp;CHAR(10)&amp;"Correo: "&amp;L82&amp;CHAR(10)&amp;"Responsable de mantenimiento: "&amp;M82&amp;CHAR(10)&amp;"Tel: "&amp;N82&amp;CHAR(10)&amp;"Correo: "&amp;O82&amp;CHAR(10)&amp;CHAR(10)&amp;"Se factura una unidad: "&amp;P82&amp;CHAR(10)&amp;"Valor factura: "&amp;Q82&amp;CHAR(10)&amp;CHAR(10)&amp;"¿Es correcto, "&amp;A82&amp;"?"&amp;CHAR(10)&amp;CHAR(10)&amp;Config!$B$1)</f>
        <v/>
      </c>
      <c r="R82" s="11">
        <f>IF(A82="","",HYPERLINK("https://wa.me/52"&amp;INDEX(Clientes!$C$2:$C$201,MATCH(A82,Clientes!$B$2:$B$201,0))&amp;"?text="&amp;_xlfn.ENCODEURL(Q82),"Enviar confirmación"))</f>
        <v/>
      </c>
    </row>
    <row r="83" ht="15" customHeight="1" s="1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0">
        <f>IF(A83="","","Antes de generar su factura, le pido amablemente confirmar que estos datos sean correctos:"&amp;CHAR(10)&amp;CHAR(10)&amp;"La factura se realizará a nombre de: "&amp;B83&amp;CHAR(10)&amp;"RFC: "&amp;C83&amp;CHAR(10)&amp;"Domicilio fiscal (conforme a la constancia): "&amp;D83&amp;CHAR(10)&amp;"Uso de CFDI: "&amp;E83&amp;CHAR(10)&amp;"Régimen: "&amp;F83&amp;CHAR(10)&amp;"Tel: "&amp;G83&amp;CHAR(10)&amp;"Correo: "&amp;H83&amp;CHAR(10)&amp;"Contacto de emergencias: "&amp;I83&amp;CHAR(10)&amp;CHAR(10)&amp;"Conductor: "&amp;J83&amp;CHAR(10)&amp;"Tel: "&amp;K83&amp;CHAR(10)&amp;"Correo: "&amp;L83&amp;CHAR(10)&amp;"Responsable de mantenimiento: "&amp;M83&amp;CHAR(10)&amp;"Tel: "&amp;N83&amp;CHAR(10)&amp;"Correo: "&amp;O83&amp;CHAR(10)&amp;CHAR(10)&amp;"Se factura una unidad: "&amp;P83&amp;CHAR(10)&amp;"Valor factura: "&amp;Q83&amp;CHAR(10)&amp;CHAR(10)&amp;"¿Es correcto, "&amp;A83&amp;"?"&amp;CHAR(10)&amp;CHAR(10)&amp;Config!$B$1)</f>
        <v/>
      </c>
      <c r="R83" s="11">
        <f>IF(A83="","",HYPERLINK("https://wa.me/52"&amp;INDEX(Clientes!$C$2:$C$201,MATCH(A83,Clientes!$B$2:$B$201,0))&amp;"?text="&amp;_xlfn.ENCODEURL(Q83),"Enviar confirmación"))</f>
        <v/>
      </c>
    </row>
    <row r="84" ht="15" customHeight="1" s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0">
        <f>IF(A84="","","Antes de generar su factura, le pido amablemente confirmar que estos datos sean correctos:"&amp;CHAR(10)&amp;CHAR(10)&amp;"La factura se realizará a nombre de: "&amp;B84&amp;CHAR(10)&amp;"RFC: "&amp;C84&amp;CHAR(10)&amp;"Domicilio fiscal (conforme a la constancia): "&amp;D84&amp;CHAR(10)&amp;"Uso de CFDI: "&amp;E84&amp;CHAR(10)&amp;"Régimen: "&amp;F84&amp;CHAR(10)&amp;"Tel: "&amp;G84&amp;CHAR(10)&amp;"Correo: "&amp;H84&amp;CHAR(10)&amp;"Contacto de emergencias: "&amp;I84&amp;CHAR(10)&amp;CHAR(10)&amp;"Conductor: "&amp;J84&amp;CHAR(10)&amp;"Tel: "&amp;K84&amp;CHAR(10)&amp;"Correo: "&amp;L84&amp;CHAR(10)&amp;"Responsable de mantenimiento: "&amp;M84&amp;CHAR(10)&amp;"Tel: "&amp;N84&amp;CHAR(10)&amp;"Correo: "&amp;O84&amp;CHAR(10)&amp;CHAR(10)&amp;"Se factura una unidad: "&amp;P84&amp;CHAR(10)&amp;"Valor factura: "&amp;Q84&amp;CHAR(10)&amp;CHAR(10)&amp;"¿Es correcto, "&amp;A84&amp;"?"&amp;CHAR(10)&amp;CHAR(10)&amp;Config!$B$1)</f>
        <v/>
      </c>
      <c r="R84" s="11">
        <f>IF(A84="","",HYPERLINK("https://wa.me/52"&amp;INDEX(Clientes!$C$2:$C$201,MATCH(A84,Clientes!$B$2:$B$201,0))&amp;"?text="&amp;_xlfn.ENCODEURL(Q84),"Enviar confirmación"))</f>
        <v/>
      </c>
    </row>
    <row r="85" ht="15" customHeight="1" s="1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0">
        <f>IF(A85="","","Antes de generar su factura, le pido amablemente confirmar que estos datos sean correctos:"&amp;CHAR(10)&amp;CHAR(10)&amp;"La factura se realizará a nombre de: "&amp;B85&amp;CHAR(10)&amp;"RFC: "&amp;C85&amp;CHAR(10)&amp;"Domicilio fiscal (conforme a la constancia): "&amp;D85&amp;CHAR(10)&amp;"Uso de CFDI: "&amp;E85&amp;CHAR(10)&amp;"Régimen: "&amp;F85&amp;CHAR(10)&amp;"Tel: "&amp;G85&amp;CHAR(10)&amp;"Correo: "&amp;H85&amp;CHAR(10)&amp;"Contacto de emergencias: "&amp;I85&amp;CHAR(10)&amp;CHAR(10)&amp;"Conductor: "&amp;J85&amp;CHAR(10)&amp;"Tel: "&amp;K85&amp;CHAR(10)&amp;"Correo: "&amp;L85&amp;CHAR(10)&amp;"Responsable de mantenimiento: "&amp;M85&amp;CHAR(10)&amp;"Tel: "&amp;N85&amp;CHAR(10)&amp;"Correo: "&amp;O85&amp;CHAR(10)&amp;CHAR(10)&amp;"Se factura una unidad: "&amp;P85&amp;CHAR(10)&amp;"Valor factura: "&amp;Q85&amp;CHAR(10)&amp;CHAR(10)&amp;"¿Es correcto, "&amp;A85&amp;"?"&amp;CHAR(10)&amp;CHAR(10)&amp;Config!$B$1)</f>
        <v/>
      </c>
      <c r="R85" s="11">
        <f>IF(A85="","",HYPERLINK("https://wa.me/52"&amp;INDEX(Clientes!$C$2:$C$201,MATCH(A85,Clientes!$B$2:$B$201,0))&amp;"?text="&amp;_xlfn.ENCODEURL(Q85),"Enviar confirmación"))</f>
        <v/>
      </c>
    </row>
    <row r="86" ht="15" customHeight="1" s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0">
        <f>IF(A86="","","Antes de generar su factura, le pido amablemente confirmar que estos datos sean correctos:"&amp;CHAR(10)&amp;CHAR(10)&amp;"La factura se realizará a nombre de: "&amp;B86&amp;CHAR(10)&amp;"RFC: "&amp;C86&amp;CHAR(10)&amp;"Domicilio fiscal (conforme a la constancia): "&amp;D86&amp;CHAR(10)&amp;"Uso de CFDI: "&amp;E86&amp;CHAR(10)&amp;"Régimen: "&amp;F86&amp;CHAR(10)&amp;"Tel: "&amp;G86&amp;CHAR(10)&amp;"Correo: "&amp;H86&amp;CHAR(10)&amp;"Contacto de emergencias: "&amp;I86&amp;CHAR(10)&amp;CHAR(10)&amp;"Conductor: "&amp;J86&amp;CHAR(10)&amp;"Tel: "&amp;K86&amp;CHAR(10)&amp;"Correo: "&amp;L86&amp;CHAR(10)&amp;"Responsable de mantenimiento: "&amp;M86&amp;CHAR(10)&amp;"Tel: "&amp;N86&amp;CHAR(10)&amp;"Correo: "&amp;O86&amp;CHAR(10)&amp;CHAR(10)&amp;"Se factura una unidad: "&amp;P86&amp;CHAR(10)&amp;"Valor factura: "&amp;Q86&amp;CHAR(10)&amp;CHAR(10)&amp;"¿Es correcto, "&amp;A86&amp;"?"&amp;CHAR(10)&amp;CHAR(10)&amp;Config!$B$1)</f>
        <v/>
      </c>
      <c r="R86" s="11">
        <f>IF(A86="","",HYPERLINK("https://wa.me/52"&amp;INDEX(Clientes!$C$2:$C$201,MATCH(A86,Clientes!$B$2:$B$201,0))&amp;"?text="&amp;_xlfn.ENCODEURL(Q86),"Enviar confirmación"))</f>
        <v/>
      </c>
    </row>
    <row r="87" ht="15" customHeight="1" s="1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0">
        <f>IF(A87="","","Antes de generar su factura, le pido amablemente confirmar que estos datos sean correctos:"&amp;CHAR(10)&amp;CHAR(10)&amp;"La factura se realizará a nombre de: "&amp;B87&amp;CHAR(10)&amp;"RFC: "&amp;C87&amp;CHAR(10)&amp;"Domicilio fiscal (conforme a la constancia): "&amp;D87&amp;CHAR(10)&amp;"Uso de CFDI: "&amp;E87&amp;CHAR(10)&amp;"Régimen: "&amp;F87&amp;CHAR(10)&amp;"Tel: "&amp;G87&amp;CHAR(10)&amp;"Correo: "&amp;H87&amp;CHAR(10)&amp;"Contacto de emergencias: "&amp;I87&amp;CHAR(10)&amp;CHAR(10)&amp;"Conductor: "&amp;J87&amp;CHAR(10)&amp;"Tel: "&amp;K87&amp;CHAR(10)&amp;"Correo: "&amp;L87&amp;CHAR(10)&amp;"Responsable de mantenimiento: "&amp;M87&amp;CHAR(10)&amp;"Tel: "&amp;N87&amp;CHAR(10)&amp;"Correo: "&amp;O87&amp;CHAR(10)&amp;CHAR(10)&amp;"Se factura una unidad: "&amp;P87&amp;CHAR(10)&amp;"Valor factura: "&amp;Q87&amp;CHAR(10)&amp;CHAR(10)&amp;"¿Es correcto, "&amp;A87&amp;"?"&amp;CHAR(10)&amp;CHAR(10)&amp;Config!$B$1)</f>
        <v/>
      </c>
      <c r="R87" s="11">
        <f>IF(A87="","",HYPERLINK("https://wa.me/52"&amp;INDEX(Clientes!$C$2:$C$201,MATCH(A87,Clientes!$B$2:$B$201,0))&amp;"?text="&amp;_xlfn.ENCODEURL(Q87),"Enviar confirmación"))</f>
        <v/>
      </c>
    </row>
    <row r="88" ht="15" customHeight="1" s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0">
        <f>IF(A88="","","Antes de generar su factura, le pido amablemente confirmar que estos datos sean correctos:"&amp;CHAR(10)&amp;CHAR(10)&amp;"La factura se realizará a nombre de: "&amp;B88&amp;CHAR(10)&amp;"RFC: "&amp;C88&amp;CHAR(10)&amp;"Domicilio fiscal (conforme a la constancia): "&amp;D88&amp;CHAR(10)&amp;"Uso de CFDI: "&amp;E88&amp;CHAR(10)&amp;"Régimen: "&amp;F88&amp;CHAR(10)&amp;"Tel: "&amp;G88&amp;CHAR(10)&amp;"Correo: "&amp;H88&amp;CHAR(10)&amp;"Contacto de emergencias: "&amp;I88&amp;CHAR(10)&amp;CHAR(10)&amp;"Conductor: "&amp;J88&amp;CHAR(10)&amp;"Tel: "&amp;K88&amp;CHAR(10)&amp;"Correo: "&amp;L88&amp;CHAR(10)&amp;"Responsable de mantenimiento: "&amp;M88&amp;CHAR(10)&amp;"Tel: "&amp;N88&amp;CHAR(10)&amp;"Correo: "&amp;O88&amp;CHAR(10)&amp;CHAR(10)&amp;"Se factura una unidad: "&amp;P88&amp;CHAR(10)&amp;"Valor factura: "&amp;Q88&amp;CHAR(10)&amp;CHAR(10)&amp;"¿Es correcto, "&amp;A88&amp;"?"&amp;CHAR(10)&amp;CHAR(10)&amp;Config!$B$1)</f>
        <v/>
      </c>
      <c r="R88" s="11">
        <f>IF(A88="","",HYPERLINK("https://wa.me/52"&amp;INDEX(Clientes!$C$2:$C$201,MATCH(A88,Clientes!$B$2:$B$201,0))&amp;"?text="&amp;_xlfn.ENCODEURL(Q88),"Enviar confirmación"))</f>
        <v/>
      </c>
    </row>
    <row r="89" ht="15" customHeight="1" s="1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0">
        <f>IF(A89="","","Antes de generar su factura, le pido amablemente confirmar que estos datos sean correctos:"&amp;CHAR(10)&amp;CHAR(10)&amp;"La factura se realizará a nombre de: "&amp;B89&amp;CHAR(10)&amp;"RFC: "&amp;C89&amp;CHAR(10)&amp;"Domicilio fiscal (conforme a la constancia): "&amp;D89&amp;CHAR(10)&amp;"Uso de CFDI: "&amp;E89&amp;CHAR(10)&amp;"Régimen: "&amp;F89&amp;CHAR(10)&amp;"Tel: "&amp;G89&amp;CHAR(10)&amp;"Correo: "&amp;H89&amp;CHAR(10)&amp;"Contacto de emergencias: "&amp;I89&amp;CHAR(10)&amp;CHAR(10)&amp;"Conductor: "&amp;J89&amp;CHAR(10)&amp;"Tel: "&amp;K89&amp;CHAR(10)&amp;"Correo: "&amp;L89&amp;CHAR(10)&amp;"Responsable de mantenimiento: "&amp;M89&amp;CHAR(10)&amp;"Tel: "&amp;N89&amp;CHAR(10)&amp;"Correo: "&amp;O89&amp;CHAR(10)&amp;CHAR(10)&amp;"Se factura una unidad: "&amp;P89&amp;CHAR(10)&amp;"Valor factura: "&amp;Q89&amp;CHAR(10)&amp;CHAR(10)&amp;"¿Es correcto, "&amp;A89&amp;"?"&amp;CHAR(10)&amp;CHAR(10)&amp;Config!$B$1)</f>
        <v/>
      </c>
      <c r="R89" s="11">
        <f>IF(A89="","",HYPERLINK("https://wa.me/52"&amp;INDEX(Clientes!$C$2:$C$201,MATCH(A89,Clientes!$B$2:$B$201,0))&amp;"?text="&amp;_xlfn.ENCODEURL(Q89),"Enviar confirmación"))</f>
        <v/>
      </c>
    </row>
    <row r="90" ht="15" customHeight="1" s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0">
        <f>IF(A90="","","Antes de generar su factura, le pido amablemente confirmar que estos datos sean correctos:"&amp;CHAR(10)&amp;CHAR(10)&amp;"La factura se realizará a nombre de: "&amp;B90&amp;CHAR(10)&amp;"RFC: "&amp;C90&amp;CHAR(10)&amp;"Domicilio fiscal (conforme a la constancia): "&amp;D90&amp;CHAR(10)&amp;"Uso de CFDI: "&amp;E90&amp;CHAR(10)&amp;"Régimen: "&amp;F90&amp;CHAR(10)&amp;"Tel: "&amp;G90&amp;CHAR(10)&amp;"Correo: "&amp;H90&amp;CHAR(10)&amp;"Contacto de emergencias: "&amp;I90&amp;CHAR(10)&amp;CHAR(10)&amp;"Conductor: "&amp;J90&amp;CHAR(10)&amp;"Tel: "&amp;K90&amp;CHAR(10)&amp;"Correo: "&amp;L90&amp;CHAR(10)&amp;"Responsable de mantenimiento: "&amp;M90&amp;CHAR(10)&amp;"Tel: "&amp;N90&amp;CHAR(10)&amp;"Correo: "&amp;O90&amp;CHAR(10)&amp;CHAR(10)&amp;"Se factura una unidad: "&amp;P90&amp;CHAR(10)&amp;"Valor factura: "&amp;Q90&amp;CHAR(10)&amp;CHAR(10)&amp;"¿Es correcto, "&amp;A90&amp;"?"&amp;CHAR(10)&amp;CHAR(10)&amp;Config!$B$1)</f>
        <v/>
      </c>
      <c r="R90" s="11">
        <f>IF(A90="","",HYPERLINK("https://wa.me/52"&amp;INDEX(Clientes!$C$2:$C$201,MATCH(A90,Clientes!$B$2:$B$201,0))&amp;"?text="&amp;_xlfn.ENCODEURL(Q90),"Enviar confirmación"))</f>
        <v/>
      </c>
    </row>
    <row r="91" ht="15" customHeight="1" s="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0">
        <f>IF(A91="","","Antes de generar su factura, le pido amablemente confirmar que estos datos sean correctos:"&amp;CHAR(10)&amp;CHAR(10)&amp;"La factura se realizará a nombre de: "&amp;B91&amp;CHAR(10)&amp;"RFC: "&amp;C91&amp;CHAR(10)&amp;"Domicilio fiscal (conforme a la constancia): "&amp;D91&amp;CHAR(10)&amp;"Uso de CFDI: "&amp;E91&amp;CHAR(10)&amp;"Régimen: "&amp;F91&amp;CHAR(10)&amp;"Tel: "&amp;G91&amp;CHAR(10)&amp;"Correo: "&amp;H91&amp;CHAR(10)&amp;"Contacto de emergencias: "&amp;I91&amp;CHAR(10)&amp;CHAR(10)&amp;"Conductor: "&amp;J91&amp;CHAR(10)&amp;"Tel: "&amp;K91&amp;CHAR(10)&amp;"Correo: "&amp;L91&amp;CHAR(10)&amp;"Responsable de mantenimiento: "&amp;M91&amp;CHAR(10)&amp;"Tel: "&amp;N91&amp;CHAR(10)&amp;"Correo: "&amp;O91&amp;CHAR(10)&amp;CHAR(10)&amp;"Se factura una unidad: "&amp;P91&amp;CHAR(10)&amp;"Valor factura: "&amp;Q91&amp;CHAR(10)&amp;CHAR(10)&amp;"¿Es correcto, "&amp;A91&amp;"?"&amp;CHAR(10)&amp;CHAR(10)&amp;Config!$B$1)</f>
        <v/>
      </c>
      <c r="R91" s="11">
        <f>IF(A91="","",HYPERLINK("https://wa.me/52"&amp;INDEX(Clientes!$C$2:$C$201,MATCH(A91,Clientes!$B$2:$B$201,0))&amp;"?text="&amp;_xlfn.ENCODEURL(Q91),"Enviar confirmación"))</f>
        <v/>
      </c>
    </row>
    <row r="92" ht="15" customHeight="1" s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0">
        <f>IF(A92="","","Antes de generar su factura, le pido amablemente confirmar que estos datos sean correctos:"&amp;CHAR(10)&amp;CHAR(10)&amp;"La factura se realizará a nombre de: "&amp;B92&amp;CHAR(10)&amp;"RFC: "&amp;C92&amp;CHAR(10)&amp;"Domicilio fiscal (conforme a la constancia): "&amp;D92&amp;CHAR(10)&amp;"Uso de CFDI: "&amp;E92&amp;CHAR(10)&amp;"Régimen: "&amp;F92&amp;CHAR(10)&amp;"Tel: "&amp;G92&amp;CHAR(10)&amp;"Correo: "&amp;H92&amp;CHAR(10)&amp;"Contacto de emergencias: "&amp;I92&amp;CHAR(10)&amp;CHAR(10)&amp;"Conductor: "&amp;J92&amp;CHAR(10)&amp;"Tel: "&amp;K92&amp;CHAR(10)&amp;"Correo: "&amp;L92&amp;CHAR(10)&amp;"Responsable de mantenimiento: "&amp;M92&amp;CHAR(10)&amp;"Tel: "&amp;N92&amp;CHAR(10)&amp;"Correo: "&amp;O92&amp;CHAR(10)&amp;CHAR(10)&amp;"Se factura una unidad: "&amp;P92&amp;CHAR(10)&amp;"Valor factura: "&amp;Q92&amp;CHAR(10)&amp;CHAR(10)&amp;"¿Es correcto, "&amp;A92&amp;"?"&amp;CHAR(10)&amp;CHAR(10)&amp;Config!$B$1)</f>
        <v/>
      </c>
      <c r="R92" s="11">
        <f>IF(A92="","",HYPERLINK("https://wa.me/52"&amp;INDEX(Clientes!$C$2:$C$201,MATCH(A92,Clientes!$B$2:$B$201,0))&amp;"?text="&amp;_xlfn.ENCODEURL(Q92),"Enviar confirmación"))</f>
        <v/>
      </c>
    </row>
    <row r="93" ht="15" customHeight="1" s="1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0">
        <f>IF(A93="","","Antes de generar su factura, le pido amablemente confirmar que estos datos sean correctos:"&amp;CHAR(10)&amp;CHAR(10)&amp;"La factura se realizará a nombre de: "&amp;B93&amp;CHAR(10)&amp;"RFC: "&amp;C93&amp;CHAR(10)&amp;"Domicilio fiscal (conforme a la constancia): "&amp;D93&amp;CHAR(10)&amp;"Uso de CFDI: "&amp;E93&amp;CHAR(10)&amp;"Régimen: "&amp;F93&amp;CHAR(10)&amp;"Tel: "&amp;G93&amp;CHAR(10)&amp;"Correo: "&amp;H93&amp;CHAR(10)&amp;"Contacto de emergencias: "&amp;I93&amp;CHAR(10)&amp;CHAR(10)&amp;"Conductor: "&amp;J93&amp;CHAR(10)&amp;"Tel: "&amp;K93&amp;CHAR(10)&amp;"Correo: "&amp;L93&amp;CHAR(10)&amp;"Responsable de mantenimiento: "&amp;M93&amp;CHAR(10)&amp;"Tel: "&amp;N93&amp;CHAR(10)&amp;"Correo: "&amp;O93&amp;CHAR(10)&amp;CHAR(10)&amp;"Se factura una unidad: "&amp;P93&amp;CHAR(10)&amp;"Valor factura: "&amp;Q93&amp;CHAR(10)&amp;CHAR(10)&amp;"¿Es correcto, "&amp;A93&amp;"?"&amp;CHAR(10)&amp;CHAR(10)&amp;Config!$B$1)</f>
        <v/>
      </c>
      <c r="R93" s="11">
        <f>IF(A93="","",HYPERLINK("https://wa.me/52"&amp;INDEX(Clientes!$C$2:$C$201,MATCH(A93,Clientes!$B$2:$B$201,0))&amp;"?text="&amp;_xlfn.ENCODEURL(Q93),"Enviar confirmación"))</f>
        <v/>
      </c>
    </row>
    <row r="94" ht="15" customHeight="1" s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0">
        <f>IF(A94="","","Antes de generar su factura, le pido amablemente confirmar que estos datos sean correctos:"&amp;CHAR(10)&amp;CHAR(10)&amp;"La factura se realizará a nombre de: "&amp;B94&amp;CHAR(10)&amp;"RFC: "&amp;C94&amp;CHAR(10)&amp;"Domicilio fiscal (conforme a la constancia): "&amp;D94&amp;CHAR(10)&amp;"Uso de CFDI: "&amp;E94&amp;CHAR(10)&amp;"Régimen: "&amp;F94&amp;CHAR(10)&amp;"Tel: "&amp;G94&amp;CHAR(10)&amp;"Correo: "&amp;H94&amp;CHAR(10)&amp;"Contacto de emergencias: "&amp;I94&amp;CHAR(10)&amp;CHAR(10)&amp;"Conductor: "&amp;J94&amp;CHAR(10)&amp;"Tel: "&amp;K94&amp;CHAR(10)&amp;"Correo: "&amp;L94&amp;CHAR(10)&amp;"Responsable de mantenimiento: "&amp;M94&amp;CHAR(10)&amp;"Tel: "&amp;N94&amp;CHAR(10)&amp;"Correo: "&amp;O94&amp;CHAR(10)&amp;CHAR(10)&amp;"Se factura una unidad: "&amp;P94&amp;CHAR(10)&amp;"Valor factura: "&amp;Q94&amp;CHAR(10)&amp;CHAR(10)&amp;"¿Es correcto, "&amp;A94&amp;"?"&amp;CHAR(10)&amp;CHAR(10)&amp;Config!$B$1)</f>
        <v/>
      </c>
      <c r="R94" s="11">
        <f>IF(A94="","",HYPERLINK("https://wa.me/52"&amp;INDEX(Clientes!$C$2:$C$201,MATCH(A94,Clientes!$B$2:$B$201,0))&amp;"?text="&amp;_xlfn.ENCODEURL(Q94),"Enviar confirmación"))</f>
        <v/>
      </c>
    </row>
    <row r="95" ht="15" customHeight="1" s="1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0">
        <f>IF(A95="","","Antes de generar su factura, le pido amablemente confirmar que estos datos sean correctos:"&amp;CHAR(10)&amp;CHAR(10)&amp;"La factura se realizará a nombre de: "&amp;B95&amp;CHAR(10)&amp;"RFC: "&amp;C95&amp;CHAR(10)&amp;"Domicilio fiscal (conforme a la constancia): "&amp;D95&amp;CHAR(10)&amp;"Uso de CFDI: "&amp;E95&amp;CHAR(10)&amp;"Régimen: "&amp;F95&amp;CHAR(10)&amp;"Tel: "&amp;G95&amp;CHAR(10)&amp;"Correo: "&amp;H95&amp;CHAR(10)&amp;"Contacto de emergencias: "&amp;I95&amp;CHAR(10)&amp;CHAR(10)&amp;"Conductor: "&amp;J95&amp;CHAR(10)&amp;"Tel: "&amp;K95&amp;CHAR(10)&amp;"Correo: "&amp;L95&amp;CHAR(10)&amp;"Responsable de mantenimiento: "&amp;M95&amp;CHAR(10)&amp;"Tel: "&amp;N95&amp;CHAR(10)&amp;"Correo: "&amp;O95&amp;CHAR(10)&amp;CHAR(10)&amp;"Se factura una unidad: "&amp;P95&amp;CHAR(10)&amp;"Valor factura: "&amp;Q95&amp;CHAR(10)&amp;CHAR(10)&amp;"¿Es correcto, "&amp;A95&amp;"?"&amp;CHAR(10)&amp;CHAR(10)&amp;Config!$B$1)</f>
        <v/>
      </c>
      <c r="R95" s="11">
        <f>IF(A95="","",HYPERLINK("https://wa.me/52"&amp;INDEX(Clientes!$C$2:$C$201,MATCH(A95,Clientes!$B$2:$B$201,0))&amp;"?text="&amp;_xlfn.ENCODEURL(Q95),"Enviar confirmación"))</f>
        <v/>
      </c>
    </row>
    <row r="96" ht="15" customHeight="1" s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0">
        <f>IF(A96="","","Antes de generar su factura, le pido amablemente confirmar que estos datos sean correctos:"&amp;CHAR(10)&amp;CHAR(10)&amp;"La factura se realizará a nombre de: "&amp;B96&amp;CHAR(10)&amp;"RFC: "&amp;C96&amp;CHAR(10)&amp;"Domicilio fiscal (conforme a la constancia): "&amp;D96&amp;CHAR(10)&amp;"Uso de CFDI: "&amp;E96&amp;CHAR(10)&amp;"Régimen: "&amp;F96&amp;CHAR(10)&amp;"Tel: "&amp;G96&amp;CHAR(10)&amp;"Correo: "&amp;H96&amp;CHAR(10)&amp;"Contacto de emergencias: "&amp;I96&amp;CHAR(10)&amp;CHAR(10)&amp;"Conductor: "&amp;J96&amp;CHAR(10)&amp;"Tel: "&amp;K96&amp;CHAR(10)&amp;"Correo: "&amp;L96&amp;CHAR(10)&amp;"Responsable de mantenimiento: "&amp;M96&amp;CHAR(10)&amp;"Tel: "&amp;N96&amp;CHAR(10)&amp;"Correo: "&amp;O96&amp;CHAR(10)&amp;CHAR(10)&amp;"Se factura una unidad: "&amp;P96&amp;CHAR(10)&amp;"Valor factura: "&amp;Q96&amp;CHAR(10)&amp;CHAR(10)&amp;"¿Es correcto, "&amp;A96&amp;"?"&amp;CHAR(10)&amp;CHAR(10)&amp;Config!$B$1)</f>
        <v/>
      </c>
      <c r="R96" s="11">
        <f>IF(A96="","",HYPERLINK("https://wa.me/52"&amp;INDEX(Clientes!$C$2:$C$201,MATCH(A96,Clientes!$B$2:$B$201,0))&amp;"?text="&amp;_xlfn.ENCODEURL(Q96),"Enviar confirmación"))</f>
        <v/>
      </c>
    </row>
    <row r="97" ht="15" customHeight="1" s="1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0">
        <f>IF(A97="","","Antes de generar su factura, le pido amablemente confirmar que estos datos sean correctos:"&amp;CHAR(10)&amp;CHAR(10)&amp;"La factura se realizará a nombre de: "&amp;B97&amp;CHAR(10)&amp;"RFC: "&amp;C97&amp;CHAR(10)&amp;"Domicilio fiscal (conforme a la constancia): "&amp;D97&amp;CHAR(10)&amp;"Uso de CFDI: "&amp;E97&amp;CHAR(10)&amp;"Régimen: "&amp;F97&amp;CHAR(10)&amp;"Tel: "&amp;G97&amp;CHAR(10)&amp;"Correo: "&amp;H97&amp;CHAR(10)&amp;"Contacto de emergencias: "&amp;I97&amp;CHAR(10)&amp;CHAR(10)&amp;"Conductor: "&amp;J97&amp;CHAR(10)&amp;"Tel: "&amp;K97&amp;CHAR(10)&amp;"Correo: "&amp;L97&amp;CHAR(10)&amp;"Responsable de mantenimiento: "&amp;M97&amp;CHAR(10)&amp;"Tel: "&amp;N97&amp;CHAR(10)&amp;"Correo: "&amp;O97&amp;CHAR(10)&amp;CHAR(10)&amp;"Se factura una unidad: "&amp;P97&amp;CHAR(10)&amp;"Valor factura: "&amp;Q97&amp;CHAR(10)&amp;CHAR(10)&amp;"¿Es correcto, "&amp;A97&amp;"?"&amp;CHAR(10)&amp;CHAR(10)&amp;Config!$B$1)</f>
        <v/>
      </c>
      <c r="R97" s="11">
        <f>IF(A97="","",HYPERLINK("https://wa.me/52"&amp;INDEX(Clientes!$C$2:$C$201,MATCH(A97,Clientes!$B$2:$B$201,0))&amp;"?text="&amp;_xlfn.ENCODEURL(Q97),"Enviar confirmación"))</f>
        <v/>
      </c>
    </row>
    <row r="98" ht="15" customHeight="1" s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0">
        <f>IF(A98="","","Antes de generar su factura, le pido amablemente confirmar que estos datos sean correctos:"&amp;CHAR(10)&amp;CHAR(10)&amp;"La factura se realizará a nombre de: "&amp;B98&amp;CHAR(10)&amp;"RFC: "&amp;C98&amp;CHAR(10)&amp;"Domicilio fiscal (conforme a la constancia): "&amp;D98&amp;CHAR(10)&amp;"Uso de CFDI: "&amp;E98&amp;CHAR(10)&amp;"Régimen: "&amp;F98&amp;CHAR(10)&amp;"Tel: "&amp;G98&amp;CHAR(10)&amp;"Correo: "&amp;H98&amp;CHAR(10)&amp;"Contacto de emergencias: "&amp;I98&amp;CHAR(10)&amp;CHAR(10)&amp;"Conductor: "&amp;J98&amp;CHAR(10)&amp;"Tel: "&amp;K98&amp;CHAR(10)&amp;"Correo: "&amp;L98&amp;CHAR(10)&amp;"Responsable de mantenimiento: "&amp;M98&amp;CHAR(10)&amp;"Tel: "&amp;N98&amp;CHAR(10)&amp;"Correo: "&amp;O98&amp;CHAR(10)&amp;CHAR(10)&amp;"Se factura una unidad: "&amp;P98&amp;CHAR(10)&amp;"Valor factura: "&amp;Q98&amp;CHAR(10)&amp;CHAR(10)&amp;"¿Es correcto, "&amp;A98&amp;"?"&amp;CHAR(10)&amp;CHAR(10)&amp;Config!$B$1)</f>
        <v/>
      </c>
      <c r="R98" s="11">
        <f>IF(A98="","",HYPERLINK("https://wa.me/52"&amp;INDEX(Clientes!$C$2:$C$201,MATCH(A98,Clientes!$B$2:$B$201,0))&amp;"?text="&amp;_xlfn.ENCODEURL(Q98),"Enviar confirmación"))</f>
        <v/>
      </c>
    </row>
    <row r="99" ht="15" customHeight="1" s="1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0">
        <f>IF(A99="","","Antes de generar su factura, le pido amablemente confirmar que estos datos sean correctos:"&amp;CHAR(10)&amp;CHAR(10)&amp;"La factura se realizará a nombre de: "&amp;B99&amp;CHAR(10)&amp;"RFC: "&amp;C99&amp;CHAR(10)&amp;"Domicilio fiscal (conforme a la constancia): "&amp;D99&amp;CHAR(10)&amp;"Uso de CFDI: "&amp;E99&amp;CHAR(10)&amp;"Régimen: "&amp;F99&amp;CHAR(10)&amp;"Tel: "&amp;G99&amp;CHAR(10)&amp;"Correo: "&amp;H99&amp;CHAR(10)&amp;"Contacto de emergencias: "&amp;I99&amp;CHAR(10)&amp;CHAR(10)&amp;"Conductor: "&amp;J99&amp;CHAR(10)&amp;"Tel: "&amp;K99&amp;CHAR(10)&amp;"Correo: "&amp;L99&amp;CHAR(10)&amp;"Responsable de mantenimiento: "&amp;M99&amp;CHAR(10)&amp;"Tel: "&amp;N99&amp;CHAR(10)&amp;"Correo: "&amp;O99&amp;CHAR(10)&amp;CHAR(10)&amp;"Se factura una unidad: "&amp;P99&amp;CHAR(10)&amp;"Valor factura: "&amp;Q99&amp;CHAR(10)&amp;CHAR(10)&amp;"¿Es correcto, "&amp;A99&amp;"?"&amp;CHAR(10)&amp;CHAR(10)&amp;Config!$B$1)</f>
        <v/>
      </c>
      <c r="R99" s="11">
        <f>IF(A99="","",HYPERLINK("https://wa.me/52"&amp;INDEX(Clientes!$C$2:$C$201,MATCH(A99,Clientes!$B$2:$B$201,0))&amp;"?text="&amp;_xlfn.ENCODEURL(Q99),"Enviar confirmación"))</f>
        <v/>
      </c>
    </row>
    <row r="100" ht="15" customHeight="1" s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0">
        <f>IF(A100="","","Antes de generar su factura, le pido amablemente confirmar que estos datos sean correctos:"&amp;CHAR(10)&amp;CHAR(10)&amp;"La factura se realizará a nombre de: "&amp;B100&amp;CHAR(10)&amp;"RFC: "&amp;C100&amp;CHAR(10)&amp;"Domicilio fiscal (conforme a la constancia): "&amp;D100&amp;CHAR(10)&amp;"Uso de CFDI: "&amp;E100&amp;CHAR(10)&amp;"Régimen: "&amp;F100&amp;CHAR(10)&amp;"Tel: "&amp;G100&amp;CHAR(10)&amp;"Correo: "&amp;H100&amp;CHAR(10)&amp;"Contacto de emergencias: "&amp;I100&amp;CHAR(10)&amp;CHAR(10)&amp;"Conductor: "&amp;J100&amp;CHAR(10)&amp;"Tel: "&amp;K100&amp;CHAR(10)&amp;"Correo: "&amp;L100&amp;CHAR(10)&amp;"Responsable de mantenimiento: "&amp;M100&amp;CHAR(10)&amp;"Tel: "&amp;N100&amp;CHAR(10)&amp;"Correo: "&amp;O100&amp;CHAR(10)&amp;CHAR(10)&amp;"Se factura una unidad: "&amp;P100&amp;CHAR(10)&amp;"Valor factura: "&amp;Q100&amp;CHAR(10)&amp;CHAR(10)&amp;"¿Es correcto, "&amp;A100&amp;"?"&amp;CHAR(10)&amp;CHAR(10)&amp;Config!$B$1)</f>
        <v/>
      </c>
      <c r="R100" s="11">
        <f>IF(A100="","",HYPERLINK("https://wa.me/52"&amp;INDEX(Clientes!$C$2:$C$201,MATCH(A100,Clientes!$B$2:$B$201,0))&amp;"?text="&amp;_xlfn.ENCODEURL(Q100),"Enviar confirmación"))</f>
        <v/>
      </c>
    </row>
    <row r="101" ht="15" customHeight="1" s="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0">
        <f>IF(A101="","","Antes de generar su factura, le pido amablemente confirmar que estos datos sean correctos:"&amp;CHAR(10)&amp;CHAR(10)&amp;"La factura se realizará a nombre de: "&amp;B101&amp;CHAR(10)&amp;"RFC: "&amp;C101&amp;CHAR(10)&amp;"Domicilio fiscal (conforme a la constancia): "&amp;D101&amp;CHAR(10)&amp;"Uso de CFDI: "&amp;E101&amp;CHAR(10)&amp;"Régimen: "&amp;F101&amp;CHAR(10)&amp;"Tel: "&amp;G101&amp;CHAR(10)&amp;"Correo: "&amp;H101&amp;CHAR(10)&amp;"Contacto de emergencias: "&amp;I101&amp;CHAR(10)&amp;CHAR(10)&amp;"Conductor: "&amp;J101&amp;CHAR(10)&amp;"Tel: "&amp;K101&amp;CHAR(10)&amp;"Correo: "&amp;L101&amp;CHAR(10)&amp;"Responsable de mantenimiento: "&amp;M101&amp;CHAR(10)&amp;"Tel: "&amp;N101&amp;CHAR(10)&amp;"Correo: "&amp;O101&amp;CHAR(10)&amp;CHAR(10)&amp;"Se factura una unidad: "&amp;P101&amp;CHAR(10)&amp;"Valor factura: "&amp;Q101&amp;CHAR(10)&amp;CHAR(10)&amp;"¿Es correcto, "&amp;A101&amp;"?"&amp;CHAR(10)&amp;CHAR(10)&amp;Config!$B$1)</f>
        <v/>
      </c>
      <c r="R101" s="11">
        <f>IF(A101="","",HYPERLINK("https://wa.me/52"&amp;INDEX(Clientes!$C$2:$C$201,MATCH(A101,Clientes!$B$2:$B$201,0))&amp;"?text="&amp;_xlfn.ENCODEURL(Q101),"Enviar confirmación"))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2026-08-04T23:01:52Z</dcterms:created>
  <dcterms:modified xsi:type="dcterms:W3CDTF">2026-10-12T15:53:35Z</dcterms:modified>
  <cp:revision>0</cp:revision>
</cp:coreProperties>
</file>