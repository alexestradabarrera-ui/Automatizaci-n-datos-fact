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strucciones" sheetId="1" state="visible" r:id="rId1"/>
    <sheet name="Config" sheetId="2" state="hidden" r:id="rId2"/>
    <sheet name="Clientes" sheetId="3" state="visible" r:id="rId3"/>
    <sheet name="Plan de Seguimiento" sheetId="4" state="visible" r:id="rId4"/>
    <sheet name="Calendario" sheetId="5" state="visible" r:id="rId5"/>
    <sheet name="Catálogo Mensajes" sheetId="6" state="visible" r:id="rId6"/>
    <sheet name="Requisitos" sheetId="7" state="visible" r:id="rId7"/>
    <sheet name="Fichas y Beneficios" sheetId="8" state="visible" r:id="rId8"/>
    <sheet name="Facturación" sheetId="9" state="visible" r:id="rId9"/>
  </sheets>
  <definedNames>
    <definedName name="_xlnm._FilterDatabase" localSheetId="3" hidden="1">'Plan de Seguimiento'!$A$1:$P$151</definedName>
    <definedName name="_xlnm._FilterDatabase" localSheetId="5" hidden="1">'Catálogo Mensajes'!$A$4:$J$29</definedName>
    <definedName name="_xlnm._FilterDatabase" localSheetId="6" hidden="1">'Requisitos'!$A$3:$C$33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color rgb="FF000000"/>
      <sz val="10"/>
    </font>
    <font>
      <name val="Arial"/>
      <charset val="1"/>
      <b val="1"/>
      <color rgb="FFCC0000"/>
      <sz val="14"/>
    </font>
    <font>
      <name val="Arial"/>
      <charset val="1"/>
      <b val="1"/>
      <color rgb="FF1A1A1A"/>
      <sz val="10"/>
    </font>
    <font>
      <name val="Arial"/>
      <charset val="1"/>
      <b val="1"/>
      <color rgb="FFCC0000"/>
      <sz val="11"/>
    </font>
    <font>
      <name val="Arial"/>
      <charset val="1"/>
      <i val="1"/>
      <color rgb="FF666666"/>
      <sz val="9"/>
    </font>
    <font>
      <name val="Arial"/>
      <charset val="1"/>
      <color rgb="FF000000"/>
      <sz val="9"/>
    </font>
    <font>
      <name val="Arial"/>
      <charset val="1"/>
      <i val="1"/>
      <color rgb="FFCC0000"/>
      <sz val="10"/>
    </font>
    <font>
      <name val="Arial"/>
      <charset val="1"/>
      <b val="1"/>
      <sz val="13"/>
    </font>
  </fonts>
  <fills count="4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center"/>
    </xf>
    <xf numFmtId="0" fontId="5" fillId="2" borderId="0" pivotButton="0" quotePrefix="0" xfId="0"/>
    <xf numFmtId="0" fontId="0" fillId="0" borderId="1" pivotButton="0" quotePrefix="0" xfId="0"/>
    <xf numFmtId="0" fontId="5" fillId="2" borderId="0" applyAlignment="1" pivotButton="0" quotePrefix="0" xfId="0">
      <alignment vertical="center" wrapText="1"/>
    </xf>
    <xf numFmtId="14" fontId="6" fillId="0" borderId="1" pivotButton="0" quotePrefix="0" xfId="0"/>
    <xf numFmtId="14" fontId="2" fillId="0" borderId="1" pivotButton="0" quotePrefix="0" xfId="0"/>
    <xf numFmtId="16" fontId="2" fillId="0" borderId="1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9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0" fontId="14" fillId="0" borderId="0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zoomScaleNormal="100" workbookViewId="0">
      <selection activeCell="A1" sqref="A1"/>
    </sheetView>
  </sheetViews>
  <sheetFormatPr baseColWidth="8" defaultColWidth="8.7421875" defaultRowHeight="15"/>
  <cols>
    <col width="99.94921875" customWidth="1" style="1" min="1" max="1"/>
  </cols>
  <sheetData>
    <row r="1" ht="19.5" customHeight="1" s="1">
      <c r="A1" s="2" t="inlineStr">
        <is>
          <t>Plataforma de Seguimiento Toyota Corregidora — versión Excel</t>
        </is>
      </c>
    </row>
    <row r="2" ht="30" customHeight="1" s="1">
      <c r="A2" s="3" t="n"/>
    </row>
    <row r="3" ht="19.5" customHeight="1" s="1">
      <c r="A3" s="4" t="inlineStr">
        <is>
          <t>Cómo usar este archivo:</t>
        </is>
      </c>
    </row>
    <row r="4" ht="30" customHeight="1" s="1">
      <c r="A4" s="3" t="inlineStr">
        <is>
          <t>1. Ve a la pestaña 'Clientes' y da de alta cada cliente en una fila nueva (usa los menús desplegables en Vehículo, Método de Compra, Tipo de Persona, Avalúo, Primera Visita y Etapa).</t>
        </is>
      </c>
    </row>
    <row r="5" ht="30" customHeight="1" s="1">
      <c r="A5" s="3" t="inlineStr">
        <is>
          <t>2. La fila cambia de color automáticamente según la Etapa que selecciones (Prospecto, Apartado, Toma de vehículo, Pago, Contrato, Facturación, Programación, Entregado).</t>
        </is>
      </c>
    </row>
    <row r="6" ht="30" customHeight="1" s="1">
      <c r="A6" s="3" t="inlineStr">
        <is>
          <t>3. Las columnas Q a Z generan el texto del mensaje y un enlace 'Enviar' que abre WhatsApp Web con el mensaje ya redactado — solo da clic y presiona enviar.</t>
        </is>
      </c>
    </row>
    <row r="7" ht="30" customHeight="1" s="1">
      <c r="A7" s="3" t="inlineStr">
        <is>
          <t>4. En 'Requisitos' filtra por Método de Compra y Tipo de Persona con el autofiltro para ver la checklist correspondiente; ahí también están los beneficios de crédito.</t>
        </is>
      </c>
    </row>
    <row r="8" ht="30" customHeight="1" s="1">
      <c r="A8" s="3" t="inlineStr">
        <is>
          <t>5. En 'Fichas y Beneficios' tienes el nombre del PDF de cada vehículo (guárdalos en una carpeta llamada 'fichas' junto a este archivo).</t>
        </is>
      </c>
    </row>
    <row r="9" ht="30" customHeight="1" s="1">
      <c r="A9" s="3" t="inlineStr">
        <is>
          <t>6. En 'Facturación' selecciona el nombre del cliente (ya dado de alta en Clientes) y llena sus datos; el mensaje de confirmación y el enlace de WhatsApp se generan solos.</t>
        </is>
      </c>
    </row>
    <row r="10" ht="30" customHeight="1" s="1">
      <c r="A10" s="3" t="n"/>
    </row>
    <row r="11" ht="30" customHeight="1" s="1">
      <c r="A11" s="5" t="inlineStr">
        <is>
          <t>Nota: los enlaces de WhatsApp requieren que el número de teléfono tenga 10 dígitos (se le agrega automáticamente el 52 de México).</t>
        </is>
      </c>
    </row>
    <row r="12" ht="30" customHeight="1" s="1">
      <c r="A12" s="5" t="inlineStr">
        <is>
          <t>Nota: al abrir el archivo, Excel puede preguntar si deseas habilitar el cálculo de fórmulas o el contenido externo — acepta para que los mensajes se generen correctamente.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Normal="100" workbookViewId="0">
      <selection activeCell="A1" sqref="A1"/>
    </sheetView>
  </sheetViews>
  <sheetFormatPr baseColWidth="8" defaultColWidth="8.7421875" defaultRowHeight="15"/>
  <sheetData>
    <row r="1" ht="95.25" customHeight="1" s="1">
      <c r="A1" t="inlineStr">
        <is>
          <t>Firma (footer de mensajes)</t>
        </is>
      </c>
      <c r="B1" s="6">
        <f>"Atentamente."&amp;CHAR(10)&amp;CHAR(10)&amp;"*Alejandro Estrada*"&amp;CHAR(10)&amp;"Asesor de ventas"&amp;CHAR(10)&amp;"Toyota Corregidora"&amp;CHAR(10)&amp;"4427485194"&amp;CHAR(10)&amp;"jestrada@toyotacorregidora.mx"</f>
        <v/>
      </c>
      <c r="D1" t="inlineStr">
        <is>
          <t>Vehículos</t>
        </is>
      </c>
      <c r="E1" t="inlineStr">
        <is>
          <t>Método de Compra</t>
        </is>
      </c>
      <c r="F1" t="inlineStr">
        <is>
          <t>Tipo de Persona</t>
        </is>
      </c>
      <c r="G1" t="inlineStr">
        <is>
          <t>Sí/No</t>
        </is>
      </c>
      <c r="H1" t="inlineStr">
        <is>
          <t>Etapa</t>
        </is>
      </c>
      <c r="I1" t="inlineStr">
        <is>
          <t>Tipo de Mensaje</t>
        </is>
      </c>
    </row>
    <row r="2" ht="15" customHeight="1" s="1">
      <c r="D2" t="inlineStr">
        <is>
          <t>Yaris Sedan</t>
        </is>
      </c>
      <c r="E2" t="inlineStr">
        <is>
          <t>Crédito</t>
        </is>
      </c>
      <c r="F2" t="inlineStr">
        <is>
          <t>Persona física</t>
        </is>
      </c>
      <c r="G2" t="inlineStr">
        <is>
          <t>Sí</t>
        </is>
      </c>
      <c r="H2" t="inlineStr">
        <is>
          <t>Prospecto / Visita</t>
        </is>
      </c>
      <c r="I2" t="inlineStr">
        <is>
          <t>Bienvenida (primera visita)</t>
        </is>
      </c>
    </row>
    <row r="3" ht="15" customHeight="1" s="1">
      <c r="D3" t="inlineStr">
        <is>
          <t>Yaris Sedan HEV</t>
        </is>
      </c>
      <c r="E3" t="inlineStr">
        <is>
          <t>Contado</t>
        </is>
      </c>
      <c r="F3" t="inlineStr">
        <is>
          <t>Persona física con actividad empresarial</t>
        </is>
      </c>
      <c r="G3" t="inlineStr">
        <is>
          <t>No</t>
        </is>
      </c>
      <c r="H3" t="inlineStr">
        <is>
          <t>Apartado</t>
        </is>
      </c>
      <c r="I3" t="inlineStr">
        <is>
          <t>Seguimiento</t>
        </is>
      </c>
    </row>
    <row r="4" ht="15" customHeight="1" s="1">
      <c r="D4" t="inlineStr">
        <is>
          <t>Yaris HB</t>
        </is>
      </c>
      <c r="F4" t="inlineStr">
        <is>
          <t>Persona moral</t>
        </is>
      </c>
      <c r="H4" t="inlineStr">
        <is>
          <t>Toma de vehículo</t>
        </is>
      </c>
      <c r="I4" t="inlineStr">
        <is>
          <t>Aviso de Etapa</t>
        </is>
      </c>
    </row>
    <row r="5" ht="15" customHeight="1" s="1">
      <c r="D5" t="inlineStr">
        <is>
          <t>GR Yaris</t>
        </is>
      </c>
      <c r="H5" t="inlineStr">
        <is>
          <t>Pago vehículo a cuenta</t>
        </is>
      </c>
      <c r="I5" t="inlineStr">
        <is>
          <t>Requisitos</t>
        </is>
      </c>
    </row>
    <row r="6" ht="15" customHeight="1" s="1">
      <c r="D6" t="inlineStr">
        <is>
          <t>Corolla</t>
        </is>
      </c>
      <c r="H6" t="inlineStr">
        <is>
          <t>Firma de contrato</t>
        </is>
      </c>
      <c r="I6" t="inlineStr">
        <is>
          <t>Datos de Facturación</t>
        </is>
      </c>
    </row>
    <row r="7" ht="15" customHeight="1" s="1">
      <c r="D7" t="inlineStr">
        <is>
          <t>GR Corolla</t>
        </is>
      </c>
      <c r="H7" t="inlineStr">
        <is>
          <t>Facturación</t>
        </is>
      </c>
      <c r="I7" t="inlineStr">
        <is>
          <t>Cumpleaños</t>
        </is>
      </c>
    </row>
    <row r="8" ht="15" customHeight="1" s="1">
      <c r="D8" t="inlineStr">
        <is>
          <t>Camry</t>
        </is>
      </c>
      <c r="H8" t="inlineStr">
        <is>
          <t>Programación de entrega</t>
        </is>
      </c>
      <c r="I8" t="inlineStr">
        <is>
          <t>Aniversario</t>
        </is>
      </c>
    </row>
    <row r="9" ht="15" customHeight="1" s="1">
      <c r="D9" t="inlineStr">
        <is>
          <t>Prius</t>
        </is>
      </c>
      <c r="H9" t="inlineStr">
        <is>
          <t>Entregado</t>
        </is>
      </c>
    </row>
    <row r="10" ht="15" customHeight="1" s="1">
      <c r="D10" t="inlineStr">
        <is>
          <t>Supra</t>
        </is>
      </c>
    </row>
    <row r="11" ht="15" customHeight="1" s="1">
      <c r="D11" t="inlineStr">
        <is>
          <t>Raize</t>
        </is>
      </c>
    </row>
    <row r="12" ht="15" customHeight="1" s="1">
      <c r="D12" t="inlineStr">
        <is>
          <t>Avanza</t>
        </is>
      </c>
    </row>
    <row r="13" ht="15" customHeight="1" s="1">
      <c r="D13" t="inlineStr">
        <is>
          <t>Corolla Cross</t>
        </is>
      </c>
    </row>
    <row r="14" ht="15" customHeight="1" s="1">
      <c r="D14" t="inlineStr">
        <is>
          <t>Rav-4</t>
        </is>
      </c>
    </row>
    <row r="15" ht="15" customHeight="1" s="1">
      <c r="D15" t="inlineStr">
        <is>
          <t>Highlander</t>
        </is>
      </c>
    </row>
    <row r="16" ht="15" customHeight="1" s="1">
      <c r="D16" t="inlineStr">
        <is>
          <t>Sienna</t>
        </is>
      </c>
    </row>
    <row r="17" ht="15" customHeight="1" s="1">
      <c r="D17" t="inlineStr">
        <is>
          <t>4Runner</t>
        </is>
      </c>
    </row>
    <row r="18" ht="15" customHeight="1" s="1">
      <c r="D18" t="inlineStr">
        <is>
          <t>Sequoia</t>
        </is>
      </c>
    </row>
    <row r="19" ht="15" customHeight="1" s="1">
      <c r="D19" t="inlineStr">
        <is>
          <t>Hilux</t>
        </is>
      </c>
    </row>
    <row r="20" ht="15" customHeight="1" s="1">
      <c r="D20" t="inlineStr">
        <is>
          <t>Tacoma</t>
        </is>
      </c>
    </row>
    <row r="21" ht="15" customHeight="1" s="1">
      <c r="D21" t="inlineStr">
        <is>
          <t>Tundra</t>
        </is>
      </c>
    </row>
    <row r="22" ht="15" customHeight="1" s="1">
      <c r="D22" t="inlineStr">
        <is>
          <t>Hiace</t>
        </is>
      </c>
    </row>
    <row r="23" ht="15" customHeight="1" s="1">
      <c r="D23" t="inlineStr">
        <is>
          <t>Otro (especificar)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baseColWidth="8" defaultColWidth="8.7421875" defaultRowHeight="15"/>
  <cols>
    <col width="4.9765625" customWidth="1" style="1" min="1" max="1"/>
    <col width="20.04296875" customWidth="1" style="1" min="2" max="2"/>
    <col width="13.046875" customWidth="1" style="1" min="3" max="3"/>
    <col width="16.0078125" customWidth="1" style="1" min="4" max="4"/>
    <col width="13.98828125" customWidth="1" style="1" min="5" max="5"/>
    <col width="14.9296875" customWidth="1" style="1" min="6" max="6"/>
    <col width="25.9609375" customWidth="1" style="1" min="7" max="7"/>
    <col width="9.953125" customWidth="1" style="1" min="8" max="8"/>
    <col width="16.0078125" customWidth="1" style="1" min="9" max="9"/>
    <col width="11.97265625" customWidth="1" style="1" min="10" max="10"/>
    <col width="25.9609375" customWidth="1" style="1" min="11" max="11"/>
    <col width="11.97265625" customWidth="1" style="1" min="12" max="12"/>
    <col width="20.04296875" customWidth="1" style="1" min="13" max="13"/>
    <col width="13.046875" customWidth="1" style="1" min="14" max="14"/>
    <col width="11.97265625" customWidth="1" style="1" min="15" max="15"/>
    <col width="13.98828125" customWidth="1" style="1" min="16" max="16"/>
    <col width="41.96875" customWidth="1" style="1" min="17" max="17"/>
    <col width="16.0078125" customWidth="1" style="1" min="18" max="18"/>
    <col width="41.96875" customWidth="1" style="1" min="19" max="19"/>
    <col width="16.0078125" customWidth="1" style="1" min="20" max="20"/>
    <col width="41.96875" customWidth="1" style="1" min="21" max="21"/>
    <col width="16.0078125" customWidth="1" style="1" min="22" max="22"/>
    <col width="34.03125" customWidth="1" style="1" min="23" max="23"/>
    <col width="16.0078125" customWidth="1" style="1" min="24" max="24"/>
    <col width="34.03125" customWidth="1" style="1" min="25" max="25"/>
    <col width="16.0078125" customWidth="1" style="1" min="26" max="26"/>
    <col width="23.9453125" customWidth="1" style="1" min="27" max="27"/>
    <col width="20.04296875" customWidth="1" style="1" min="28" max="28"/>
    <col width="41.96875" customWidth="1" style="1" min="29" max="30"/>
  </cols>
  <sheetData>
    <row r="1" ht="31.5" customHeight="1" s="1">
      <c r="A1" s="7" t="inlineStr">
        <is>
          <t>No.</t>
        </is>
      </c>
      <c r="B1" s="7" t="inlineStr">
        <is>
          <t>Nombre</t>
        </is>
      </c>
      <c r="C1" s="7" t="inlineStr">
        <is>
          <t>Teléfono</t>
        </is>
      </c>
      <c r="D1" s="7" t="inlineStr">
        <is>
          <t>Vehículo</t>
        </is>
      </c>
      <c r="E1" s="7" t="inlineStr">
        <is>
          <t>Versión</t>
        </is>
      </c>
      <c r="F1" s="7" t="inlineStr">
        <is>
          <t>Método de Compra</t>
        </is>
      </c>
      <c r="G1" s="7" t="inlineStr">
        <is>
          <t>Tipo de Persona</t>
        </is>
      </c>
      <c r="H1" s="7" t="inlineStr">
        <is>
          <t>Avalúo (Sí/No)</t>
        </is>
      </c>
      <c r="I1" s="7" t="inlineStr">
        <is>
          <t>Vehículo Avalúo</t>
        </is>
      </c>
      <c r="J1" s="7" t="inlineStr">
        <is>
          <t>Oferta Avalúo</t>
        </is>
      </c>
      <c r="K1" s="7" t="inlineStr">
        <is>
          <t>Comentarios</t>
        </is>
      </c>
      <c r="L1" s="7" t="inlineStr">
        <is>
          <t>Primera Visita (Sí/No)</t>
        </is>
      </c>
      <c r="M1" s="7" t="inlineStr">
        <is>
          <t>Etapa</t>
        </is>
      </c>
      <c r="N1" s="7" t="inlineStr">
        <is>
          <t>Fecha Registro</t>
        </is>
      </c>
      <c r="O1" s="7" t="inlineStr">
        <is>
          <t>Cumpleaños</t>
        </is>
      </c>
      <c r="P1" s="7" t="inlineStr">
        <is>
          <t>Fecha Entrega (Aniversario)</t>
        </is>
      </c>
      <c r="Q1" s="7" t="inlineStr">
        <is>
          <t>Mensaje Bienvenida</t>
        </is>
      </c>
      <c r="R1" s="7" t="inlineStr">
        <is>
          <t>WhatsApp Bienvenida</t>
        </is>
      </c>
      <c r="S1" s="7" t="inlineStr">
        <is>
          <t>Mensaje Seguimiento</t>
        </is>
      </c>
      <c r="T1" s="7" t="inlineStr">
        <is>
          <t>WhatsApp Seguimiento</t>
        </is>
      </c>
      <c r="U1" s="7" t="inlineStr">
        <is>
          <t>Mensaje por Etapa</t>
        </is>
      </c>
      <c r="V1" s="7" t="inlineStr">
        <is>
          <t>WhatsApp Etapa</t>
        </is>
      </c>
      <c r="W1" s="7" t="inlineStr">
        <is>
          <t>Mensaje Cumpleaños</t>
        </is>
      </c>
      <c r="X1" s="7" t="inlineStr">
        <is>
          <t>WhatsApp Cumpleaños</t>
        </is>
      </c>
      <c r="Y1" s="7" t="inlineStr">
        <is>
          <t>Mensaje Aniversario</t>
        </is>
      </c>
      <c r="Z1" s="7" t="inlineStr">
        <is>
          <t>WhatsApp Aniversario</t>
        </is>
      </c>
      <c r="AA1" s="7" t="inlineStr">
        <is>
          <t>Tipo de Mensaje a Enviar</t>
        </is>
      </c>
      <c r="AB1" s="7" t="inlineStr">
        <is>
          <t>Enviar Mensaje Seleccionado</t>
        </is>
      </c>
      <c r="AC1" s="7" t="inlineStr">
        <is>
          <t>Mensaje Requisitos (auto)</t>
        </is>
      </c>
      <c r="AD1" s="7" t="inlineStr">
        <is>
          <t>Mensaje Facturación (auto, si ya está en la pestaña Facturación)</t>
        </is>
      </c>
    </row>
    <row r="2" ht="15" customHeight="1" s="1">
      <c r="A2" s="11">
        <f>IF(B2="","",ROW()-1)</f>
        <v/>
      </c>
      <c r="B2" s="9" t="inlineStr">
        <is>
          <t>Fernando Velasco</t>
        </is>
      </c>
      <c r="C2" s="9" t="n">
        <v>4424479460</v>
      </c>
      <c r="D2" s="9" t="inlineStr">
        <is>
          <t>Corolla Cross</t>
        </is>
      </c>
      <c r="E2" s="9" t="inlineStr">
        <is>
          <t>XLE</t>
        </is>
      </c>
      <c r="F2" s="9" t="inlineStr">
        <is>
          <t>Contado</t>
        </is>
      </c>
      <c r="G2" s="9" t="inlineStr">
        <is>
          <t>Persona física</t>
        </is>
      </c>
      <c r="H2" s="9" t="inlineStr">
        <is>
          <t>No</t>
        </is>
      </c>
      <c r="I2" s="9" t="n"/>
      <c r="J2" s="9" t="n"/>
      <c r="K2" s="9" t="inlineStr">
        <is>
          <t xml:space="preserve">Sale de viaje a Europa y regresa en noviembre o diciembre </t>
        </is>
      </c>
      <c r="L2" s="9" t="inlineStr">
        <is>
          <t>Sí</t>
        </is>
      </c>
      <c r="M2" s="9" t="inlineStr">
        <is>
          <t>Prospecto / Visita</t>
        </is>
      </c>
      <c r="N2" s="26" t="n">
        <v>46253</v>
      </c>
      <c r="O2" s="9" t="n"/>
      <c r="P2" s="9" t="n"/>
      <c r="Q2" s="10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" s="11">
        <f>IF(Q2="","",HYPERLINK("https://wa.me/52"&amp;C2&amp;"?text="&amp;_xlfn.ENCODEURL(Q2),"Enviar Bienvenida"))</f>
        <v/>
      </c>
      <c r="S2" s="10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" s="11">
        <f>IF(S2="","",HYPERLINK("https://wa.me/52"&amp;C2&amp;"?text="&amp;_xlfn.ENCODEURL(S2),"Enviar Seguimiento"))</f>
        <v/>
      </c>
      <c r="U2" s="10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/>
      </c>
      <c r="V2" s="11">
        <f>IF(U2="","",HYPERLINK("https://wa.me/52"&amp;C2&amp;"?text="&amp;_xlfn.ENCODEURL(U2),"Enviar aviso de etapa"))</f>
        <v/>
      </c>
      <c r="W2" s="10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>
        <f>IF(W2="","",HYPERLINK("https://wa.me/52"&amp;C2&amp;"?text="&amp;_xlfn.ENCODEURL(W2),"Enviar felicitación"))</f>
        <v/>
      </c>
      <c r="Y2" s="10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>
        <f>IF(Y2="","",HYPERLINK("https://wa.me/52"&amp;C2&amp;"?text="&amp;_xlfn.ENCODEURL(Y2),"Enviar aniversario"))</f>
        <v/>
      </c>
      <c r="AA2" s="11" t="n"/>
      <c r="AB2" s="11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" s="10">
        <f>IFERROR(INDEX(Facturación!$Q:$Q,MATCH(B2,Facturación!$A:$A,0)),"")</f>
        <v/>
      </c>
    </row>
    <row r="3" ht="15" customHeight="1" s="1">
      <c r="A3" s="11">
        <f>IF(B3="","",ROW()-1)</f>
        <v/>
      </c>
      <c r="B3" s="11" t="inlineStr">
        <is>
          <t>Adalberto Rusiles</t>
        </is>
      </c>
      <c r="C3" s="11" t="n">
        <v>4422055531</v>
      </c>
      <c r="D3" s="11" t="inlineStr">
        <is>
          <t>Hilux</t>
        </is>
      </c>
      <c r="E3" s="11" t="inlineStr">
        <is>
          <t>Base</t>
        </is>
      </c>
      <c r="F3" s="11" t="inlineStr">
        <is>
          <t>Crédito</t>
        </is>
      </c>
      <c r="G3" s="11" t="inlineStr">
        <is>
          <t>Persona física</t>
        </is>
      </c>
      <c r="H3" s="11" t="inlineStr">
        <is>
          <t>No</t>
        </is>
      </c>
      <c r="I3" s="11" t="n"/>
      <c r="J3" s="11" t="n"/>
      <c r="K3" s="11" t="inlineStr">
        <is>
          <t>En busca de la pickup mas pequeña</t>
        </is>
      </c>
      <c r="L3" s="11" t="inlineStr">
        <is>
          <t>Sí</t>
        </is>
      </c>
      <c r="M3" s="11" t="inlineStr">
        <is>
          <t>Prospecto / Visita</t>
        </is>
      </c>
      <c r="N3" s="27" t="n">
        <v>46251</v>
      </c>
      <c r="O3" s="11" t="n"/>
      <c r="P3" s="11" t="n"/>
      <c r="Q3" s="10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" s="11">
        <f>IF(Q3="","",HYPERLINK("https://wa.me/52"&amp;C3&amp;"?text="&amp;_xlfn.ENCODEURL(Q3),"Enviar Bienvenida"))</f>
        <v/>
      </c>
      <c r="S3" s="10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" s="11">
        <f>IF(S3="","",HYPERLINK("https://wa.me/52"&amp;C3&amp;"?text="&amp;_xlfn.ENCODEURL(S3),"Enviar Seguimiento"))</f>
        <v/>
      </c>
      <c r="U3" s="10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/>
      </c>
      <c r="V3" s="11">
        <f>IF(U3="","",HYPERLINK("https://wa.me/52"&amp;C3&amp;"?text="&amp;_xlfn.ENCODEURL(U3),"Enviar aviso de etapa"))</f>
        <v/>
      </c>
      <c r="W3" s="10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>
        <f>IF(W3="","",HYPERLINK("https://wa.me/52"&amp;C3&amp;"?text="&amp;_xlfn.ENCODEURL(W3),"Enviar felicitación"))</f>
        <v/>
      </c>
      <c r="Y3" s="10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>
        <f>IF(Y3="","",HYPERLINK("https://wa.me/52"&amp;C3&amp;"?text="&amp;_xlfn.ENCODEURL(Y3),"Enviar aniversario"))</f>
        <v/>
      </c>
      <c r="AA3" s="11" t="n"/>
      <c r="AB3" s="11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" s="10">
        <f>IFERROR(INDEX(Facturación!$Q:$Q,MATCH(B3,Facturación!$A:$A,0)),"")</f>
        <v/>
      </c>
    </row>
    <row r="4" ht="15" customHeight="1" s="1">
      <c r="A4" s="11">
        <f>IF(B4="","",ROW()-1)</f>
        <v/>
      </c>
      <c r="B4" s="11" t="inlineStr">
        <is>
          <t>Miguel Corona</t>
        </is>
      </c>
      <c r="C4" s="11" t="n">
        <v>4424479460</v>
      </c>
      <c r="D4" s="11" t="inlineStr">
        <is>
          <t>Rav-4</t>
        </is>
      </c>
      <c r="E4" s="11" t="inlineStr">
        <is>
          <t>XLE</t>
        </is>
      </c>
      <c r="F4" s="11" t="inlineStr">
        <is>
          <t>Contado</t>
        </is>
      </c>
      <c r="G4" s="11" t="inlineStr">
        <is>
          <t>Persona física</t>
        </is>
      </c>
      <c r="H4" s="11" t="inlineStr">
        <is>
          <t>No</t>
        </is>
      </c>
      <c r="I4" s="11" t="n"/>
      <c r="J4" s="11" t="n"/>
      <c r="K4" s="11" t="inlineStr">
        <is>
          <t>Cambiar a credito 100k</t>
        </is>
      </c>
      <c r="L4" s="11" t="inlineStr">
        <is>
          <t>Sí</t>
        </is>
      </c>
      <c r="M4" s="11" t="inlineStr">
        <is>
          <t>Apartado</t>
        </is>
      </c>
      <c r="N4" s="27" t="n">
        <v>46251</v>
      </c>
      <c r="O4" s="28" t="n">
        <v>46363</v>
      </c>
      <c r="P4" s="11" t="n"/>
      <c r="Q4" s="10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" s="11">
        <f>IF(Q4="","",HYPERLINK("https://wa.me/52"&amp;C4&amp;"?text="&amp;_xlfn.ENCODEURL(Q4),"Enviar Bienvenida"))</f>
        <v/>
      </c>
      <c r="S4" s="10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" s="11">
        <f>IF(S4="","",HYPERLINK("https://wa.me/52"&amp;C4&amp;"?text="&amp;_xlfn.ENCODEURL(S4),"Enviar Seguimiento"))</f>
        <v/>
      </c>
      <c r="U4" s="10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/>
      </c>
      <c r="V4" s="11">
        <f>IF(U4="","",HYPERLINK("https://wa.me/52"&amp;C4&amp;"?text="&amp;_xlfn.ENCODEURL(U4),"Enviar aviso de etapa"))</f>
        <v/>
      </c>
      <c r="W4" s="10">
        <f>IF(OR(B4="",O4=""),"","Hola, "&amp;B4&amp;", ¡feliz cumpleaños! Le deseo un excelente día rodeado de quienes más quiere. Ha sido un placer acompañarle desde que estrenó su Toyota. ¡Un abrazo!"&amp;CHAR(10)&amp;CHAR(10)&amp;Config!$B$1)</f>
        <v/>
      </c>
      <c r="X4" s="11">
        <f>IF(W4="","",HYPERLINK("https://wa.me/52"&amp;C4&amp;"?text="&amp;_xlfn.ENCODEURL(W4),"Enviar felicitación"))</f>
        <v/>
      </c>
      <c r="Y4" s="10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>
        <f>IF(Y4="","",HYPERLINK("https://wa.me/52"&amp;C4&amp;"?text="&amp;_xlfn.ENCODEURL(Y4),"Enviar aniversario"))</f>
        <v/>
      </c>
      <c r="AA4" s="11" t="n"/>
      <c r="AB4" s="11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" s="10">
        <f>IFERROR(INDEX(Facturación!$Q:$Q,MATCH(B4,Facturación!$A:$A,0)),"")</f>
        <v/>
      </c>
    </row>
    <row r="5" ht="15" customHeight="1" s="1">
      <c r="A5" s="11">
        <f>IF(B5="","",ROW()-1)</f>
        <v/>
      </c>
      <c r="B5" s="11" t="inlineStr">
        <is>
          <t>Alejandra Arzate</t>
        </is>
      </c>
      <c r="C5" s="11" t="n">
        <v>4423050736</v>
      </c>
      <c r="D5" s="11" t="inlineStr">
        <is>
          <t>Hilux</t>
        </is>
      </c>
      <c r="E5" s="11" t="inlineStr">
        <is>
          <t>Base</t>
        </is>
      </c>
      <c r="F5" s="11" t="inlineStr">
        <is>
          <t>Crédito</t>
        </is>
      </c>
      <c r="G5" s="11" t="inlineStr">
        <is>
          <t>Persona física</t>
        </is>
      </c>
      <c r="H5" s="11" t="inlineStr">
        <is>
          <t>No</t>
        </is>
      </c>
      <c r="I5" s="11" t="n"/>
      <c r="J5" s="11" t="n"/>
      <c r="K5" s="11" t="inlineStr">
        <is>
          <t>Son de Jalpan, no tenian tiempo y se les envio cotizacion</t>
        </is>
      </c>
      <c r="L5" s="11" t="inlineStr">
        <is>
          <t>Sí</t>
        </is>
      </c>
      <c r="M5" s="11" t="inlineStr">
        <is>
          <t>Prospecto / Visita</t>
        </is>
      </c>
      <c r="N5" s="27" t="n">
        <v>46250</v>
      </c>
      <c r="O5" s="11" t="n"/>
      <c r="P5" s="11" t="n"/>
      <c r="Q5" s="10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" s="11">
        <f>IF(Q5="","",HYPERLINK("https://wa.me/52"&amp;C5&amp;"?text="&amp;_xlfn.ENCODEURL(Q5),"Enviar Bienvenida"))</f>
        <v/>
      </c>
      <c r="S5" s="10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" s="11">
        <f>IF(S5="","",HYPERLINK("https://wa.me/52"&amp;C5&amp;"?text="&amp;_xlfn.ENCODEURL(S5),"Enviar Seguimiento"))</f>
        <v/>
      </c>
      <c r="U5" s="10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/>
      </c>
      <c r="V5" s="11">
        <f>IF(U5="","",HYPERLINK("https://wa.me/52"&amp;C5&amp;"?text="&amp;_xlfn.ENCODEURL(U5),"Enviar aviso de etapa"))</f>
        <v/>
      </c>
      <c r="W5" s="10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>
        <f>IF(W5="","",HYPERLINK("https://wa.me/52"&amp;C5&amp;"?text="&amp;_xlfn.ENCODEURL(W5),"Enviar felicitación"))</f>
        <v/>
      </c>
      <c r="Y5" s="10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>
        <f>IF(Y5="","",HYPERLINK("https://wa.me/52"&amp;C5&amp;"?text="&amp;_xlfn.ENCODEURL(Y5),"Enviar aniversario"))</f>
        <v/>
      </c>
      <c r="AA5" s="11" t="n"/>
      <c r="AB5" s="11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" s="10">
        <f>IFERROR(INDEX(Facturación!$Q:$Q,MATCH(B5,Facturación!$A:$A,0)),"")</f>
        <v/>
      </c>
    </row>
    <row r="6" ht="15" customHeight="1" s="1">
      <c r="A6" s="11">
        <f>IF(B6="","",ROW()-1)</f>
        <v/>
      </c>
      <c r="B6" s="11" t="inlineStr">
        <is>
          <t>Arelis Aguilar</t>
        </is>
      </c>
      <c r="C6" s="11" t="n">
        <v>4425994079</v>
      </c>
      <c r="D6" s="11" t="inlineStr">
        <is>
          <t>Sienna</t>
        </is>
      </c>
      <c r="E6" s="11" t="inlineStr">
        <is>
          <t>XSE</t>
        </is>
      </c>
      <c r="F6" s="11" t="inlineStr">
        <is>
          <t>Crédito</t>
        </is>
      </c>
      <c r="G6" s="11" t="inlineStr">
        <is>
          <t>Persona física</t>
        </is>
      </c>
      <c r="H6" s="11" t="inlineStr">
        <is>
          <t>No</t>
        </is>
      </c>
      <c r="I6" s="11" t="n"/>
      <c r="J6" s="11" t="n"/>
      <c r="K6" s="11" t="inlineStr">
        <is>
          <t>Está validando si sienna o corolla cross</t>
        </is>
      </c>
      <c r="L6" s="11" t="inlineStr">
        <is>
          <t>Sí</t>
        </is>
      </c>
      <c r="M6" s="11" t="inlineStr">
        <is>
          <t>Prospecto / Visita</t>
        </is>
      </c>
      <c r="N6" s="28" t="n">
        <v>46250</v>
      </c>
      <c r="O6" s="11" t="n"/>
      <c r="P6" s="11" t="n"/>
      <c r="Q6" s="10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" s="11">
        <f>IF(Q6="","",HYPERLINK("https://wa.me/52"&amp;C6&amp;"?text="&amp;_xlfn.ENCODEURL(Q6),"Enviar Bienvenida"))</f>
        <v/>
      </c>
      <c r="S6" s="10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" s="11">
        <f>IF(S6="","",HYPERLINK("https://wa.me/52"&amp;C6&amp;"?text="&amp;_xlfn.ENCODEURL(S6),"Enviar Seguimiento"))</f>
        <v/>
      </c>
      <c r="U6" s="10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/>
      </c>
      <c r="V6" s="11">
        <f>IF(U6="","",HYPERLINK("https://wa.me/52"&amp;C6&amp;"?text="&amp;_xlfn.ENCODEURL(U6),"Enviar aviso de etapa"))</f>
        <v/>
      </c>
      <c r="W6" s="10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>
        <f>IF(W6="","",HYPERLINK("https://wa.me/52"&amp;C6&amp;"?text="&amp;_xlfn.ENCODEURL(W6),"Enviar felicitación"))</f>
        <v/>
      </c>
      <c r="Y6" s="10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>
        <f>IF(Y6="","",HYPERLINK("https://wa.me/52"&amp;C6&amp;"?text="&amp;_xlfn.ENCODEURL(Y6),"Enviar aniversario"))</f>
        <v/>
      </c>
      <c r="AA6" s="11" t="n"/>
      <c r="AB6" s="11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" s="10">
        <f>IFERROR(INDEX(Facturación!$Q:$Q,MATCH(B6,Facturación!$A:$A,0)),"")</f>
        <v/>
      </c>
    </row>
    <row r="7" ht="15" customHeight="1" s="1">
      <c r="A7" s="11">
        <f>IF(B7="","",ROW()-1)</f>
        <v/>
      </c>
      <c r="B7" s="11" t="inlineStr">
        <is>
          <t>Jesus Gonzalez</t>
        </is>
      </c>
      <c r="C7" s="11" t="n">
        <v>4421834457</v>
      </c>
      <c r="D7" s="11" t="inlineStr">
        <is>
          <t>Hilux</t>
        </is>
      </c>
      <c r="E7" s="11" t="inlineStr">
        <is>
          <t>Base</t>
        </is>
      </c>
      <c r="F7" s="11" t="inlineStr">
        <is>
          <t>Crédito</t>
        </is>
      </c>
      <c r="G7" s="11" t="inlineStr">
        <is>
          <t>Persona física</t>
        </is>
      </c>
      <c r="H7" s="11" t="inlineStr">
        <is>
          <t>No</t>
        </is>
      </c>
      <c r="I7" s="11" t="n"/>
      <c r="J7" s="11" t="n"/>
      <c r="K7" s="11" t="inlineStr">
        <is>
          <t>Seguimiento para validar si la compra</t>
        </is>
      </c>
      <c r="L7" s="11" t="inlineStr">
        <is>
          <t>Sí</t>
        </is>
      </c>
      <c r="M7" s="11" t="inlineStr">
        <is>
          <t>Prospecto / Visita</t>
        </is>
      </c>
      <c r="N7" s="28" t="n">
        <v>46250</v>
      </c>
      <c r="O7" s="11" t="n"/>
      <c r="P7" s="11" t="n"/>
      <c r="Q7" s="10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" s="11">
        <f>IF(Q7="","",HYPERLINK("https://wa.me/52"&amp;C7&amp;"?text="&amp;_xlfn.ENCODEURL(Q7),"Enviar Bienvenida"))</f>
        <v/>
      </c>
      <c r="S7" s="10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" s="11">
        <f>IF(S7="","",HYPERLINK("https://wa.me/52"&amp;C7&amp;"?text="&amp;_xlfn.ENCODEURL(S7),"Enviar Seguimiento"))</f>
        <v/>
      </c>
      <c r="U7" s="10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/>
      </c>
      <c r="V7" s="11">
        <f>IF(U7="","",HYPERLINK("https://wa.me/52"&amp;C7&amp;"?text="&amp;_xlfn.ENCODEURL(U7),"Enviar aviso de etapa"))</f>
        <v/>
      </c>
      <c r="W7" s="10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>
        <f>IF(W7="","",HYPERLINK("https://wa.me/52"&amp;C7&amp;"?text="&amp;_xlfn.ENCODEURL(W7),"Enviar felicitación"))</f>
        <v/>
      </c>
      <c r="Y7" s="10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>
        <f>IF(Y7="","",HYPERLINK("https://wa.me/52"&amp;C7&amp;"?text="&amp;_xlfn.ENCODEURL(Y7),"Enviar aniversario"))</f>
        <v/>
      </c>
      <c r="AA7" s="11" t="n"/>
      <c r="AB7" s="11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" s="10">
        <f>IFERROR(INDEX(Facturación!$Q:$Q,MATCH(B7,Facturación!$A:$A,0)),"")</f>
        <v/>
      </c>
    </row>
    <row r="8" ht="15" customHeight="1" s="1">
      <c r="A8" s="11">
        <f>IF(B8="","",ROW()-1)</f>
        <v/>
      </c>
      <c r="B8" s="11" t="inlineStr">
        <is>
          <t>José Juan Gonzalez</t>
        </is>
      </c>
      <c r="C8" s="11" t="n">
        <v>4422192465</v>
      </c>
      <c r="D8" s="11" t="inlineStr">
        <is>
          <t>Corolla</t>
        </is>
      </c>
      <c r="E8" s="11" t="inlineStr">
        <is>
          <t>Base</t>
        </is>
      </c>
      <c r="F8" s="11" t="inlineStr">
        <is>
          <t>Crédito</t>
        </is>
      </c>
      <c r="G8" s="11" t="inlineStr">
        <is>
          <t>Persona física</t>
        </is>
      </c>
      <c r="H8" s="11" t="inlineStr">
        <is>
          <t>No</t>
        </is>
      </c>
      <c r="I8" s="11" t="n"/>
      <c r="J8" s="11" t="n"/>
      <c r="K8" s="11" t="inlineStr">
        <is>
          <t xml:space="preserve">En seguimiento </t>
        </is>
      </c>
      <c r="L8" s="11" t="inlineStr">
        <is>
          <t>Sí</t>
        </is>
      </c>
      <c r="M8" s="11" t="inlineStr">
        <is>
          <t>Prospecto / Visita</t>
        </is>
      </c>
      <c r="N8" s="28" t="n">
        <v>46248</v>
      </c>
      <c r="O8" s="11" t="n"/>
      <c r="P8" s="11" t="n"/>
      <c r="Q8" s="10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" s="11">
        <f>IF(Q8="","",HYPERLINK("https://wa.me/52"&amp;C8&amp;"?text="&amp;_xlfn.ENCODEURL(Q8),"Enviar Bienvenida"))</f>
        <v/>
      </c>
      <c r="S8" s="10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" s="11">
        <f>IF(S8="","",HYPERLINK("https://wa.me/52"&amp;C8&amp;"?text="&amp;_xlfn.ENCODEURL(S8),"Enviar Seguimiento"))</f>
        <v/>
      </c>
      <c r="U8" s="10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/>
      </c>
      <c r="V8" s="11">
        <f>IF(U8="","",HYPERLINK("https://wa.me/52"&amp;C8&amp;"?text="&amp;_xlfn.ENCODEURL(U8),"Enviar aviso de etapa"))</f>
        <v/>
      </c>
      <c r="W8" s="10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>
        <f>IF(W8="","",HYPERLINK("https://wa.me/52"&amp;C8&amp;"?text="&amp;_xlfn.ENCODEURL(W8),"Enviar felicitación"))</f>
        <v/>
      </c>
      <c r="Y8" s="10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>
        <f>IF(Y8="","",HYPERLINK("https://wa.me/52"&amp;C8&amp;"?text="&amp;_xlfn.ENCODEURL(Y8),"Enviar aniversario"))</f>
        <v/>
      </c>
      <c r="AA8" s="11" t="n"/>
      <c r="AB8" s="11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" s="10">
        <f>IFERROR(INDEX(Facturación!$Q:$Q,MATCH(B8,Facturación!$A:$A,0)),"")</f>
        <v/>
      </c>
    </row>
    <row r="9" ht="15" customHeight="1" s="1">
      <c r="A9" s="11">
        <f>IF(B9="","",ROW()-1)</f>
        <v/>
      </c>
      <c r="B9" s="11" t="inlineStr">
        <is>
          <t>Rodrigo Aguilera</t>
        </is>
      </c>
      <c r="C9" s="11" t="n">
        <v>4421916064</v>
      </c>
      <c r="D9" s="11" t="inlineStr">
        <is>
          <t>Rav-4</t>
        </is>
      </c>
      <c r="E9" s="11" t="inlineStr">
        <is>
          <t>XLE</t>
        </is>
      </c>
      <c r="F9" s="11" t="inlineStr">
        <is>
          <t>Crédito</t>
        </is>
      </c>
      <c r="G9" s="11" t="inlineStr">
        <is>
          <t>Persona física</t>
        </is>
      </c>
      <c r="H9" s="11" t="inlineStr">
        <is>
          <t>No</t>
        </is>
      </c>
      <c r="I9" s="11" t="n"/>
      <c r="J9" s="11" t="n"/>
      <c r="K9" s="11" t="inlineStr">
        <is>
          <t>No le gusto el tiempo de espera</t>
        </is>
      </c>
      <c r="L9" s="11" t="inlineStr">
        <is>
          <t>Sí</t>
        </is>
      </c>
      <c r="M9" s="11" t="inlineStr">
        <is>
          <t>Prospecto / Visita</t>
        </is>
      </c>
      <c r="N9" s="28" t="n">
        <v>46248</v>
      </c>
      <c r="O9" s="11" t="n"/>
      <c r="P9" s="11" t="n"/>
      <c r="Q9" s="10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" s="11">
        <f>IF(Q9="","",HYPERLINK("https://wa.me/52"&amp;C9&amp;"?text="&amp;_xlfn.ENCODEURL(Q9),"Enviar Bienvenida"))</f>
        <v/>
      </c>
      <c r="S9" s="10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" s="11">
        <f>IF(S9="","",HYPERLINK("https://wa.me/52"&amp;C9&amp;"?text="&amp;_xlfn.ENCODEURL(S9),"Enviar Seguimiento"))</f>
        <v/>
      </c>
      <c r="U9" s="10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/>
      </c>
      <c r="V9" s="11">
        <f>IF(U9="","",HYPERLINK("https://wa.me/52"&amp;C9&amp;"?text="&amp;_xlfn.ENCODEURL(U9),"Enviar aviso de etapa"))</f>
        <v/>
      </c>
      <c r="W9" s="10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>
        <f>IF(W9="","",HYPERLINK("https://wa.me/52"&amp;C9&amp;"?text="&amp;_xlfn.ENCODEURL(W9),"Enviar felicitación"))</f>
        <v/>
      </c>
      <c r="Y9" s="10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>
        <f>IF(Y9="","",HYPERLINK("https://wa.me/52"&amp;C9&amp;"?text="&amp;_xlfn.ENCODEURL(Y9),"Enviar aniversario"))</f>
        <v/>
      </c>
      <c r="AA9" s="11" t="n"/>
      <c r="AB9" s="11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" s="10">
        <f>IFERROR(INDEX(Facturación!$Q:$Q,MATCH(B9,Facturación!$A:$A,0)),"")</f>
        <v/>
      </c>
    </row>
    <row r="10" ht="15" customHeight="1" s="1">
      <c r="A10" s="11">
        <f>IF(B10="","",ROW()-1)</f>
        <v/>
      </c>
      <c r="B10" s="11" t="inlineStr">
        <is>
          <t>Elias Hernandez</t>
        </is>
      </c>
      <c r="C10" s="11" t="n">
        <v>7711120165</v>
      </c>
      <c r="D10" s="11" t="inlineStr">
        <is>
          <t>Hilux</t>
        </is>
      </c>
      <c r="E10" s="11" t="inlineStr">
        <is>
          <t>Base</t>
        </is>
      </c>
      <c r="F10" s="11" t="inlineStr">
        <is>
          <t>Creidito</t>
        </is>
      </c>
      <c r="G10" s="11" t="inlineStr">
        <is>
          <t>Persona moral</t>
        </is>
      </c>
      <c r="H10" s="11" t="inlineStr">
        <is>
          <t>No</t>
        </is>
      </c>
      <c r="I10" s="11" t="n"/>
      <c r="J10" s="11" t="n"/>
      <c r="K10" s="11" t="inlineStr">
        <is>
          <t>En espera de documentos para tfs</t>
        </is>
      </c>
      <c r="L10" s="11" t="inlineStr">
        <is>
          <t>Sí</t>
        </is>
      </c>
      <c r="M10" s="11" t="inlineStr">
        <is>
          <t>Prospecto / Visita</t>
        </is>
      </c>
      <c r="N10" s="28" t="n">
        <v>46248</v>
      </c>
      <c r="O10" s="11" t="n"/>
      <c r="P10" s="11" t="n"/>
      <c r="Q10" s="10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" s="11">
        <f>IF(Q10="","",HYPERLINK("https://wa.me/52"&amp;C10&amp;"?text="&amp;_xlfn.ENCODEURL(Q10),"Enviar Bienvenida"))</f>
        <v/>
      </c>
      <c r="S10" s="10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" s="11">
        <f>IF(S10="","",HYPERLINK("https://wa.me/52"&amp;C10&amp;"?text="&amp;_xlfn.ENCODEURL(S10),"Enviar Seguimiento"))</f>
        <v/>
      </c>
      <c r="U10" s="10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/>
      </c>
      <c r="V10" s="11">
        <f>IF(U10="","",HYPERLINK("https://wa.me/52"&amp;C10&amp;"?text="&amp;_xlfn.ENCODEURL(U10),"Enviar aviso de etapa"))</f>
        <v/>
      </c>
      <c r="W10" s="10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>
        <f>IF(W10="","",HYPERLINK("https://wa.me/52"&amp;C10&amp;"?text="&amp;_xlfn.ENCODEURL(W10),"Enviar felicitación"))</f>
        <v/>
      </c>
      <c r="Y10" s="10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>
        <f>IF(Y10="","",HYPERLINK("https://wa.me/52"&amp;C10&amp;"?text="&amp;_xlfn.ENCODEURL(Y10),"Enviar aniversario"))</f>
        <v/>
      </c>
      <c r="AA10" s="11" t="n"/>
      <c r="AB10" s="11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" s="10">
        <f>IFERROR(INDEX(Facturación!$Q:$Q,MATCH(B10,Facturación!$A:$A,0)),"")</f>
        <v/>
      </c>
    </row>
    <row r="11" ht="15" customHeight="1" s="1">
      <c r="A11" s="11">
        <f>IF(B11="","",ROW()-1)</f>
        <v/>
      </c>
      <c r="B11" s="11" t="inlineStr">
        <is>
          <t>YESICA NAYELLI REYES MARTINEZ</t>
        </is>
      </c>
      <c r="C11" s="11" t="inlineStr">
        <is>
          <t>5516524745</t>
        </is>
      </c>
      <c r="D11" s="11" t="inlineStr">
        <is>
          <t>COROLLA CROSS, LE, COLOR NEGRO, AUTOMATICA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37" t="n">
        <v>46300</v>
      </c>
      <c r="O11" s="11" t="n"/>
      <c r="P11" s="11" t="n"/>
      <c r="Q11" s="10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>
        <f>IF(Q11="","",HYPERLINK("https://wa.me/52"&amp;C11&amp;"?text="&amp;_xlfn.ENCODEURL(Q11),"Enviar Bienvenida"))</f>
        <v/>
      </c>
      <c r="S11" s="10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>
        <f>IF(S11="","",HYPERLINK("https://wa.me/52"&amp;C11&amp;"?text="&amp;_xlfn.ENCODEURL(S11),"Enviar Seguimiento"))</f>
        <v/>
      </c>
      <c r="U11" s="10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>
        <f>IF(U11="","",HYPERLINK("https://wa.me/52"&amp;C11&amp;"?text="&amp;_xlfn.ENCODEURL(U11),"Enviar aviso de etapa"))</f>
        <v/>
      </c>
      <c r="W11" s="10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>
        <f>IF(W11="","",HYPERLINK("https://wa.me/52"&amp;C11&amp;"?text="&amp;_xlfn.ENCODEURL(W11),"Enviar felicitación"))</f>
        <v/>
      </c>
      <c r="Y11" s="10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>
        <f>IF(Y11="","",HYPERLINK("https://wa.me/52"&amp;C11&amp;"?text="&amp;_xlfn.ENCODEURL(Y11),"Enviar aniversario"))</f>
        <v/>
      </c>
      <c r="AA11" s="11" t="n"/>
      <c r="AB11" s="11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>
        <f>IFERROR(INDEX(Facturación!$Q:$Q,MATCH(B11,Facturación!$A:$A,0)),"")</f>
        <v/>
      </c>
    </row>
    <row r="12" ht="15" customHeight="1" s="1">
      <c r="A12" s="11">
        <f>IF(B12="","",ROW()-1)</f>
        <v/>
      </c>
      <c r="B12" s="11" t="inlineStr">
        <is>
          <t>SAINTS ENTERPRISES SC</t>
        </is>
      </c>
      <c r="C12" s="11" t="inlineStr">
        <is>
          <t>4423628789</t>
        </is>
      </c>
      <c r="D12" s="11" t="inlineStr">
        <is>
          <t>CAMRY LE, 2026, COLOR PLATA, AUTOMATICO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37" t="n">
        <v>46302</v>
      </c>
      <c r="O12" s="11" t="n"/>
      <c r="P12" s="11" t="n"/>
      <c r="Q12" s="10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>
        <f>IF(Q12="","",HYPERLINK("https://wa.me/52"&amp;C12&amp;"?text="&amp;_xlfn.ENCODEURL(Q12),"Enviar Bienvenida"))</f>
        <v/>
      </c>
      <c r="S12" s="10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>
        <f>IF(S12="","",HYPERLINK("https://wa.me/52"&amp;C12&amp;"?text="&amp;_xlfn.ENCODEURL(S12),"Enviar Seguimiento"))</f>
        <v/>
      </c>
      <c r="U12" s="10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>
        <f>IF(U12="","",HYPERLINK("https://wa.me/52"&amp;C12&amp;"?text="&amp;_xlfn.ENCODEURL(U12),"Enviar aviso de etapa"))</f>
        <v/>
      </c>
      <c r="W12" s="10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>
        <f>IF(W12="","",HYPERLINK("https://wa.me/52"&amp;C12&amp;"?text="&amp;_xlfn.ENCODEURL(W12),"Enviar felicitación"))</f>
        <v/>
      </c>
      <c r="Y12" s="10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>
        <f>IF(Y12="","",HYPERLINK("https://wa.me/52"&amp;C12&amp;"?text="&amp;_xlfn.ENCODEURL(Y12),"Enviar aniversario"))</f>
        <v/>
      </c>
      <c r="AA12" s="11" t="n"/>
      <c r="AB12" s="11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>
        <f>IFERROR(INDEX(Facturación!$Q:$Q,MATCH(B12,Facturación!$A:$A,0)),"")</f>
        <v/>
      </c>
    </row>
    <row r="13" ht="15" customHeight="1" s="1">
      <c r="A13" s="11">
        <f>IF(B13="","",ROW()-1)</f>
        <v/>
      </c>
      <c r="B13" s="11" t="inlineStr">
        <is>
          <t>JAVIER AVICK GONZALEZ MUÑOZ</t>
        </is>
      </c>
      <c r="C13" s="11" t="inlineStr">
        <is>
          <t>4424839331</t>
        </is>
      </c>
      <c r="D13" s="11" t="inlineStr">
        <is>
          <t>TACOMA TRD 4X2, 2026, COLOR ROJO, AUTOMATICA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37" t="n">
        <v>46303</v>
      </c>
      <c r="O13" s="11" t="n"/>
      <c r="P13" s="11" t="n"/>
      <c r="Q13" s="10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>
        <f>IF(Q13="","",HYPERLINK("https://wa.me/52"&amp;C13&amp;"?text="&amp;_xlfn.ENCODEURL(Q13),"Enviar Bienvenida"))</f>
        <v/>
      </c>
      <c r="S13" s="10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>
        <f>IF(S13="","",HYPERLINK("https://wa.me/52"&amp;C13&amp;"?text="&amp;_xlfn.ENCODEURL(S13),"Enviar Seguimiento"))</f>
        <v/>
      </c>
      <c r="U13" s="10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>
        <f>IF(U13="","",HYPERLINK("https://wa.me/52"&amp;C13&amp;"?text="&amp;_xlfn.ENCODEURL(U13),"Enviar aviso de etapa"))</f>
        <v/>
      </c>
      <c r="W13" s="10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>
        <f>IF(W13="","",HYPERLINK("https://wa.me/52"&amp;C13&amp;"?text="&amp;_xlfn.ENCODEURL(W13),"Enviar felicitación"))</f>
        <v/>
      </c>
      <c r="Y13" s="10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>
        <f>IF(Y13="","",HYPERLINK("https://wa.me/52"&amp;C13&amp;"?text="&amp;_xlfn.ENCODEURL(Y13),"Enviar aniversario"))</f>
        <v/>
      </c>
      <c r="AA13" s="11" t="n"/>
      <c r="AB13" s="11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>
        <f>IFERROR(INDEX(Facturación!$Q:$Q,MATCH(B13,Facturación!$A:$A,0)),"")</f>
        <v/>
      </c>
    </row>
    <row r="14" ht="15" customHeight="1" s="1">
      <c r="A14" s="11">
        <f>IF(B14="","",ROW()-1)</f>
        <v/>
      </c>
      <c r="B14" s="11" t="inlineStr">
        <is>
          <t>ESTEFANA GARCIA SUAREZ</t>
        </is>
      </c>
      <c r="C14" s="11" t="inlineStr">
        <is>
          <t>4421430912</t>
        </is>
      </c>
      <c r="D14" s="11" t="inlineStr">
        <is>
          <t>HILUX DIESEL, 2027, COLOR BLANCO, AUTOMATICA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37" t="n">
        <v>46304</v>
      </c>
      <c r="O14" s="11" t="n"/>
      <c r="P14" s="11" t="n"/>
      <c r="Q14" s="10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>
        <f>IF(Q14="","",HYPERLINK("https://wa.me/52"&amp;C14&amp;"?text="&amp;_xlfn.ENCODEURL(Q14),"Enviar Bienvenida"))</f>
        <v/>
      </c>
      <c r="S14" s="10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>
        <f>IF(S14="","",HYPERLINK("https://wa.me/52"&amp;C14&amp;"?text="&amp;_xlfn.ENCODEURL(S14),"Enviar Seguimiento"))</f>
        <v/>
      </c>
      <c r="U14" s="10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>
        <f>IF(U14="","",HYPERLINK("https://wa.me/52"&amp;C14&amp;"?text="&amp;_xlfn.ENCODEURL(U14),"Enviar aviso de etapa"))</f>
        <v/>
      </c>
      <c r="W14" s="10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>
        <f>IF(W14="","",HYPERLINK("https://wa.me/52"&amp;C14&amp;"?text="&amp;_xlfn.ENCODEURL(W14),"Enviar felicitación"))</f>
        <v/>
      </c>
      <c r="Y14" s="10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>
        <f>IF(Y14="","",HYPERLINK("https://wa.me/52"&amp;C14&amp;"?text="&amp;_xlfn.ENCODEURL(Y14),"Enviar aniversario"))</f>
        <v/>
      </c>
      <c r="AA14" s="11" t="n"/>
      <c r="AB14" s="11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>
        <f>IFERROR(INDEX(Facturación!$Q:$Q,MATCH(B14,Facturación!$A:$A,0)),"")</f>
        <v/>
      </c>
    </row>
    <row r="15" ht="15" customHeight="1" s="1">
      <c r="A15" s="11">
        <f>IF(B15="","",ROW()-1)</f>
        <v/>
      </c>
      <c r="B15" s="11" t="inlineStr">
        <is>
          <t>ESTEFANA GARCIA SUAREZ</t>
        </is>
      </c>
      <c r="C15" s="11" t="inlineStr">
        <is>
          <t>4421430912</t>
        </is>
      </c>
      <c r="D15" s="11" t="inlineStr">
        <is>
          <t>HILUX DIESEL, 2027, COLOR BLANCO, AUTOMATICA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37" t="n">
        <v>46304</v>
      </c>
      <c r="O15" s="11" t="n"/>
      <c r="P15" s="11" t="n"/>
      <c r="Q15" s="10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>
        <f>IF(Q15="","",HYPERLINK("https://wa.me/52"&amp;C15&amp;"?text="&amp;_xlfn.ENCODEURL(Q15),"Enviar Bienvenida"))</f>
        <v/>
      </c>
      <c r="S15" s="10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>
        <f>IF(S15="","",HYPERLINK("https://wa.me/52"&amp;C15&amp;"?text="&amp;_xlfn.ENCODEURL(S15),"Enviar Seguimiento"))</f>
        <v/>
      </c>
      <c r="U15" s="10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>
        <f>IF(U15="","",HYPERLINK("https://wa.me/52"&amp;C15&amp;"?text="&amp;_xlfn.ENCODEURL(U15),"Enviar aviso de etapa"))</f>
        <v/>
      </c>
      <c r="W15" s="10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>
        <f>IF(W15="","",HYPERLINK("https://wa.me/52"&amp;C15&amp;"?text="&amp;_xlfn.ENCODEURL(W15),"Enviar felicitación"))</f>
        <v/>
      </c>
      <c r="Y15" s="10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>
        <f>IF(Y15="","",HYPERLINK("https://wa.me/52"&amp;C15&amp;"?text="&amp;_xlfn.ENCODEURL(Y15),"Enviar aniversario"))</f>
        <v/>
      </c>
      <c r="AA15" s="11" t="n"/>
      <c r="AB15" s="11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>
        <f>IFERROR(INDEX(Facturación!$Q:$Q,MATCH(B15,Facturación!$A:$A,0)),"")</f>
        <v/>
      </c>
    </row>
    <row r="16" ht="15" customHeight="1" s="1">
      <c r="A16" s="11">
        <f>IF(B16="","",ROW()-1)</f>
        <v/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>
        <f>IF(Q16="","",HYPERLINK("https://wa.me/52"&amp;C16&amp;"?text="&amp;_xlfn.ENCODEURL(Q16),"Enviar Bienvenida"))</f>
        <v/>
      </c>
      <c r="S16" s="10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>
        <f>IF(S16="","",HYPERLINK("https://wa.me/52"&amp;C16&amp;"?text="&amp;_xlfn.ENCODEURL(S16),"Enviar Seguimiento"))</f>
        <v/>
      </c>
      <c r="U16" s="10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>
        <f>IF(U16="","",HYPERLINK("https://wa.me/52"&amp;C16&amp;"?text="&amp;_xlfn.ENCODEURL(U16),"Enviar aviso de etapa"))</f>
        <v/>
      </c>
      <c r="W16" s="10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>
        <f>IF(W16="","",HYPERLINK("https://wa.me/52"&amp;C16&amp;"?text="&amp;_xlfn.ENCODEURL(W16),"Enviar felicitación"))</f>
        <v/>
      </c>
      <c r="Y16" s="10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>
        <f>IF(Y16="","",HYPERLINK("https://wa.me/52"&amp;C16&amp;"?text="&amp;_xlfn.ENCODEURL(Y16),"Enviar aniversario"))</f>
        <v/>
      </c>
      <c r="AA16" s="11" t="n"/>
      <c r="AB16" s="11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>
        <f>IFERROR(INDEX(Facturación!$Q:$Q,MATCH(B16,Facturación!$A:$A,0)),"")</f>
        <v/>
      </c>
    </row>
    <row r="17" ht="15" customHeight="1" s="1">
      <c r="A17" s="11">
        <f>IF(B17="","",ROW()-1)</f>
        <v/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>
        <f>IF(Q17="","",HYPERLINK("https://wa.me/52"&amp;C17&amp;"?text="&amp;_xlfn.ENCODEURL(Q17),"Enviar Bienvenida"))</f>
        <v/>
      </c>
      <c r="S17" s="10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>
        <f>IF(S17="","",HYPERLINK("https://wa.me/52"&amp;C17&amp;"?text="&amp;_xlfn.ENCODEURL(S17),"Enviar Seguimiento"))</f>
        <v/>
      </c>
      <c r="U17" s="10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>
        <f>IF(U17="","",HYPERLINK("https://wa.me/52"&amp;C17&amp;"?text="&amp;_xlfn.ENCODEURL(U17),"Enviar aviso de etapa"))</f>
        <v/>
      </c>
      <c r="W17" s="10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>
        <f>IF(W17="","",HYPERLINK("https://wa.me/52"&amp;C17&amp;"?text="&amp;_xlfn.ENCODEURL(W17),"Enviar felicitación"))</f>
        <v/>
      </c>
      <c r="Y17" s="10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>
        <f>IF(Y17="","",HYPERLINK("https://wa.me/52"&amp;C17&amp;"?text="&amp;_xlfn.ENCODEURL(Y17),"Enviar aniversario"))</f>
        <v/>
      </c>
      <c r="AA17" s="11" t="n"/>
      <c r="AB17" s="11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>
        <f>IFERROR(INDEX(Facturación!$Q:$Q,MATCH(B17,Facturación!$A:$A,0)),"")</f>
        <v/>
      </c>
    </row>
    <row r="18" ht="15" customHeight="1" s="1">
      <c r="A18" s="11">
        <f>IF(B18="","",ROW()-1)</f>
        <v/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>
        <f>IF(Q18="","",HYPERLINK("https://wa.me/52"&amp;C18&amp;"?text="&amp;_xlfn.ENCODEURL(Q18),"Enviar Bienvenida"))</f>
        <v/>
      </c>
      <c r="S18" s="10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>
        <f>IF(S18="","",HYPERLINK("https://wa.me/52"&amp;C18&amp;"?text="&amp;_xlfn.ENCODEURL(S18),"Enviar Seguimiento"))</f>
        <v/>
      </c>
      <c r="U18" s="10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>
        <f>IF(U18="","",HYPERLINK("https://wa.me/52"&amp;C18&amp;"?text="&amp;_xlfn.ENCODEURL(U18),"Enviar aviso de etapa"))</f>
        <v/>
      </c>
      <c r="W18" s="10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>
        <f>IF(W18="","",HYPERLINK("https://wa.me/52"&amp;C18&amp;"?text="&amp;_xlfn.ENCODEURL(W18),"Enviar felicitación"))</f>
        <v/>
      </c>
      <c r="Y18" s="10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>
        <f>IF(Y18="","",HYPERLINK("https://wa.me/52"&amp;C18&amp;"?text="&amp;_xlfn.ENCODEURL(Y18),"Enviar aniversario"))</f>
        <v/>
      </c>
      <c r="AA18" s="11" t="n"/>
      <c r="AB18" s="11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>
        <f>IFERROR(INDEX(Facturación!$Q:$Q,MATCH(B18,Facturación!$A:$A,0)),"")</f>
        <v/>
      </c>
    </row>
    <row r="19" ht="15" customHeight="1" s="1">
      <c r="A19" s="11">
        <f>IF(B19="","",ROW()-1)</f>
        <v/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>
        <f>IF(Q19="","",HYPERLINK("https://wa.me/52"&amp;C19&amp;"?text="&amp;_xlfn.ENCODEURL(Q19),"Enviar Bienvenida"))</f>
        <v/>
      </c>
      <c r="S19" s="10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>
        <f>IF(S19="","",HYPERLINK("https://wa.me/52"&amp;C19&amp;"?text="&amp;_xlfn.ENCODEURL(S19),"Enviar Seguimiento"))</f>
        <v/>
      </c>
      <c r="U19" s="10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>
        <f>IF(U19="","",HYPERLINK("https://wa.me/52"&amp;C19&amp;"?text="&amp;_xlfn.ENCODEURL(U19),"Enviar aviso de etapa"))</f>
        <v/>
      </c>
      <c r="W19" s="10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>
        <f>IF(W19="","",HYPERLINK("https://wa.me/52"&amp;C19&amp;"?text="&amp;_xlfn.ENCODEURL(W19),"Enviar felicitación"))</f>
        <v/>
      </c>
      <c r="Y19" s="10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>
        <f>IF(Y19="","",HYPERLINK("https://wa.me/52"&amp;C19&amp;"?text="&amp;_xlfn.ENCODEURL(Y19),"Enviar aniversario"))</f>
        <v/>
      </c>
      <c r="AA19" s="11" t="n"/>
      <c r="AB19" s="11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>
        <f>IFERROR(INDEX(Facturación!$Q:$Q,MATCH(B19,Facturación!$A:$A,0)),"")</f>
        <v/>
      </c>
    </row>
    <row r="20" ht="15" customHeight="1" s="1">
      <c r="A20" s="11">
        <f>IF(B20="","",ROW()-1)</f>
        <v/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>
        <f>IF(Q20="","",HYPERLINK("https://wa.me/52"&amp;C20&amp;"?text="&amp;_xlfn.ENCODEURL(Q20),"Enviar Bienvenida"))</f>
        <v/>
      </c>
      <c r="S20" s="10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>
        <f>IF(S20="","",HYPERLINK("https://wa.me/52"&amp;C20&amp;"?text="&amp;_xlfn.ENCODEURL(S20),"Enviar Seguimiento"))</f>
        <v/>
      </c>
      <c r="U20" s="10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>
        <f>IF(U20="","",HYPERLINK("https://wa.me/52"&amp;C20&amp;"?text="&amp;_xlfn.ENCODEURL(U20),"Enviar aviso de etapa"))</f>
        <v/>
      </c>
      <c r="W20" s="10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>
        <f>IF(W20="","",HYPERLINK("https://wa.me/52"&amp;C20&amp;"?text="&amp;_xlfn.ENCODEURL(W20),"Enviar felicitación"))</f>
        <v/>
      </c>
      <c r="Y20" s="10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>
        <f>IF(Y20="","",HYPERLINK("https://wa.me/52"&amp;C20&amp;"?text="&amp;_xlfn.ENCODEURL(Y20),"Enviar aniversario"))</f>
        <v/>
      </c>
      <c r="AA20" s="11" t="n"/>
      <c r="AB20" s="11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>
        <f>IFERROR(INDEX(Facturación!$Q:$Q,MATCH(B20,Facturación!$A:$A,0)),"")</f>
        <v/>
      </c>
    </row>
    <row r="21" ht="15" customHeight="1" s="1">
      <c r="A21" s="11">
        <f>IF(B21="","",ROW()-1)</f>
        <v/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>
        <f>IF(Q21="","",HYPERLINK("https://wa.me/52"&amp;C21&amp;"?text="&amp;_xlfn.ENCODEURL(Q21),"Enviar Bienvenida"))</f>
        <v/>
      </c>
      <c r="S21" s="10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>
        <f>IF(S21="","",HYPERLINK("https://wa.me/52"&amp;C21&amp;"?text="&amp;_xlfn.ENCODEURL(S21),"Enviar Seguimiento"))</f>
        <v/>
      </c>
      <c r="U21" s="10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>
        <f>IF(U21="","",HYPERLINK("https://wa.me/52"&amp;C21&amp;"?text="&amp;_xlfn.ENCODEURL(U21),"Enviar aviso de etapa"))</f>
        <v/>
      </c>
      <c r="W21" s="10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>
        <f>IF(W21="","",HYPERLINK("https://wa.me/52"&amp;C21&amp;"?text="&amp;_xlfn.ENCODEURL(W21),"Enviar felicitación"))</f>
        <v/>
      </c>
      <c r="Y21" s="10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>
        <f>IF(Y21="","",HYPERLINK("https://wa.me/52"&amp;C21&amp;"?text="&amp;_xlfn.ENCODEURL(Y21),"Enviar aniversario"))</f>
        <v/>
      </c>
      <c r="AA21" s="11" t="n"/>
      <c r="AB21" s="11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>
        <f>IFERROR(INDEX(Facturación!$Q:$Q,MATCH(B21,Facturación!$A:$A,0)),"")</f>
        <v/>
      </c>
    </row>
    <row r="22" ht="15" customHeight="1" s="1">
      <c r="A22" s="11">
        <f>IF(B22="","",ROW()-1)</f>
        <v/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>
        <f>IF(Q22="","",HYPERLINK("https://wa.me/52"&amp;C22&amp;"?text="&amp;_xlfn.ENCODEURL(Q22),"Enviar Bienvenida"))</f>
        <v/>
      </c>
      <c r="S22" s="10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>
        <f>IF(S22="","",HYPERLINK("https://wa.me/52"&amp;C22&amp;"?text="&amp;_xlfn.ENCODEURL(S22),"Enviar Seguimiento"))</f>
        <v/>
      </c>
      <c r="U22" s="10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>
        <f>IF(U22="","",HYPERLINK("https://wa.me/52"&amp;C22&amp;"?text="&amp;_xlfn.ENCODEURL(U22),"Enviar aviso de etapa"))</f>
        <v/>
      </c>
      <c r="W22" s="10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>
        <f>IF(W22="","",HYPERLINK("https://wa.me/52"&amp;C22&amp;"?text="&amp;_xlfn.ENCODEURL(W22),"Enviar felicitación"))</f>
        <v/>
      </c>
      <c r="Y22" s="10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>
        <f>IF(Y22="","",HYPERLINK("https://wa.me/52"&amp;C22&amp;"?text="&amp;_xlfn.ENCODEURL(Y22),"Enviar aniversario"))</f>
        <v/>
      </c>
      <c r="AA22" s="11" t="n"/>
      <c r="AB22" s="11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>
        <f>IFERROR(INDEX(Facturación!$Q:$Q,MATCH(B22,Facturación!$A:$A,0)),"")</f>
        <v/>
      </c>
    </row>
    <row r="23" ht="15" customHeight="1" s="1">
      <c r="A23" s="11">
        <f>IF(B23="","",ROW()-1)</f>
        <v/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>
        <f>IF(Q23="","",HYPERLINK("https://wa.me/52"&amp;C23&amp;"?text="&amp;_xlfn.ENCODEURL(Q23),"Enviar Bienvenida"))</f>
        <v/>
      </c>
      <c r="S23" s="10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>
        <f>IF(S23="","",HYPERLINK("https://wa.me/52"&amp;C23&amp;"?text="&amp;_xlfn.ENCODEURL(S23),"Enviar Seguimiento"))</f>
        <v/>
      </c>
      <c r="U23" s="10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>
        <f>IF(U23="","",HYPERLINK("https://wa.me/52"&amp;C23&amp;"?text="&amp;_xlfn.ENCODEURL(U23),"Enviar aviso de etapa"))</f>
        <v/>
      </c>
      <c r="W23" s="10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>
        <f>IF(W23="","",HYPERLINK("https://wa.me/52"&amp;C23&amp;"?text="&amp;_xlfn.ENCODEURL(W23),"Enviar felicitación"))</f>
        <v/>
      </c>
      <c r="Y23" s="10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>
        <f>IF(Y23="","",HYPERLINK("https://wa.me/52"&amp;C23&amp;"?text="&amp;_xlfn.ENCODEURL(Y23),"Enviar aniversario"))</f>
        <v/>
      </c>
      <c r="AA23" s="11" t="n"/>
      <c r="AB23" s="11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>
        <f>IFERROR(INDEX(Facturación!$Q:$Q,MATCH(B23,Facturación!$A:$A,0)),"")</f>
        <v/>
      </c>
    </row>
    <row r="24" ht="15" customHeight="1" s="1">
      <c r="A24" s="11">
        <f>IF(B24="","",ROW()-1)</f>
        <v/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>
        <f>IF(Q24="","",HYPERLINK("https://wa.me/52"&amp;C24&amp;"?text="&amp;_xlfn.ENCODEURL(Q24),"Enviar Bienvenida"))</f>
        <v/>
      </c>
      <c r="S24" s="10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>
        <f>IF(S24="","",HYPERLINK("https://wa.me/52"&amp;C24&amp;"?text="&amp;_xlfn.ENCODEURL(S24),"Enviar Seguimiento"))</f>
        <v/>
      </c>
      <c r="U24" s="10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>
        <f>IF(U24="","",HYPERLINK("https://wa.me/52"&amp;C24&amp;"?text="&amp;_xlfn.ENCODEURL(U24),"Enviar aviso de etapa"))</f>
        <v/>
      </c>
      <c r="W24" s="10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>
        <f>IF(W24="","",HYPERLINK("https://wa.me/52"&amp;C24&amp;"?text="&amp;_xlfn.ENCODEURL(W24),"Enviar felicitación"))</f>
        <v/>
      </c>
      <c r="Y24" s="10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>
        <f>IF(Y24="","",HYPERLINK("https://wa.me/52"&amp;C24&amp;"?text="&amp;_xlfn.ENCODEURL(Y24),"Enviar aniversario"))</f>
        <v/>
      </c>
      <c r="AA24" s="11" t="n"/>
      <c r="AB24" s="11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>
        <f>IFERROR(INDEX(Facturación!$Q:$Q,MATCH(B24,Facturación!$A:$A,0)),"")</f>
        <v/>
      </c>
    </row>
    <row r="25" ht="15" customHeight="1" s="1">
      <c r="A25" s="11">
        <f>IF(B25="","",ROW()-1)</f>
        <v/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>
        <f>IF(Q25="","",HYPERLINK("https://wa.me/52"&amp;C25&amp;"?text="&amp;_xlfn.ENCODEURL(Q25),"Enviar Bienvenida"))</f>
        <v/>
      </c>
      <c r="S25" s="10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>
        <f>IF(S25="","",HYPERLINK("https://wa.me/52"&amp;C25&amp;"?text="&amp;_xlfn.ENCODEURL(S25),"Enviar Seguimiento"))</f>
        <v/>
      </c>
      <c r="U25" s="10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>
        <f>IF(U25="","",HYPERLINK("https://wa.me/52"&amp;C25&amp;"?text="&amp;_xlfn.ENCODEURL(U25),"Enviar aviso de etapa"))</f>
        <v/>
      </c>
      <c r="W25" s="10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>
        <f>IF(W25="","",HYPERLINK("https://wa.me/52"&amp;C25&amp;"?text="&amp;_xlfn.ENCODEURL(W25),"Enviar felicitación"))</f>
        <v/>
      </c>
      <c r="Y25" s="10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>
        <f>IF(Y25="","",HYPERLINK("https://wa.me/52"&amp;C25&amp;"?text="&amp;_xlfn.ENCODEURL(Y25),"Enviar aniversario"))</f>
        <v/>
      </c>
      <c r="AA25" s="11" t="n"/>
      <c r="AB25" s="11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>
        <f>IFERROR(INDEX(Facturación!$Q:$Q,MATCH(B25,Facturación!$A:$A,0)),"")</f>
        <v/>
      </c>
    </row>
    <row r="26" ht="15" customHeight="1" s="1">
      <c r="A26" s="11">
        <f>IF(B26="","",ROW()-1)</f>
        <v/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>
        <f>IF(Q26="","",HYPERLINK("https://wa.me/52"&amp;C26&amp;"?text="&amp;_xlfn.ENCODEURL(Q26),"Enviar Bienvenida"))</f>
        <v/>
      </c>
      <c r="S26" s="10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>
        <f>IF(S26="","",HYPERLINK("https://wa.me/52"&amp;C26&amp;"?text="&amp;_xlfn.ENCODEURL(S26),"Enviar Seguimiento"))</f>
        <v/>
      </c>
      <c r="U26" s="10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>
        <f>IF(U26="","",HYPERLINK("https://wa.me/52"&amp;C26&amp;"?text="&amp;_xlfn.ENCODEURL(U26),"Enviar aviso de etapa"))</f>
        <v/>
      </c>
      <c r="W26" s="10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>
        <f>IF(W26="","",HYPERLINK("https://wa.me/52"&amp;C26&amp;"?text="&amp;_xlfn.ENCODEURL(W26),"Enviar felicitación"))</f>
        <v/>
      </c>
      <c r="Y26" s="10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>
        <f>IF(Y26="","",HYPERLINK("https://wa.me/52"&amp;C26&amp;"?text="&amp;_xlfn.ENCODEURL(Y26),"Enviar aniversario"))</f>
        <v/>
      </c>
      <c r="AA26" s="11" t="n"/>
      <c r="AB26" s="11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>
        <f>IFERROR(INDEX(Facturación!$Q:$Q,MATCH(B26,Facturación!$A:$A,0)),"")</f>
        <v/>
      </c>
    </row>
    <row r="27" ht="15" customHeight="1" s="1">
      <c r="A27" s="11">
        <f>IF(B27="","",ROW()-1)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>
        <f>IF(Q27="","",HYPERLINK("https://wa.me/52"&amp;C27&amp;"?text="&amp;_xlfn.ENCODEURL(Q27),"Enviar Bienvenida"))</f>
        <v/>
      </c>
      <c r="S27" s="10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>
        <f>IF(S27="","",HYPERLINK("https://wa.me/52"&amp;C27&amp;"?text="&amp;_xlfn.ENCODEURL(S27),"Enviar Seguimiento"))</f>
        <v/>
      </c>
      <c r="U27" s="10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>
        <f>IF(U27="","",HYPERLINK("https://wa.me/52"&amp;C27&amp;"?text="&amp;_xlfn.ENCODEURL(U27),"Enviar aviso de etapa"))</f>
        <v/>
      </c>
      <c r="W27" s="10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>
        <f>IF(W27="","",HYPERLINK("https://wa.me/52"&amp;C27&amp;"?text="&amp;_xlfn.ENCODEURL(W27),"Enviar felicitación"))</f>
        <v/>
      </c>
      <c r="Y27" s="10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>
        <f>IF(Y27="","",HYPERLINK("https://wa.me/52"&amp;C27&amp;"?text="&amp;_xlfn.ENCODEURL(Y27),"Enviar aniversario"))</f>
        <v/>
      </c>
      <c r="AA27" s="11" t="n"/>
      <c r="AB27" s="11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>
        <f>IFERROR(INDEX(Facturación!$Q:$Q,MATCH(B27,Facturación!$A:$A,0)),"")</f>
        <v/>
      </c>
    </row>
    <row r="28" ht="15" customHeight="1" s="1">
      <c r="A28" s="11">
        <f>IF(B28="","",ROW()-1)</f>
        <v/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>
        <f>IF(Q28="","",HYPERLINK("https://wa.me/52"&amp;C28&amp;"?text="&amp;_xlfn.ENCODEURL(Q28),"Enviar Bienvenida"))</f>
        <v/>
      </c>
      <c r="S28" s="10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>
        <f>IF(S28="","",HYPERLINK("https://wa.me/52"&amp;C28&amp;"?text="&amp;_xlfn.ENCODEURL(S28),"Enviar Seguimiento"))</f>
        <v/>
      </c>
      <c r="U28" s="10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>
        <f>IF(U28="","",HYPERLINK("https://wa.me/52"&amp;C28&amp;"?text="&amp;_xlfn.ENCODEURL(U28),"Enviar aviso de etapa"))</f>
        <v/>
      </c>
      <c r="W28" s="10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>
        <f>IF(W28="","",HYPERLINK("https://wa.me/52"&amp;C28&amp;"?text="&amp;_xlfn.ENCODEURL(W28),"Enviar felicitación"))</f>
        <v/>
      </c>
      <c r="Y28" s="10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>
        <f>IF(Y28="","",HYPERLINK("https://wa.me/52"&amp;C28&amp;"?text="&amp;_xlfn.ENCODEURL(Y28),"Enviar aniversario"))</f>
        <v/>
      </c>
      <c r="AA28" s="11" t="n"/>
      <c r="AB28" s="11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>
        <f>IFERROR(INDEX(Facturación!$Q:$Q,MATCH(B28,Facturación!$A:$A,0)),"")</f>
        <v/>
      </c>
    </row>
    <row r="29" ht="15" customHeight="1" s="1">
      <c r="A29" s="11">
        <f>IF(B29="","",ROW()-1)</f>
        <v/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>
        <f>IF(Q29="","",HYPERLINK("https://wa.me/52"&amp;C29&amp;"?text="&amp;_xlfn.ENCODEURL(Q29),"Enviar Bienvenida"))</f>
        <v/>
      </c>
      <c r="S29" s="10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>
        <f>IF(S29="","",HYPERLINK("https://wa.me/52"&amp;C29&amp;"?text="&amp;_xlfn.ENCODEURL(S29),"Enviar Seguimiento"))</f>
        <v/>
      </c>
      <c r="U29" s="10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>
        <f>IF(U29="","",HYPERLINK("https://wa.me/52"&amp;C29&amp;"?text="&amp;_xlfn.ENCODEURL(U29),"Enviar aviso de etapa"))</f>
        <v/>
      </c>
      <c r="W29" s="10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>
        <f>IF(W29="","",HYPERLINK("https://wa.me/52"&amp;C29&amp;"?text="&amp;_xlfn.ENCODEURL(W29),"Enviar felicitación"))</f>
        <v/>
      </c>
      <c r="Y29" s="10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>
        <f>IF(Y29="","",HYPERLINK("https://wa.me/52"&amp;C29&amp;"?text="&amp;_xlfn.ENCODEURL(Y29),"Enviar aniversario"))</f>
        <v/>
      </c>
      <c r="AA29" s="11" t="n"/>
      <c r="AB29" s="11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>
        <f>IFERROR(INDEX(Facturación!$Q:$Q,MATCH(B29,Facturación!$A:$A,0)),"")</f>
        <v/>
      </c>
    </row>
    <row r="30" ht="15" customHeight="1" s="1">
      <c r="A30" s="11">
        <f>IF(B30="","",ROW()-1)</f>
        <v/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>
        <f>IF(Q30="","",HYPERLINK("https://wa.me/52"&amp;C30&amp;"?text="&amp;_xlfn.ENCODEURL(Q30),"Enviar Bienvenida"))</f>
        <v/>
      </c>
      <c r="S30" s="10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>
        <f>IF(S30="","",HYPERLINK("https://wa.me/52"&amp;C30&amp;"?text="&amp;_xlfn.ENCODEURL(S30),"Enviar Seguimiento"))</f>
        <v/>
      </c>
      <c r="U30" s="10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>
        <f>IF(U30="","",HYPERLINK("https://wa.me/52"&amp;C30&amp;"?text="&amp;_xlfn.ENCODEURL(U30),"Enviar aviso de etapa"))</f>
        <v/>
      </c>
      <c r="W30" s="10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>
        <f>IF(W30="","",HYPERLINK("https://wa.me/52"&amp;C30&amp;"?text="&amp;_xlfn.ENCODEURL(W30),"Enviar felicitación"))</f>
        <v/>
      </c>
      <c r="Y30" s="10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>
        <f>IF(Y30="","",HYPERLINK("https://wa.me/52"&amp;C30&amp;"?text="&amp;_xlfn.ENCODEURL(Y30),"Enviar aniversario"))</f>
        <v/>
      </c>
      <c r="AA30" s="11" t="n"/>
      <c r="AB30" s="11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>
        <f>IFERROR(INDEX(Facturación!$Q:$Q,MATCH(B30,Facturación!$A:$A,0)),"")</f>
        <v/>
      </c>
    </row>
    <row r="31" ht="15" customHeight="1" s="1">
      <c r="A31" s="11">
        <f>IF(B31="","",ROW()-1)</f>
        <v/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>
        <f>IF(Q31="","",HYPERLINK("https://wa.me/52"&amp;C31&amp;"?text="&amp;_xlfn.ENCODEURL(Q31),"Enviar Bienvenida"))</f>
        <v/>
      </c>
      <c r="S31" s="10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>
        <f>IF(S31="","",HYPERLINK("https://wa.me/52"&amp;C31&amp;"?text="&amp;_xlfn.ENCODEURL(S31),"Enviar Seguimiento"))</f>
        <v/>
      </c>
      <c r="U31" s="10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>
        <f>IF(U31="","",HYPERLINK("https://wa.me/52"&amp;C31&amp;"?text="&amp;_xlfn.ENCODEURL(U31),"Enviar aviso de etapa"))</f>
        <v/>
      </c>
      <c r="W31" s="10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>
        <f>IF(W31="","",HYPERLINK("https://wa.me/52"&amp;C31&amp;"?text="&amp;_xlfn.ENCODEURL(W31),"Enviar felicitación"))</f>
        <v/>
      </c>
      <c r="Y31" s="10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>
        <f>IF(Y31="","",HYPERLINK("https://wa.me/52"&amp;C31&amp;"?text="&amp;_xlfn.ENCODEURL(Y31),"Enviar aniversario"))</f>
        <v/>
      </c>
      <c r="AA31" s="11" t="n"/>
      <c r="AB31" s="11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>
        <f>IFERROR(INDEX(Facturación!$Q:$Q,MATCH(B31,Facturación!$A:$A,0)),"")</f>
        <v/>
      </c>
    </row>
    <row r="32" ht="15" customHeight="1" s="1">
      <c r="A32" s="11">
        <f>IF(B32="","",ROW()-1)</f>
        <v/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>
        <f>IF(Q32="","",HYPERLINK("https://wa.me/52"&amp;C32&amp;"?text="&amp;_xlfn.ENCODEURL(Q32),"Enviar Bienvenida"))</f>
        <v/>
      </c>
      <c r="S32" s="10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>
        <f>IF(S32="","",HYPERLINK("https://wa.me/52"&amp;C32&amp;"?text="&amp;_xlfn.ENCODEURL(S32),"Enviar Seguimiento"))</f>
        <v/>
      </c>
      <c r="U32" s="10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>
        <f>IF(U32="","",HYPERLINK("https://wa.me/52"&amp;C32&amp;"?text="&amp;_xlfn.ENCODEURL(U32),"Enviar aviso de etapa"))</f>
        <v/>
      </c>
      <c r="W32" s="10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>
        <f>IF(W32="","",HYPERLINK("https://wa.me/52"&amp;C32&amp;"?text="&amp;_xlfn.ENCODEURL(W32),"Enviar felicitación"))</f>
        <v/>
      </c>
      <c r="Y32" s="10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>
        <f>IF(Y32="","",HYPERLINK("https://wa.me/52"&amp;C32&amp;"?text="&amp;_xlfn.ENCODEURL(Y32),"Enviar aniversario"))</f>
        <v/>
      </c>
      <c r="AA32" s="11" t="n"/>
      <c r="AB32" s="11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>
        <f>IFERROR(INDEX(Facturación!$Q:$Q,MATCH(B32,Facturación!$A:$A,0)),"")</f>
        <v/>
      </c>
    </row>
    <row r="33" ht="15" customHeight="1" s="1">
      <c r="A33" s="11">
        <f>IF(B33="","",ROW()-1)</f>
        <v/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>
        <f>IF(Q33="","",HYPERLINK("https://wa.me/52"&amp;C33&amp;"?text="&amp;_xlfn.ENCODEURL(Q33),"Enviar Bienvenida"))</f>
        <v/>
      </c>
      <c r="S33" s="10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>
        <f>IF(S33="","",HYPERLINK("https://wa.me/52"&amp;C33&amp;"?text="&amp;_xlfn.ENCODEURL(S33),"Enviar Seguimiento"))</f>
        <v/>
      </c>
      <c r="U33" s="10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>
        <f>IF(U33="","",HYPERLINK("https://wa.me/52"&amp;C33&amp;"?text="&amp;_xlfn.ENCODEURL(U33),"Enviar aviso de etapa"))</f>
        <v/>
      </c>
      <c r="W33" s="10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>
        <f>IF(W33="","",HYPERLINK("https://wa.me/52"&amp;C33&amp;"?text="&amp;_xlfn.ENCODEURL(W33),"Enviar felicitación"))</f>
        <v/>
      </c>
      <c r="Y33" s="10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>
        <f>IF(Y33="","",HYPERLINK("https://wa.me/52"&amp;C33&amp;"?text="&amp;_xlfn.ENCODEURL(Y33),"Enviar aniversario"))</f>
        <v/>
      </c>
      <c r="AA33" s="11" t="n"/>
      <c r="AB33" s="11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>
        <f>IFERROR(INDEX(Facturación!$Q:$Q,MATCH(B33,Facturación!$A:$A,0)),"")</f>
        <v/>
      </c>
    </row>
    <row r="34" ht="15" customHeight="1" s="1">
      <c r="A34" s="11">
        <f>IF(B34="","",ROW()-1)</f>
        <v/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>
        <f>IF(Q34="","",HYPERLINK("https://wa.me/52"&amp;C34&amp;"?text="&amp;_xlfn.ENCODEURL(Q34),"Enviar Bienvenida"))</f>
        <v/>
      </c>
      <c r="S34" s="10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>
        <f>IF(S34="","",HYPERLINK("https://wa.me/52"&amp;C34&amp;"?text="&amp;_xlfn.ENCODEURL(S34),"Enviar Seguimiento"))</f>
        <v/>
      </c>
      <c r="U34" s="10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>
        <f>IF(U34="","",HYPERLINK("https://wa.me/52"&amp;C34&amp;"?text="&amp;_xlfn.ENCODEURL(U34),"Enviar aviso de etapa"))</f>
        <v/>
      </c>
      <c r="W34" s="10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>
        <f>IF(W34="","",HYPERLINK("https://wa.me/52"&amp;C34&amp;"?text="&amp;_xlfn.ENCODEURL(W34),"Enviar felicitación"))</f>
        <v/>
      </c>
      <c r="Y34" s="10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>
        <f>IF(Y34="","",HYPERLINK("https://wa.me/52"&amp;C34&amp;"?text="&amp;_xlfn.ENCODEURL(Y34),"Enviar aniversario"))</f>
        <v/>
      </c>
      <c r="AA34" s="11" t="n"/>
      <c r="AB34" s="11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>
        <f>IFERROR(INDEX(Facturación!$Q:$Q,MATCH(B34,Facturación!$A:$A,0)),"")</f>
        <v/>
      </c>
    </row>
    <row r="35" ht="15" customHeight="1" s="1">
      <c r="A35" s="11">
        <f>IF(B35="","",ROW()-1)</f>
        <v/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>
        <f>IF(Q35="","",HYPERLINK("https://wa.me/52"&amp;C35&amp;"?text="&amp;_xlfn.ENCODEURL(Q35),"Enviar Bienvenida"))</f>
        <v/>
      </c>
      <c r="S35" s="10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>
        <f>IF(S35="","",HYPERLINK("https://wa.me/52"&amp;C35&amp;"?text="&amp;_xlfn.ENCODEURL(S35),"Enviar Seguimiento"))</f>
        <v/>
      </c>
      <c r="U35" s="10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>
        <f>IF(U35="","",HYPERLINK("https://wa.me/52"&amp;C35&amp;"?text="&amp;_xlfn.ENCODEURL(U35),"Enviar aviso de etapa"))</f>
        <v/>
      </c>
      <c r="W35" s="10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>
        <f>IF(W35="","",HYPERLINK("https://wa.me/52"&amp;C35&amp;"?text="&amp;_xlfn.ENCODEURL(W35),"Enviar felicitación"))</f>
        <v/>
      </c>
      <c r="Y35" s="10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>
        <f>IF(Y35="","",HYPERLINK("https://wa.me/52"&amp;C35&amp;"?text="&amp;_xlfn.ENCODEURL(Y35),"Enviar aniversario"))</f>
        <v/>
      </c>
      <c r="AA35" s="11" t="n"/>
      <c r="AB35" s="11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>
        <f>IFERROR(INDEX(Facturación!$Q:$Q,MATCH(B35,Facturación!$A:$A,0)),"")</f>
        <v/>
      </c>
    </row>
    <row r="36" ht="15" customHeight="1" s="1">
      <c r="A36" s="11">
        <f>IF(B36="","",ROW()-1)</f>
        <v/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>
        <f>IF(Q36="","",HYPERLINK("https://wa.me/52"&amp;C36&amp;"?text="&amp;_xlfn.ENCODEURL(Q36),"Enviar Bienvenida"))</f>
        <v/>
      </c>
      <c r="S36" s="10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>
        <f>IF(S36="","",HYPERLINK("https://wa.me/52"&amp;C36&amp;"?text="&amp;_xlfn.ENCODEURL(S36),"Enviar Seguimiento"))</f>
        <v/>
      </c>
      <c r="U36" s="10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>
        <f>IF(U36="","",HYPERLINK("https://wa.me/52"&amp;C36&amp;"?text="&amp;_xlfn.ENCODEURL(U36),"Enviar aviso de etapa"))</f>
        <v/>
      </c>
      <c r="W36" s="10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>
        <f>IF(W36="","",HYPERLINK("https://wa.me/52"&amp;C36&amp;"?text="&amp;_xlfn.ENCODEURL(W36),"Enviar felicitación"))</f>
        <v/>
      </c>
      <c r="Y36" s="10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>
        <f>IF(Y36="","",HYPERLINK("https://wa.me/52"&amp;C36&amp;"?text="&amp;_xlfn.ENCODEURL(Y36),"Enviar aniversario"))</f>
        <v/>
      </c>
      <c r="AA36" s="11" t="n"/>
      <c r="AB36" s="11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>
        <f>IFERROR(INDEX(Facturación!$Q:$Q,MATCH(B36,Facturación!$A:$A,0)),"")</f>
        <v/>
      </c>
    </row>
    <row r="37" ht="15" customHeight="1" s="1">
      <c r="A37" s="11">
        <f>IF(B37="","",ROW()-1)</f>
        <v/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>
        <f>IF(Q37="","",HYPERLINK("https://wa.me/52"&amp;C37&amp;"?text="&amp;_xlfn.ENCODEURL(Q37),"Enviar Bienvenida"))</f>
        <v/>
      </c>
      <c r="S37" s="10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>
        <f>IF(S37="","",HYPERLINK("https://wa.me/52"&amp;C37&amp;"?text="&amp;_xlfn.ENCODEURL(S37),"Enviar Seguimiento"))</f>
        <v/>
      </c>
      <c r="U37" s="10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>
        <f>IF(U37="","",HYPERLINK("https://wa.me/52"&amp;C37&amp;"?text="&amp;_xlfn.ENCODEURL(U37),"Enviar aviso de etapa"))</f>
        <v/>
      </c>
      <c r="W37" s="10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>
        <f>IF(W37="","",HYPERLINK("https://wa.me/52"&amp;C37&amp;"?text="&amp;_xlfn.ENCODEURL(W37),"Enviar felicitación"))</f>
        <v/>
      </c>
      <c r="Y37" s="10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>
        <f>IF(Y37="","",HYPERLINK("https://wa.me/52"&amp;C37&amp;"?text="&amp;_xlfn.ENCODEURL(Y37),"Enviar aniversario"))</f>
        <v/>
      </c>
      <c r="AA37" s="11" t="n"/>
      <c r="AB37" s="11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>
        <f>IFERROR(INDEX(Facturación!$Q:$Q,MATCH(B37,Facturación!$A:$A,0)),"")</f>
        <v/>
      </c>
    </row>
    <row r="38" ht="15" customHeight="1" s="1">
      <c r="A38" s="11">
        <f>IF(B38="","",ROW()-1)</f>
        <v/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>
        <f>IF(Q38="","",HYPERLINK("https://wa.me/52"&amp;C38&amp;"?text="&amp;_xlfn.ENCODEURL(Q38),"Enviar Bienvenida"))</f>
        <v/>
      </c>
      <c r="S38" s="10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>
        <f>IF(S38="","",HYPERLINK("https://wa.me/52"&amp;C38&amp;"?text="&amp;_xlfn.ENCODEURL(S38),"Enviar Seguimiento"))</f>
        <v/>
      </c>
      <c r="U38" s="10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>
        <f>IF(U38="","",HYPERLINK("https://wa.me/52"&amp;C38&amp;"?text="&amp;_xlfn.ENCODEURL(U38),"Enviar aviso de etapa"))</f>
        <v/>
      </c>
      <c r="W38" s="10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>
        <f>IF(W38="","",HYPERLINK("https://wa.me/52"&amp;C38&amp;"?text="&amp;_xlfn.ENCODEURL(W38),"Enviar felicitación"))</f>
        <v/>
      </c>
      <c r="Y38" s="10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>
        <f>IF(Y38="","",HYPERLINK("https://wa.me/52"&amp;C38&amp;"?text="&amp;_xlfn.ENCODEURL(Y38),"Enviar aniversario"))</f>
        <v/>
      </c>
      <c r="AA38" s="11" t="n"/>
      <c r="AB38" s="11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>
        <f>IFERROR(INDEX(Facturación!$Q:$Q,MATCH(B38,Facturación!$A:$A,0)),"")</f>
        <v/>
      </c>
    </row>
    <row r="39" ht="15" customHeight="1" s="1">
      <c r="A39" s="11">
        <f>IF(B39="","",ROW()-1)</f>
        <v/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>
        <f>IF(Q39="","",HYPERLINK("https://wa.me/52"&amp;C39&amp;"?text="&amp;_xlfn.ENCODEURL(Q39),"Enviar Bienvenida"))</f>
        <v/>
      </c>
      <c r="S39" s="10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>
        <f>IF(S39="","",HYPERLINK("https://wa.me/52"&amp;C39&amp;"?text="&amp;_xlfn.ENCODEURL(S39),"Enviar Seguimiento"))</f>
        <v/>
      </c>
      <c r="U39" s="10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>
        <f>IF(U39="","",HYPERLINK("https://wa.me/52"&amp;C39&amp;"?text="&amp;_xlfn.ENCODEURL(U39),"Enviar aviso de etapa"))</f>
        <v/>
      </c>
      <c r="W39" s="10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>
        <f>IF(W39="","",HYPERLINK("https://wa.me/52"&amp;C39&amp;"?text="&amp;_xlfn.ENCODEURL(W39),"Enviar felicitación"))</f>
        <v/>
      </c>
      <c r="Y39" s="10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>
        <f>IF(Y39="","",HYPERLINK("https://wa.me/52"&amp;C39&amp;"?text="&amp;_xlfn.ENCODEURL(Y39),"Enviar aniversario"))</f>
        <v/>
      </c>
      <c r="AA39" s="11" t="n"/>
      <c r="AB39" s="11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>
        <f>IFERROR(INDEX(Facturación!$Q:$Q,MATCH(B39,Facturación!$A:$A,0)),"")</f>
        <v/>
      </c>
    </row>
    <row r="40" ht="15" customHeight="1" s="1">
      <c r="A40" s="11">
        <f>IF(B40="","",ROW()-1)</f>
        <v/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>
        <f>IF(Q40="","",HYPERLINK("https://wa.me/52"&amp;C40&amp;"?text="&amp;_xlfn.ENCODEURL(Q40),"Enviar Bienvenida"))</f>
        <v/>
      </c>
      <c r="S40" s="10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>
        <f>IF(S40="","",HYPERLINK("https://wa.me/52"&amp;C40&amp;"?text="&amp;_xlfn.ENCODEURL(S40),"Enviar Seguimiento"))</f>
        <v/>
      </c>
      <c r="U40" s="10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>
        <f>IF(U40="","",HYPERLINK("https://wa.me/52"&amp;C40&amp;"?text="&amp;_xlfn.ENCODEURL(U40),"Enviar aviso de etapa"))</f>
        <v/>
      </c>
      <c r="W40" s="10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>
        <f>IF(W40="","",HYPERLINK("https://wa.me/52"&amp;C40&amp;"?text="&amp;_xlfn.ENCODEURL(W40),"Enviar felicitación"))</f>
        <v/>
      </c>
      <c r="Y40" s="10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>
        <f>IF(Y40="","",HYPERLINK("https://wa.me/52"&amp;C40&amp;"?text="&amp;_xlfn.ENCODEURL(Y40),"Enviar aniversario"))</f>
        <v/>
      </c>
      <c r="AA40" s="11" t="n"/>
      <c r="AB40" s="11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>
        <f>IFERROR(INDEX(Facturación!$Q:$Q,MATCH(B40,Facturación!$A:$A,0)),"")</f>
        <v/>
      </c>
    </row>
    <row r="41" ht="15" customHeight="1" s="1">
      <c r="A41" s="11">
        <f>IF(B41="","",ROW()-1)</f>
        <v/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>
        <f>IF(Q41="","",HYPERLINK("https://wa.me/52"&amp;C41&amp;"?text="&amp;_xlfn.ENCODEURL(Q41),"Enviar Bienvenida"))</f>
        <v/>
      </c>
      <c r="S41" s="10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>
        <f>IF(S41="","",HYPERLINK("https://wa.me/52"&amp;C41&amp;"?text="&amp;_xlfn.ENCODEURL(S41),"Enviar Seguimiento"))</f>
        <v/>
      </c>
      <c r="U41" s="10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>
        <f>IF(U41="","",HYPERLINK("https://wa.me/52"&amp;C41&amp;"?text="&amp;_xlfn.ENCODEURL(U41),"Enviar aviso de etapa"))</f>
        <v/>
      </c>
      <c r="W41" s="10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>
        <f>IF(W41="","",HYPERLINK("https://wa.me/52"&amp;C41&amp;"?text="&amp;_xlfn.ENCODEURL(W41),"Enviar felicitación"))</f>
        <v/>
      </c>
      <c r="Y41" s="10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>
        <f>IF(Y41="","",HYPERLINK("https://wa.me/52"&amp;C41&amp;"?text="&amp;_xlfn.ENCODEURL(Y41),"Enviar aniversario"))</f>
        <v/>
      </c>
      <c r="AA41" s="11" t="n"/>
      <c r="AB41" s="11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>
        <f>IFERROR(INDEX(Facturación!$Q:$Q,MATCH(B41,Facturación!$A:$A,0)),"")</f>
        <v/>
      </c>
    </row>
    <row r="42" ht="15" customHeight="1" s="1">
      <c r="A42" s="11">
        <f>IF(B42="","",ROW()-1)</f>
        <v/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>
        <f>IF(Q42="","",HYPERLINK("https://wa.me/52"&amp;C42&amp;"?text="&amp;_xlfn.ENCODEURL(Q42),"Enviar Bienvenida"))</f>
        <v/>
      </c>
      <c r="S42" s="10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>
        <f>IF(S42="","",HYPERLINK("https://wa.me/52"&amp;C42&amp;"?text="&amp;_xlfn.ENCODEURL(S42),"Enviar Seguimiento"))</f>
        <v/>
      </c>
      <c r="U42" s="10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>
        <f>IF(U42="","",HYPERLINK("https://wa.me/52"&amp;C42&amp;"?text="&amp;_xlfn.ENCODEURL(U42),"Enviar aviso de etapa"))</f>
        <v/>
      </c>
      <c r="W42" s="10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>
        <f>IF(W42="","",HYPERLINK("https://wa.me/52"&amp;C42&amp;"?text="&amp;_xlfn.ENCODEURL(W42),"Enviar felicitación"))</f>
        <v/>
      </c>
      <c r="Y42" s="10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>
        <f>IF(Y42="","",HYPERLINK("https://wa.me/52"&amp;C42&amp;"?text="&amp;_xlfn.ENCODEURL(Y42),"Enviar aniversario"))</f>
        <v/>
      </c>
      <c r="AA42" s="11" t="n"/>
      <c r="AB42" s="11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>
        <f>IFERROR(INDEX(Facturación!$Q:$Q,MATCH(B42,Facturación!$A:$A,0)),"")</f>
        <v/>
      </c>
    </row>
    <row r="43" ht="15" customHeight="1" s="1">
      <c r="A43" s="11">
        <f>IF(B43="","",ROW()-1)</f>
        <v/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>
        <f>IF(Q43="","",HYPERLINK("https://wa.me/52"&amp;C43&amp;"?text="&amp;_xlfn.ENCODEURL(Q43),"Enviar Bienvenida"))</f>
        <v/>
      </c>
      <c r="S43" s="10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>
        <f>IF(S43="","",HYPERLINK("https://wa.me/52"&amp;C43&amp;"?text="&amp;_xlfn.ENCODEURL(S43),"Enviar Seguimiento"))</f>
        <v/>
      </c>
      <c r="U43" s="10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>
        <f>IF(U43="","",HYPERLINK("https://wa.me/52"&amp;C43&amp;"?text="&amp;_xlfn.ENCODEURL(U43),"Enviar aviso de etapa"))</f>
        <v/>
      </c>
      <c r="W43" s="10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>
        <f>IF(W43="","",HYPERLINK("https://wa.me/52"&amp;C43&amp;"?text="&amp;_xlfn.ENCODEURL(W43),"Enviar felicitación"))</f>
        <v/>
      </c>
      <c r="Y43" s="10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>
        <f>IF(Y43="","",HYPERLINK("https://wa.me/52"&amp;C43&amp;"?text="&amp;_xlfn.ENCODEURL(Y43),"Enviar aniversario"))</f>
        <v/>
      </c>
      <c r="AA43" s="11" t="n"/>
      <c r="AB43" s="11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>
        <f>IFERROR(INDEX(Facturación!$Q:$Q,MATCH(B43,Facturación!$A:$A,0)),"")</f>
        <v/>
      </c>
    </row>
    <row r="44" ht="15" customHeight="1" s="1">
      <c r="A44" s="11">
        <f>IF(B44="","",ROW()-1)</f>
        <v/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>
        <f>IF(Q44="","",HYPERLINK("https://wa.me/52"&amp;C44&amp;"?text="&amp;_xlfn.ENCODEURL(Q44),"Enviar Bienvenida"))</f>
        <v/>
      </c>
      <c r="S44" s="10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>
        <f>IF(S44="","",HYPERLINK("https://wa.me/52"&amp;C44&amp;"?text="&amp;_xlfn.ENCODEURL(S44),"Enviar Seguimiento"))</f>
        <v/>
      </c>
      <c r="U44" s="10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>
        <f>IF(U44="","",HYPERLINK("https://wa.me/52"&amp;C44&amp;"?text="&amp;_xlfn.ENCODEURL(U44),"Enviar aviso de etapa"))</f>
        <v/>
      </c>
      <c r="W44" s="10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>
        <f>IF(W44="","",HYPERLINK("https://wa.me/52"&amp;C44&amp;"?text="&amp;_xlfn.ENCODEURL(W44),"Enviar felicitación"))</f>
        <v/>
      </c>
      <c r="Y44" s="10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>
        <f>IF(Y44="","",HYPERLINK("https://wa.me/52"&amp;C44&amp;"?text="&amp;_xlfn.ENCODEURL(Y44),"Enviar aniversario"))</f>
        <v/>
      </c>
      <c r="AA44" s="11" t="n"/>
      <c r="AB44" s="11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>
        <f>IFERROR(INDEX(Facturación!$Q:$Q,MATCH(B44,Facturación!$A:$A,0)),"")</f>
        <v/>
      </c>
    </row>
    <row r="45" ht="15" customHeight="1" s="1">
      <c r="A45" s="11">
        <f>IF(B45="","",ROW()-1)</f>
        <v/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>
        <f>IF(Q45="","",HYPERLINK("https://wa.me/52"&amp;C45&amp;"?text="&amp;_xlfn.ENCODEURL(Q45),"Enviar Bienvenida"))</f>
        <v/>
      </c>
      <c r="S45" s="10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>
        <f>IF(S45="","",HYPERLINK("https://wa.me/52"&amp;C45&amp;"?text="&amp;_xlfn.ENCODEURL(S45),"Enviar Seguimiento"))</f>
        <v/>
      </c>
      <c r="U45" s="10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>
        <f>IF(U45="","",HYPERLINK("https://wa.me/52"&amp;C45&amp;"?text="&amp;_xlfn.ENCODEURL(U45),"Enviar aviso de etapa"))</f>
        <v/>
      </c>
      <c r="W45" s="10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>
        <f>IF(W45="","",HYPERLINK("https://wa.me/52"&amp;C45&amp;"?text="&amp;_xlfn.ENCODEURL(W45),"Enviar felicitación"))</f>
        <v/>
      </c>
      <c r="Y45" s="10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>
        <f>IF(Y45="","",HYPERLINK("https://wa.me/52"&amp;C45&amp;"?text="&amp;_xlfn.ENCODEURL(Y45),"Enviar aniversario"))</f>
        <v/>
      </c>
      <c r="AA45" s="11" t="n"/>
      <c r="AB45" s="11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>
        <f>IFERROR(INDEX(Facturación!$Q:$Q,MATCH(B45,Facturación!$A:$A,0)),"")</f>
        <v/>
      </c>
    </row>
    <row r="46" ht="15" customHeight="1" s="1">
      <c r="A46" s="11">
        <f>IF(B46="","",ROW()-1)</f>
        <v/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>
        <f>IF(Q46="","",HYPERLINK("https://wa.me/52"&amp;C46&amp;"?text="&amp;_xlfn.ENCODEURL(Q46),"Enviar Bienvenida"))</f>
        <v/>
      </c>
      <c r="S46" s="10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>
        <f>IF(S46="","",HYPERLINK("https://wa.me/52"&amp;C46&amp;"?text="&amp;_xlfn.ENCODEURL(S46),"Enviar Seguimiento"))</f>
        <v/>
      </c>
      <c r="U46" s="10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>
        <f>IF(U46="","",HYPERLINK("https://wa.me/52"&amp;C46&amp;"?text="&amp;_xlfn.ENCODEURL(U46),"Enviar aviso de etapa"))</f>
        <v/>
      </c>
      <c r="W46" s="10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>
        <f>IF(W46="","",HYPERLINK("https://wa.me/52"&amp;C46&amp;"?text="&amp;_xlfn.ENCODEURL(W46),"Enviar felicitación"))</f>
        <v/>
      </c>
      <c r="Y46" s="10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>
        <f>IF(Y46="","",HYPERLINK("https://wa.me/52"&amp;C46&amp;"?text="&amp;_xlfn.ENCODEURL(Y46),"Enviar aniversario"))</f>
        <v/>
      </c>
      <c r="AA46" s="11" t="n"/>
      <c r="AB46" s="11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>
        <f>IFERROR(INDEX(Facturación!$Q:$Q,MATCH(B46,Facturación!$A:$A,0)),"")</f>
        <v/>
      </c>
    </row>
    <row r="47" ht="15" customHeight="1" s="1">
      <c r="A47" s="11">
        <f>IF(B47="","",ROW()-1)</f>
        <v/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>
        <f>IF(Q47="","",HYPERLINK("https://wa.me/52"&amp;C47&amp;"?text="&amp;_xlfn.ENCODEURL(Q47),"Enviar Bienvenida"))</f>
        <v/>
      </c>
      <c r="S47" s="10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>
        <f>IF(S47="","",HYPERLINK("https://wa.me/52"&amp;C47&amp;"?text="&amp;_xlfn.ENCODEURL(S47),"Enviar Seguimiento"))</f>
        <v/>
      </c>
      <c r="U47" s="10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>
        <f>IF(U47="","",HYPERLINK("https://wa.me/52"&amp;C47&amp;"?text="&amp;_xlfn.ENCODEURL(U47),"Enviar aviso de etapa"))</f>
        <v/>
      </c>
      <c r="W47" s="10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>
        <f>IF(W47="","",HYPERLINK("https://wa.me/52"&amp;C47&amp;"?text="&amp;_xlfn.ENCODEURL(W47),"Enviar felicitación"))</f>
        <v/>
      </c>
      <c r="Y47" s="10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>
        <f>IF(Y47="","",HYPERLINK("https://wa.me/52"&amp;C47&amp;"?text="&amp;_xlfn.ENCODEURL(Y47),"Enviar aniversario"))</f>
        <v/>
      </c>
      <c r="AA47" s="11" t="n"/>
      <c r="AB47" s="11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>
        <f>IFERROR(INDEX(Facturación!$Q:$Q,MATCH(B47,Facturación!$A:$A,0)),"")</f>
        <v/>
      </c>
    </row>
    <row r="48" ht="15" customHeight="1" s="1">
      <c r="A48" s="11">
        <f>IF(B48="","",ROW()-1)</f>
        <v/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>
        <f>IF(Q48="","",HYPERLINK("https://wa.me/52"&amp;C48&amp;"?text="&amp;_xlfn.ENCODEURL(Q48),"Enviar Bienvenida"))</f>
        <v/>
      </c>
      <c r="S48" s="10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>
        <f>IF(S48="","",HYPERLINK("https://wa.me/52"&amp;C48&amp;"?text="&amp;_xlfn.ENCODEURL(S48),"Enviar Seguimiento"))</f>
        <v/>
      </c>
      <c r="U48" s="10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>
        <f>IF(U48="","",HYPERLINK("https://wa.me/52"&amp;C48&amp;"?text="&amp;_xlfn.ENCODEURL(U48),"Enviar aviso de etapa"))</f>
        <v/>
      </c>
      <c r="W48" s="10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>
        <f>IF(W48="","",HYPERLINK("https://wa.me/52"&amp;C48&amp;"?text="&amp;_xlfn.ENCODEURL(W48),"Enviar felicitación"))</f>
        <v/>
      </c>
      <c r="Y48" s="10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>
        <f>IF(Y48="","",HYPERLINK("https://wa.me/52"&amp;C48&amp;"?text="&amp;_xlfn.ENCODEURL(Y48),"Enviar aniversario"))</f>
        <v/>
      </c>
      <c r="AA48" s="11" t="n"/>
      <c r="AB48" s="11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>
        <f>IFERROR(INDEX(Facturación!$Q:$Q,MATCH(B48,Facturación!$A:$A,0)),"")</f>
        <v/>
      </c>
    </row>
    <row r="49" ht="15" customHeight="1" s="1">
      <c r="A49" s="11">
        <f>IF(B49="","",ROW()-1)</f>
        <v/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>
        <f>IF(Q49="","",HYPERLINK("https://wa.me/52"&amp;C49&amp;"?text="&amp;_xlfn.ENCODEURL(Q49),"Enviar Bienvenida"))</f>
        <v/>
      </c>
      <c r="S49" s="10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>
        <f>IF(S49="","",HYPERLINK("https://wa.me/52"&amp;C49&amp;"?text="&amp;_xlfn.ENCODEURL(S49),"Enviar Seguimiento"))</f>
        <v/>
      </c>
      <c r="U49" s="10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>
        <f>IF(U49="","",HYPERLINK("https://wa.me/52"&amp;C49&amp;"?text="&amp;_xlfn.ENCODEURL(U49),"Enviar aviso de etapa"))</f>
        <v/>
      </c>
      <c r="W49" s="10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>
        <f>IF(W49="","",HYPERLINK("https://wa.me/52"&amp;C49&amp;"?text="&amp;_xlfn.ENCODEURL(W49),"Enviar felicitación"))</f>
        <v/>
      </c>
      <c r="Y49" s="10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>
        <f>IF(Y49="","",HYPERLINK("https://wa.me/52"&amp;C49&amp;"?text="&amp;_xlfn.ENCODEURL(Y49),"Enviar aniversario"))</f>
        <v/>
      </c>
      <c r="AA49" s="11" t="n"/>
      <c r="AB49" s="11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>
        <f>IFERROR(INDEX(Facturación!$Q:$Q,MATCH(B49,Facturación!$A:$A,0)),"")</f>
        <v/>
      </c>
    </row>
    <row r="50" ht="15" customHeight="1" s="1">
      <c r="A50" s="11">
        <f>IF(B50="","",ROW()-1)</f>
        <v/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>
        <f>IF(Q50="","",HYPERLINK("https://wa.me/52"&amp;C50&amp;"?text="&amp;_xlfn.ENCODEURL(Q50),"Enviar Bienvenida"))</f>
        <v/>
      </c>
      <c r="S50" s="10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>
        <f>IF(S50="","",HYPERLINK("https://wa.me/52"&amp;C50&amp;"?text="&amp;_xlfn.ENCODEURL(S50),"Enviar Seguimiento"))</f>
        <v/>
      </c>
      <c r="U50" s="10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>
        <f>IF(U50="","",HYPERLINK("https://wa.me/52"&amp;C50&amp;"?text="&amp;_xlfn.ENCODEURL(U50),"Enviar aviso de etapa"))</f>
        <v/>
      </c>
      <c r="W50" s="10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>
        <f>IF(W50="","",HYPERLINK("https://wa.me/52"&amp;C50&amp;"?text="&amp;_xlfn.ENCODEURL(W50),"Enviar felicitación"))</f>
        <v/>
      </c>
      <c r="Y50" s="10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>
        <f>IF(Y50="","",HYPERLINK("https://wa.me/52"&amp;C50&amp;"?text="&amp;_xlfn.ENCODEURL(Y50),"Enviar aniversario"))</f>
        <v/>
      </c>
      <c r="AA50" s="11" t="n"/>
      <c r="AB50" s="11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>
        <f>IFERROR(INDEX(Facturación!$Q:$Q,MATCH(B50,Facturación!$A:$A,0)),"")</f>
        <v/>
      </c>
    </row>
    <row r="51" ht="15" customHeight="1" s="1">
      <c r="A51" s="11">
        <f>IF(B51="","",ROW()-1)</f>
        <v/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>
        <f>IF(Q51="","",HYPERLINK("https://wa.me/52"&amp;C51&amp;"?text="&amp;_xlfn.ENCODEURL(Q51),"Enviar Bienvenida"))</f>
        <v/>
      </c>
      <c r="S51" s="10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>
        <f>IF(S51="","",HYPERLINK("https://wa.me/52"&amp;C51&amp;"?text="&amp;_xlfn.ENCODEURL(S51),"Enviar Seguimiento"))</f>
        <v/>
      </c>
      <c r="U51" s="10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>
        <f>IF(U51="","",HYPERLINK("https://wa.me/52"&amp;C51&amp;"?text="&amp;_xlfn.ENCODEURL(U51),"Enviar aviso de etapa"))</f>
        <v/>
      </c>
      <c r="W51" s="10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>
        <f>IF(W51="","",HYPERLINK("https://wa.me/52"&amp;C51&amp;"?text="&amp;_xlfn.ENCODEURL(W51),"Enviar felicitación"))</f>
        <v/>
      </c>
      <c r="Y51" s="10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>
        <f>IF(Y51="","",HYPERLINK("https://wa.me/52"&amp;C51&amp;"?text="&amp;_xlfn.ENCODEURL(Y51),"Enviar aniversario"))</f>
        <v/>
      </c>
      <c r="AA51" s="11" t="n"/>
      <c r="AB51" s="11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>
        <f>IFERROR(INDEX(Facturación!$Q:$Q,MATCH(B51,Facturación!$A:$A,0)),"")</f>
        <v/>
      </c>
    </row>
    <row r="52" ht="15" customHeight="1" s="1">
      <c r="A52" s="11">
        <f>IF(B52="","",ROW()-1)</f>
        <v/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>
        <f>IF(Q52="","",HYPERLINK("https://wa.me/52"&amp;C52&amp;"?text="&amp;_xlfn.ENCODEURL(Q52),"Enviar Bienvenida"))</f>
        <v/>
      </c>
      <c r="S52" s="10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>
        <f>IF(S52="","",HYPERLINK("https://wa.me/52"&amp;C52&amp;"?text="&amp;_xlfn.ENCODEURL(S52),"Enviar Seguimiento"))</f>
        <v/>
      </c>
      <c r="U52" s="10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>
        <f>IF(U52="","",HYPERLINK("https://wa.me/52"&amp;C52&amp;"?text="&amp;_xlfn.ENCODEURL(U52),"Enviar aviso de etapa"))</f>
        <v/>
      </c>
      <c r="W52" s="10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>
        <f>IF(W52="","",HYPERLINK("https://wa.me/52"&amp;C52&amp;"?text="&amp;_xlfn.ENCODEURL(W52),"Enviar felicitación"))</f>
        <v/>
      </c>
      <c r="Y52" s="10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>
        <f>IF(Y52="","",HYPERLINK("https://wa.me/52"&amp;C52&amp;"?text="&amp;_xlfn.ENCODEURL(Y52),"Enviar aniversario"))</f>
        <v/>
      </c>
      <c r="AA52" s="11" t="n"/>
      <c r="AB52" s="11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>
        <f>IFERROR(INDEX(Facturación!$Q:$Q,MATCH(B52,Facturación!$A:$A,0)),"")</f>
        <v/>
      </c>
    </row>
    <row r="53" ht="15" customHeight="1" s="1">
      <c r="A53" s="11">
        <f>IF(B53="","",ROW()-1)</f>
        <v/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>
        <f>IF(Q53="","",HYPERLINK("https://wa.me/52"&amp;C53&amp;"?text="&amp;_xlfn.ENCODEURL(Q53),"Enviar Bienvenida"))</f>
        <v/>
      </c>
      <c r="S53" s="10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>
        <f>IF(S53="","",HYPERLINK("https://wa.me/52"&amp;C53&amp;"?text="&amp;_xlfn.ENCODEURL(S53),"Enviar Seguimiento"))</f>
        <v/>
      </c>
      <c r="U53" s="10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>
        <f>IF(U53="","",HYPERLINK("https://wa.me/52"&amp;C53&amp;"?text="&amp;_xlfn.ENCODEURL(U53),"Enviar aviso de etapa"))</f>
        <v/>
      </c>
      <c r="W53" s="10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>
        <f>IF(W53="","",HYPERLINK("https://wa.me/52"&amp;C53&amp;"?text="&amp;_xlfn.ENCODEURL(W53),"Enviar felicitación"))</f>
        <v/>
      </c>
      <c r="Y53" s="10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>
        <f>IF(Y53="","",HYPERLINK("https://wa.me/52"&amp;C53&amp;"?text="&amp;_xlfn.ENCODEURL(Y53),"Enviar aniversario"))</f>
        <v/>
      </c>
      <c r="AA53" s="11" t="n"/>
      <c r="AB53" s="11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>
        <f>IFERROR(INDEX(Facturación!$Q:$Q,MATCH(B53,Facturación!$A:$A,0)),"")</f>
        <v/>
      </c>
    </row>
    <row r="54" ht="15" customHeight="1" s="1">
      <c r="A54" s="11">
        <f>IF(B54="","",ROW()-1)</f>
        <v/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>
        <f>IF(Q54="","",HYPERLINK("https://wa.me/52"&amp;C54&amp;"?text="&amp;_xlfn.ENCODEURL(Q54),"Enviar Bienvenida"))</f>
        <v/>
      </c>
      <c r="S54" s="10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>
        <f>IF(S54="","",HYPERLINK("https://wa.me/52"&amp;C54&amp;"?text="&amp;_xlfn.ENCODEURL(S54),"Enviar Seguimiento"))</f>
        <v/>
      </c>
      <c r="U54" s="10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>
        <f>IF(U54="","",HYPERLINK("https://wa.me/52"&amp;C54&amp;"?text="&amp;_xlfn.ENCODEURL(U54),"Enviar aviso de etapa"))</f>
        <v/>
      </c>
      <c r="W54" s="10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>
        <f>IF(W54="","",HYPERLINK("https://wa.me/52"&amp;C54&amp;"?text="&amp;_xlfn.ENCODEURL(W54),"Enviar felicitación"))</f>
        <v/>
      </c>
      <c r="Y54" s="10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>
        <f>IF(Y54="","",HYPERLINK("https://wa.me/52"&amp;C54&amp;"?text="&amp;_xlfn.ENCODEURL(Y54),"Enviar aniversario"))</f>
        <v/>
      </c>
      <c r="AA54" s="11" t="n"/>
      <c r="AB54" s="11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>
        <f>IFERROR(INDEX(Facturación!$Q:$Q,MATCH(B54,Facturación!$A:$A,0)),"")</f>
        <v/>
      </c>
    </row>
    <row r="55" ht="15" customHeight="1" s="1">
      <c r="A55" s="11">
        <f>IF(B55="","",ROW()-1)</f>
        <v/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>
        <f>IF(Q55="","",HYPERLINK("https://wa.me/52"&amp;C55&amp;"?text="&amp;_xlfn.ENCODEURL(Q55),"Enviar Bienvenida"))</f>
        <v/>
      </c>
      <c r="S55" s="10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>
        <f>IF(S55="","",HYPERLINK("https://wa.me/52"&amp;C55&amp;"?text="&amp;_xlfn.ENCODEURL(S55),"Enviar Seguimiento"))</f>
        <v/>
      </c>
      <c r="U55" s="10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>
        <f>IF(U55="","",HYPERLINK("https://wa.me/52"&amp;C55&amp;"?text="&amp;_xlfn.ENCODEURL(U55),"Enviar aviso de etapa"))</f>
        <v/>
      </c>
      <c r="W55" s="10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>
        <f>IF(W55="","",HYPERLINK("https://wa.me/52"&amp;C55&amp;"?text="&amp;_xlfn.ENCODEURL(W55),"Enviar felicitación"))</f>
        <v/>
      </c>
      <c r="Y55" s="10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>
        <f>IF(Y55="","",HYPERLINK("https://wa.me/52"&amp;C55&amp;"?text="&amp;_xlfn.ENCODEURL(Y55),"Enviar aniversario"))</f>
        <v/>
      </c>
      <c r="AA55" s="11" t="n"/>
      <c r="AB55" s="11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>
        <f>IFERROR(INDEX(Facturación!$Q:$Q,MATCH(B55,Facturación!$A:$A,0)),"")</f>
        <v/>
      </c>
    </row>
    <row r="56" ht="15" customHeight="1" s="1">
      <c r="A56" s="11">
        <f>IF(B56="","",ROW()-1)</f>
        <v/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>
        <f>IF(Q56="","",HYPERLINK("https://wa.me/52"&amp;C56&amp;"?text="&amp;_xlfn.ENCODEURL(Q56),"Enviar Bienvenida"))</f>
        <v/>
      </c>
      <c r="S56" s="10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>
        <f>IF(S56="","",HYPERLINK("https://wa.me/52"&amp;C56&amp;"?text="&amp;_xlfn.ENCODEURL(S56),"Enviar Seguimiento"))</f>
        <v/>
      </c>
      <c r="U56" s="10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>
        <f>IF(U56="","",HYPERLINK("https://wa.me/52"&amp;C56&amp;"?text="&amp;_xlfn.ENCODEURL(U56),"Enviar aviso de etapa"))</f>
        <v/>
      </c>
      <c r="W56" s="10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>
        <f>IF(W56="","",HYPERLINK("https://wa.me/52"&amp;C56&amp;"?text="&amp;_xlfn.ENCODEURL(W56),"Enviar felicitación"))</f>
        <v/>
      </c>
      <c r="Y56" s="10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>
        <f>IF(Y56="","",HYPERLINK("https://wa.me/52"&amp;C56&amp;"?text="&amp;_xlfn.ENCODEURL(Y56),"Enviar aniversario"))</f>
        <v/>
      </c>
      <c r="AA56" s="11" t="n"/>
      <c r="AB56" s="11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>
        <f>IFERROR(INDEX(Facturación!$Q:$Q,MATCH(B56,Facturación!$A:$A,0)),"")</f>
        <v/>
      </c>
    </row>
    <row r="57" ht="15" customHeight="1" s="1">
      <c r="A57" s="11">
        <f>IF(B57="","",ROW()-1)</f>
        <v/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>
        <f>IF(Q57="","",HYPERLINK("https://wa.me/52"&amp;C57&amp;"?text="&amp;_xlfn.ENCODEURL(Q57),"Enviar Bienvenida"))</f>
        <v/>
      </c>
      <c r="S57" s="10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>
        <f>IF(S57="","",HYPERLINK("https://wa.me/52"&amp;C57&amp;"?text="&amp;_xlfn.ENCODEURL(S57),"Enviar Seguimiento"))</f>
        <v/>
      </c>
      <c r="U57" s="10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>
        <f>IF(U57="","",HYPERLINK("https://wa.me/52"&amp;C57&amp;"?text="&amp;_xlfn.ENCODEURL(U57),"Enviar aviso de etapa"))</f>
        <v/>
      </c>
      <c r="W57" s="10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>
        <f>IF(W57="","",HYPERLINK("https://wa.me/52"&amp;C57&amp;"?text="&amp;_xlfn.ENCODEURL(W57),"Enviar felicitación"))</f>
        <v/>
      </c>
      <c r="Y57" s="10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>
        <f>IF(Y57="","",HYPERLINK("https://wa.me/52"&amp;C57&amp;"?text="&amp;_xlfn.ENCODEURL(Y57),"Enviar aniversario"))</f>
        <v/>
      </c>
      <c r="AA57" s="11" t="n"/>
      <c r="AB57" s="11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>
        <f>IFERROR(INDEX(Facturación!$Q:$Q,MATCH(B57,Facturación!$A:$A,0)),"")</f>
        <v/>
      </c>
    </row>
    <row r="58" ht="15" customHeight="1" s="1">
      <c r="A58" s="11">
        <f>IF(B58="","",ROW()-1)</f>
        <v/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>
        <f>IF(Q58="","",HYPERLINK("https://wa.me/52"&amp;C58&amp;"?text="&amp;_xlfn.ENCODEURL(Q58),"Enviar Bienvenida"))</f>
        <v/>
      </c>
      <c r="S58" s="10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>
        <f>IF(S58="","",HYPERLINK("https://wa.me/52"&amp;C58&amp;"?text="&amp;_xlfn.ENCODEURL(S58),"Enviar Seguimiento"))</f>
        <v/>
      </c>
      <c r="U58" s="10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>
        <f>IF(U58="","",HYPERLINK("https://wa.me/52"&amp;C58&amp;"?text="&amp;_xlfn.ENCODEURL(U58),"Enviar aviso de etapa"))</f>
        <v/>
      </c>
      <c r="W58" s="10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>
        <f>IF(W58="","",HYPERLINK("https://wa.me/52"&amp;C58&amp;"?text="&amp;_xlfn.ENCODEURL(W58),"Enviar felicitación"))</f>
        <v/>
      </c>
      <c r="Y58" s="10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>
        <f>IF(Y58="","",HYPERLINK("https://wa.me/52"&amp;C58&amp;"?text="&amp;_xlfn.ENCODEURL(Y58),"Enviar aniversario"))</f>
        <v/>
      </c>
      <c r="AA58" s="11" t="n"/>
      <c r="AB58" s="11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>
        <f>IFERROR(INDEX(Facturación!$Q:$Q,MATCH(B58,Facturación!$A:$A,0)),"")</f>
        <v/>
      </c>
    </row>
    <row r="59" ht="15" customHeight="1" s="1">
      <c r="A59" s="11">
        <f>IF(B59="","",ROW()-1)</f>
        <v/>
      </c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>
        <f>IF(Q59="","",HYPERLINK("https://wa.me/52"&amp;C59&amp;"?text="&amp;_xlfn.ENCODEURL(Q59),"Enviar Bienvenida"))</f>
        <v/>
      </c>
      <c r="S59" s="10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>
        <f>IF(S59="","",HYPERLINK("https://wa.me/52"&amp;C59&amp;"?text="&amp;_xlfn.ENCODEURL(S59),"Enviar Seguimiento"))</f>
        <v/>
      </c>
      <c r="U59" s="10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>
        <f>IF(U59="","",HYPERLINK("https://wa.me/52"&amp;C59&amp;"?text="&amp;_xlfn.ENCODEURL(U59),"Enviar aviso de etapa"))</f>
        <v/>
      </c>
      <c r="W59" s="10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>
        <f>IF(W59="","",HYPERLINK("https://wa.me/52"&amp;C59&amp;"?text="&amp;_xlfn.ENCODEURL(W59),"Enviar felicitación"))</f>
        <v/>
      </c>
      <c r="Y59" s="10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>
        <f>IF(Y59="","",HYPERLINK("https://wa.me/52"&amp;C59&amp;"?text="&amp;_xlfn.ENCODEURL(Y59),"Enviar aniversario"))</f>
        <v/>
      </c>
      <c r="AA59" s="11" t="n"/>
      <c r="AB59" s="11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>
        <f>IFERROR(INDEX(Facturación!$Q:$Q,MATCH(B59,Facturación!$A:$A,0)),"")</f>
        <v/>
      </c>
    </row>
    <row r="60" ht="15" customHeight="1" s="1">
      <c r="A60" s="11">
        <f>IF(B60="","",ROW()-1)</f>
        <v/>
      </c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>
        <f>IF(Q60="","",HYPERLINK("https://wa.me/52"&amp;C60&amp;"?text="&amp;_xlfn.ENCODEURL(Q60),"Enviar Bienvenida"))</f>
        <v/>
      </c>
      <c r="S60" s="10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>
        <f>IF(S60="","",HYPERLINK("https://wa.me/52"&amp;C60&amp;"?text="&amp;_xlfn.ENCODEURL(S60),"Enviar Seguimiento"))</f>
        <v/>
      </c>
      <c r="U60" s="10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>
        <f>IF(U60="","",HYPERLINK("https://wa.me/52"&amp;C60&amp;"?text="&amp;_xlfn.ENCODEURL(U60),"Enviar aviso de etapa"))</f>
        <v/>
      </c>
      <c r="W60" s="10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>
        <f>IF(W60="","",HYPERLINK("https://wa.me/52"&amp;C60&amp;"?text="&amp;_xlfn.ENCODEURL(W60),"Enviar felicitación"))</f>
        <v/>
      </c>
      <c r="Y60" s="10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>
        <f>IF(Y60="","",HYPERLINK("https://wa.me/52"&amp;C60&amp;"?text="&amp;_xlfn.ENCODEURL(Y60),"Enviar aniversario"))</f>
        <v/>
      </c>
      <c r="AA60" s="11" t="n"/>
      <c r="AB60" s="11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>
        <f>IFERROR(INDEX(Facturación!$Q:$Q,MATCH(B60,Facturación!$A:$A,0)),"")</f>
        <v/>
      </c>
    </row>
    <row r="61" ht="15" customHeight="1" s="1">
      <c r="A61" s="11">
        <f>IF(B61="","",ROW()-1)</f>
        <v/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>
        <f>IF(Q61="","",HYPERLINK("https://wa.me/52"&amp;C61&amp;"?text="&amp;_xlfn.ENCODEURL(Q61),"Enviar Bienvenida"))</f>
        <v/>
      </c>
      <c r="S61" s="10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>
        <f>IF(S61="","",HYPERLINK("https://wa.me/52"&amp;C61&amp;"?text="&amp;_xlfn.ENCODEURL(S61),"Enviar Seguimiento"))</f>
        <v/>
      </c>
      <c r="U61" s="10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>
        <f>IF(U61="","",HYPERLINK("https://wa.me/52"&amp;C61&amp;"?text="&amp;_xlfn.ENCODEURL(U61),"Enviar aviso de etapa"))</f>
        <v/>
      </c>
      <c r="W61" s="10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>
        <f>IF(W61="","",HYPERLINK("https://wa.me/52"&amp;C61&amp;"?text="&amp;_xlfn.ENCODEURL(W61),"Enviar felicitación"))</f>
        <v/>
      </c>
      <c r="Y61" s="10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>
        <f>IF(Y61="","",HYPERLINK("https://wa.me/52"&amp;C61&amp;"?text="&amp;_xlfn.ENCODEURL(Y61),"Enviar aniversario"))</f>
        <v/>
      </c>
      <c r="AA61" s="11" t="n"/>
      <c r="AB61" s="11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>
        <f>IFERROR(INDEX(Facturación!$Q:$Q,MATCH(B61,Facturación!$A:$A,0)),"")</f>
        <v/>
      </c>
    </row>
    <row r="62" ht="15" customHeight="1" s="1">
      <c r="A62" s="11">
        <f>IF(B62="","",ROW()-1)</f>
        <v/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>
        <f>IF(Q62="","",HYPERLINK("https://wa.me/52"&amp;C62&amp;"?text="&amp;_xlfn.ENCODEURL(Q62),"Enviar Bienvenida"))</f>
        <v/>
      </c>
      <c r="S62" s="10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>
        <f>IF(S62="","",HYPERLINK("https://wa.me/52"&amp;C62&amp;"?text="&amp;_xlfn.ENCODEURL(S62),"Enviar Seguimiento"))</f>
        <v/>
      </c>
      <c r="U62" s="10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>
        <f>IF(U62="","",HYPERLINK("https://wa.me/52"&amp;C62&amp;"?text="&amp;_xlfn.ENCODEURL(U62),"Enviar aviso de etapa"))</f>
        <v/>
      </c>
      <c r="W62" s="10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>
        <f>IF(W62="","",HYPERLINK("https://wa.me/52"&amp;C62&amp;"?text="&amp;_xlfn.ENCODEURL(W62),"Enviar felicitación"))</f>
        <v/>
      </c>
      <c r="Y62" s="10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>
        <f>IF(Y62="","",HYPERLINK("https://wa.me/52"&amp;C62&amp;"?text="&amp;_xlfn.ENCODEURL(Y62),"Enviar aniversario"))</f>
        <v/>
      </c>
      <c r="AA62" s="11" t="n"/>
      <c r="AB62" s="11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>
        <f>IFERROR(INDEX(Facturación!$Q:$Q,MATCH(B62,Facturación!$A:$A,0)),"")</f>
        <v/>
      </c>
    </row>
    <row r="63" ht="15" customHeight="1" s="1">
      <c r="A63" s="11">
        <f>IF(B63="","",ROW()-1)</f>
        <v/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>
        <f>IF(Q63="","",HYPERLINK("https://wa.me/52"&amp;C63&amp;"?text="&amp;_xlfn.ENCODEURL(Q63),"Enviar Bienvenida"))</f>
        <v/>
      </c>
      <c r="S63" s="10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>
        <f>IF(S63="","",HYPERLINK("https://wa.me/52"&amp;C63&amp;"?text="&amp;_xlfn.ENCODEURL(S63),"Enviar Seguimiento"))</f>
        <v/>
      </c>
      <c r="U63" s="10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>
        <f>IF(U63="","",HYPERLINK("https://wa.me/52"&amp;C63&amp;"?text="&amp;_xlfn.ENCODEURL(U63),"Enviar aviso de etapa"))</f>
        <v/>
      </c>
      <c r="W63" s="10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>
        <f>IF(W63="","",HYPERLINK("https://wa.me/52"&amp;C63&amp;"?text="&amp;_xlfn.ENCODEURL(W63),"Enviar felicitación"))</f>
        <v/>
      </c>
      <c r="Y63" s="10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>
        <f>IF(Y63="","",HYPERLINK("https://wa.me/52"&amp;C63&amp;"?text="&amp;_xlfn.ENCODEURL(Y63),"Enviar aniversario"))</f>
        <v/>
      </c>
      <c r="AA63" s="11" t="n"/>
      <c r="AB63" s="11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>
        <f>IFERROR(INDEX(Facturación!$Q:$Q,MATCH(B63,Facturación!$A:$A,0)),"")</f>
        <v/>
      </c>
    </row>
    <row r="64" ht="15" customHeight="1" s="1">
      <c r="A64" s="11">
        <f>IF(B64="","",ROW()-1)</f>
        <v/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>
        <f>IF(Q64="","",HYPERLINK("https://wa.me/52"&amp;C64&amp;"?text="&amp;_xlfn.ENCODEURL(Q64),"Enviar Bienvenida"))</f>
        <v/>
      </c>
      <c r="S64" s="10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>
        <f>IF(S64="","",HYPERLINK("https://wa.me/52"&amp;C64&amp;"?text="&amp;_xlfn.ENCODEURL(S64),"Enviar Seguimiento"))</f>
        <v/>
      </c>
      <c r="U64" s="10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>
        <f>IF(U64="","",HYPERLINK("https://wa.me/52"&amp;C64&amp;"?text="&amp;_xlfn.ENCODEURL(U64),"Enviar aviso de etapa"))</f>
        <v/>
      </c>
      <c r="W64" s="10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>
        <f>IF(W64="","",HYPERLINK("https://wa.me/52"&amp;C64&amp;"?text="&amp;_xlfn.ENCODEURL(W64),"Enviar felicitación"))</f>
        <v/>
      </c>
      <c r="Y64" s="10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>
        <f>IF(Y64="","",HYPERLINK("https://wa.me/52"&amp;C64&amp;"?text="&amp;_xlfn.ENCODEURL(Y64),"Enviar aniversario"))</f>
        <v/>
      </c>
      <c r="AA64" s="11" t="n"/>
      <c r="AB64" s="11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>
        <f>IFERROR(INDEX(Facturación!$Q:$Q,MATCH(B64,Facturación!$A:$A,0)),"")</f>
        <v/>
      </c>
    </row>
    <row r="65" ht="15" customHeight="1" s="1">
      <c r="A65" s="11">
        <f>IF(B65="","",ROW()-1)</f>
        <v/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>
        <f>IF(Q65="","",HYPERLINK("https://wa.me/52"&amp;C65&amp;"?text="&amp;_xlfn.ENCODEURL(Q65),"Enviar Bienvenida"))</f>
        <v/>
      </c>
      <c r="S65" s="10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>
        <f>IF(S65="","",HYPERLINK("https://wa.me/52"&amp;C65&amp;"?text="&amp;_xlfn.ENCODEURL(S65),"Enviar Seguimiento"))</f>
        <v/>
      </c>
      <c r="U65" s="10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>
        <f>IF(U65="","",HYPERLINK("https://wa.me/52"&amp;C65&amp;"?text="&amp;_xlfn.ENCODEURL(U65),"Enviar aviso de etapa"))</f>
        <v/>
      </c>
      <c r="W65" s="10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>
        <f>IF(W65="","",HYPERLINK("https://wa.me/52"&amp;C65&amp;"?text="&amp;_xlfn.ENCODEURL(W65),"Enviar felicitación"))</f>
        <v/>
      </c>
      <c r="Y65" s="10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>
        <f>IF(Y65="","",HYPERLINK("https://wa.me/52"&amp;C65&amp;"?text="&amp;_xlfn.ENCODEURL(Y65),"Enviar aniversario"))</f>
        <v/>
      </c>
      <c r="AA65" s="11" t="n"/>
      <c r="AB65" s="11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>
        <f>IFERROR(INDEX(Facturación!$Q:$Q,MATCH(B65,Facturación!$A:$A,0)),"")</f>
        <v/>
      </c>
    </row>
    <row r="66" ht="15" customHeight="1" s="1">
      <c r="A66" s="11">
        <f>IF(B66="","",ROW()-1)</f>
        <v/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>
        <f>IF(Q66="","",HYPERLINK("https://wa.me/52"&amp;C66&amp;"?text="&amp;_xlfn.ENCODEURL(Q66),"Enviar Bienvenida"))</f>
        <v/>
      </c>
      <c r="S66" s="10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>
        <f>IF(S66="","",HYPERLINK("https://wa.me/52"&amp;C66&amp;"?text="&amp;_xlfn.ENCODEURL(S66),"Enviar Seguimiento"))</f>
        <v/>
      </c>
      <c r="U66" s="10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>
        <f>IF(U66="","",HYPERLINK("https://wa.me/52"&amp;C66&amp;"?text="&amp;_xlfn.ENCODEURL(U66),"Enviar aviso de etapa"))</f>
        <v/>
      </c>
      <c r="W66" s="10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>
        <f>IF(W66="","",HYPERLINK("https://wa.me/52"&amp;C66&amp;"?text="&amp;_xlfn.ENCODEURL(W66),"Enviar felicitación"))</f>
        <v/>
      </c>
      <c r="Y66" s="10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>
        <f>IF(Y66="","",HYPERLINK("https://wa.me/52"&amp;C66&amp;"?text="&amp;_xlfn.ENCODEURL(Y66),"Enviar aniversario"))</f>
        <v/>
      </c>
      <c r="AA66" s="11" t="n"/>
      <c r="AB66" s="11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>
        <f>IFERROR(INDEX(Facturación!$Q:$Q,MATCH(B66,Facturación!$A:$A,0)),"")</f>
        <v/>
      </c>
    </row>
    <row r="67" ht="15" customHeight="1" s="1">
      <c r="A67" s="11">
        <f>IF(B67="","",ROW()-1)</f>
        <v/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>
        <f>IF(Q67="","",HYPERLINK("https://wa.me/52"&amp;C67&amp;"?text="&amp;_xlfn.ENCODEURL(Q67),"Enviar Bienvenida"))</f>
        <v/>
      </c>
      <c r="S67" s="10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>
        <f>IF(S67="","",HYPERLINK("https://wa.me/52"&amp;C67&amp;"?text="&amp;_xlfn.ENCODEURL(S67),"Enviar Seguimiento"))</f>
        <v/>
      </c>
      <c r="U67" s="10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>
        <f>IF(U67="","",HYPERLINK("https://wa.me/52"&amp;C67&amp;"?text="&amp;_xlfn.ENCODEURL(U67),"Enviar aviso de etapa"))</f>
        <v/>
      </c>
      <c r="W67" s="10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>
        <f>IF(W67="","",HYPERLINK("https://wa.me/52"&amp;C67&amp;"?text="&amp;_xlfn.ENCODEURL(W67),"Enviar felicitación"))</f>
        <v/>
      </c>
      <c r="Y67" s="10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>
        <f>IF(Y67="","",HYPERLINK("https://wa.me/52"&amp;C67&amp;"?text="&amp;_xlfn.ENCODEURL(Y67),"Enviar aniversario"))</f>
        <v/>
      </c>
      <c r="AA67" s="11" t="n"/>
      <c r="AB67" s="11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>
        <f>IFERROR(INDEX(Facturación!$Q:$Q,MATCH(B67,Facturación!$A:$A,0)),"")</f>
        <v/>
      </c>
    </row>
    <row r="68" ht="15" customHeight="1" s="1">
      <c r="A68" s="11">
        <f>IF(B68="","",ROW()-1)</f>
        <v/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>
        <f>IF(Q68="","",HYPERLINK("https://wa.me/52"&amp;C68&amp;"?text="&amp;_xlfn.ENCODEURL(Q68),"Enviar Bienvenida"))</f>
        <v/>
      </c>
      <c r="S68" s="10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>
        <f>IF(S68="","",HYPERLINK("https://wa.me/52"&amp;C68&amp;"?text="&amp;_xlfn.ENCODEURL(S68),"Enviar Seguimiento"))</f>
        <v/>
      </c>
      <c r="U68" s="10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>
        <f>IF(U68="","",HYPERLINK("https://wa.me/52"&amp;C68&amp;"?text="&amp;_xlfn.ENCODEURL(U68),"Enviar aviso de etapa"))</f>
        <v/>
      </c>
      <c r="W68" s="10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>
        <f>IF(W68="","",HYPERLINK("https://wa.me/52"&amp;C68&amp;"?text="&amp;_xlfn.ENCODEURL(W68),"Enviar felicitación"))</f>
        <v/>
      </c>
      <c r="Y68" s="10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>
        <f>IF(Y68="","",HYPERLINK("https://wa.me/52"&amp;C68&amp;"?text="&amp;_xlfn.ENCODEURL(Y68),"Enviar aniversario"))</f>
        <v/>
      </c>
      <c r="AA68" s="11" t="n"/>
      <c r="AB68" s="11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>
        <f>IFERROR(INDEX(Facturación!$Q:$Q,MATCH(B68,Facturación!$A:$A,0)),"")</f>
        <v/>
      </c>
    </row>
    <row r="69" ht="15" customHeight="1" s="1">
      <c r="A69" s="11">
        <f>IF(B69="","",ROW()-1)</f>
        <v/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>
        <f>IF(Q69="","",HYPERLINK("https://wa.me/52"&amp;C69&amp;"?text="&amp;_xlfn.ENCODEURL(Q69),"Enviar Bienvenida"))</f>
        <v/>
      </c>
      <c r="S69" s="10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>
        <f>IF(S69="","",HYPERLINK("https://wa.me/52"&amp;C69&amp;"?text="&amp;_xlfn.ENCODEURL(S69),"Enviar Seguimiento"))</f>
        <v/>
      </c>
      <c r="U69" s="10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>
        <f>IF(U69="","",HYPERLINK("https://wa.me/52"&amp;C69&amp;"?text="&amp;_xlfn.ENCODEURL(U69),"Enviar aviso de etapa"))</f>
        <v/>
      </c>
      <c r="W69" s="10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>
        <f>IF(W69="","",HYPERLINK("https://wa.me/52"&amp;C69&amp;"?text="&amp;_xlfn.ENCODEURL(W69),"Enviar felicitación"))</f>
        <v/>
      </c>
      <c r="Y69" s="10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>
        <f>IF(Y69="","",HYPERLINK("https://wa.me/52"&amp;C69&amp;"?text="&amp;_xlfn.ENCODEURL(Y69),"Enviar aniversario"))</f>
        <v/>
      </c>
      <c r="AA69" s="11" t="n"/>
      <c r="AB69" s="11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>
        <f>IFERROR(INDEX(Facturación!$Q:$Q,MATCH(B69,Facturación!$A:$A,0)),"")</f>
        <v/>
      </c>
    </row>
    <row r="70" ht="15" customHeight="1" s="1">
      <c r="A70" s="11">
        <f>IF(B70="","",ROW()-1)</f>
        <v/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>
        <f>IF(Q70="","",HYPERLINK("https://wa.me/52"&amp;C70&amp;"?text="&amp;_xlfn.ENCODEURL(Q70),"Enviar Bienvenida"))</f>
        <v/>
      </c>
      <c r="S70" s="10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>
        <f>IF(S70="","",HYPERLINK("https://wa.me/52"&amp;C70&amp;"?text="&amp;_xlfn.ENCODEURL(S70),"Enviar Seguimiento"))</f>
        <v/>
      </c>
      <c r="U70" s="10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>
        <f>IF(U70="","",HYPERLINK("https://wa.me/52"&amp;C70&amp;"?text="&amp;_xlfn.ENCODEURL(U70),"Enviar aviso de etapa"))</f>
        <v/>
      </c>
      <c r="W70" s="10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>
        <f>IF(W70="","",HYPERLINK("https://wa.me/52"&amp;C70&amp;"?text="&amp;_xlfn.ENCODEURL(W70),"Enviar felicitación"))</f>
        <v/>
      </c>
      <c r="Y70" s="10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>
        <f>IF(Y70="","",HYPERLINK("https://wa.me/52"&amp;C70&amp;"?text="&amp;_xlfn.ENCODEURL(Y70),"Enviar aniversario"))</f>
        <v/>
      </c>
      <c r="AA70" s="11" t="n"/>
      <c r="AB70" s="11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>
        <f>IFERROR(INDEX(Facturación!$Q:$Q,MATCH(B70,Facturación!$A:$A,0)),"")</f>
        <v/>
      </c>
    </row>
    <row r="71" ht="15" customHeight="1" s="1">
      <c r="A71" s="11">
        <f>IF(B71="","",ROW()-1)</f>
        <v/>
      </c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>
        <f>IF(Q71="","",HYPERLINK("https://wa.me/52"&amp;C71&amp;"?text="&amp;_xlfn.ENCODEURL(Q71),"Enviar Bienvenida"))</f>
        <v/>
      </c>
      <c r="S71" s="10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>
        <f>IF(S71="","",HYPERLINK("https://wa.me/52"&amp;C71&amp;"?text="&amp;_xlfn.ENCODEURL(S71),"Enviar Seguimiento"))</f>
        <v/>
      </c>
      <c r="U71" s="10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>
        <f>IF(U71="","",HYPERLINK("https://wa.me/52"&amp;C71&amp;"?text="&amp;_xlfn.ENCODEURL(U71),"Enviar aviso de etapa"))</f>
        <v/>
      </c>
      <c r="W71" s="10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>
        <f>IF(W71="","",HYPERLINK("https://wa.me/52"&amp;C71&amp;"?text="&amp;_xlfn.ENCODEURL(W71),"Enviar felicitación"))</f>
        <v/>
      </c>
      <c r="Y71" s="10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>
        <f>IF(Y71="","",HYPERLINK("https://wa.me/52"&amp;C71&amp;"?text="&amp;_xlfn.ENCODEURL(Y71),"Enviar aniversario"))</f>
        <v/>
      </c>
      <c r="AA71" s="11" t="n"/>
      <c r="AB71" s="11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>
        <f>IFERROR(INDEX(Facturación!$Q:$Q,MATCH(B71,Facturación!$A:$A,0)),"")</f>
        <v/>
      </c>
    </row>
    <row r="72" ht="15" customHeight="1" s="1">
      <c r="A72" s="11">
        <f>IF(B72="","",ROW()-1)</f>
        <v/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>
        <f>IF(Q72="","",HYPERLINK("https://wa.me/52"&amp;C72&amp;"?text="&amp;_xlfn.ENCODEURL(Q72),"Enviar Bienvenida"))</f>
        <v/>
      </c>
      <c r="S72" s="10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>
        <f>IF(S72="","",HYPERLINK("https://wa.me/52"&amp;C72&amp;"?text="&amp;_xlfn.ENCODEURL(S72),"Enviar Seguimiento"))</f>
        <v/>
      </c>
      <c r="U72" s="10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>
        <f>IF(U72="","",HYPERLINK("https://wa.me/52"&amp;C72&amp;"?text="&amp;_xlfn.ENCODEURL(U72),"Enviar aviso de etapa"))</f>
        <v/>
      </c>
      <c r="W72" s="10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>
        <f>IF(W72="","",HYPERLINK("https://wa.me/52"&amp;C72&amp;"?text="&amp;_xlfn.ENCODEURL(W72),"Enviar felicitación"))</f>
        <v/>
      </c>
      <c r="Y72" s="10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>
        <f>IF(Y72="","",HYPERLINK("https://wa.me/52"&amp;C72&amp;"?text="&amp;_xlfn.ENCODEURL(Y72),"Enviar aniversario"))</f>
        <v/>
      </c>
      <c r="AA72" s="11" t="n"/>
      <c r="AB72" s="11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>
        <f>IFERROR(INDEX(Facturación!$Q:$Q,MATCH(B72,Facturación!$A:$A,0)),"")</f>
        <v/>
      </c>
    </row>
    <row r="73" ht="15" customHeight="1" s="1">
      <c r="A73" s="11">
        <f>IF(B73="","",ROW()-1)</f>
        <v/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>
        <f>IF(Q73="","",HYPERLINK("https://wa.me/52"&amp;C73&amp;"?text="&amp;_xlfn.ENCODEURL(Q73),"Enviar Bienvenida"))</f>
        <v/>
      </c>
      <c r="S73" s="10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>
        <f>IF(S73="","",HYPERLINK("https://wa.me/52"&amp;C73&amp;"?text="&amp;_xlfn.ENCODEURL(S73),"Enviar Seguimiento"))</f>
        <v/>
      </c>
      <c r="U73" s="10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>
        <f>IF(U73="","",HYPERLINK("https://wa.me/52"&amp;C73&amp;"?text="&amp;_xlfn.ENCODEURL(U73),"Enviar aviso de etapa"))</f>
        <v/>
      </c>
      <c r="W73" s="10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>
        <f>IF(W73="","",HYPERLINK("https://wa.me/52"&amp;C73&amp;"?text="&amp;_xlfn.ENCODEURL(W73),"Enviar felicitación"))</f>
        <v/>
      </c>
      <c r="Y73" s="10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>
        <f>IF(Y73="","",HYPERLINK("https://wa.me/52"&amp;C73&amp;"?text="&amp;_xlfn.ENCODEURL(Y73),"Enviar aniversario"))</f>
        <v/>
      </c>
      <c r="AA73" s="11" t="n"/>
      <c r="AB73" s="11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>
        <f>IFERROR(INDEX(Facturación!$Q:$Q,MATCH(B73,Facturación!$A:$A,0)),"")</f>
        <v/>
      </c>
    </row>
    <row r="74" ht="15" customHeight="1" s="1">
      <c r="A74" s="11">
        <f>IF(B74="","",ROW()-1)</f>
        <v/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>
        <f>IF(Q74="","",HYPERLINK("https://wa.me/52"&amp;C74&amp;"?text="&amp;_xlfn.ENCODEURL(Q74),"Enviar Bienvenida"))</f>
        <v/>
      </c>
      <c r="S74" s="10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>
        <f>IF(S74="","",HYPERLINK("https://wa.me/52"&amp;C74&amp;"?text="&amp;_xlfn.ENCODEURL(S74),"Enviar Seguimiento"))</f>
        <v/>
      </c>
      <c r="U74" s="10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>
        <f>IF(U74="","",HYPERLINK("https://wa.me/52"&amp;C74&amp;"?text="&amp;_xlfn.ENCODEURL(U74),"Enviar aviso de etapa"))</f>
        <v/>
      </c>
      <c r="W74" s="10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>
        <f>IF(W74="","",HYPERLINK("https://wa.me/52"&amp;C74&amp;"?text="&amp;_xlfn.ENCODEURL(W74),"Enviar felicitación"))</f>
        <v/>
      </c>
      <c r="Y74" s="10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>
        <f>IF(Y74="","",HYPERLINK("https://wa.me/52"&amp;C74&amp;"?text="&amp;_xlfn.ENCODEURL(Y74),"Enviar aniversario"))</f>
        <v/>
      </c>
      <c r="AA74" s="11" t="n"/>
      <c r="AB74" s="11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>
        <f>IFERROR(INDEX(Facturación!$Q:$Q,MATCH(B74,Facturación!$A:$A,0)),"")</f>
        <v/>
      </c>
    </row>
    <row r="75" ht="15" customHeight="1" s="1">
      <c r="A75" s="11">
        <f>IF(B75="","",ROW()-1)</f>
        <v/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>
        <f>IF(Q75="","",HYPERLINK("https://wa.me/52"&amp;C75&amp;"?text="&amp;_xlfn.ENCODEURL(Q75),"Enviar Bienvenida"))</f>
        <v/>
      </c>
      <c r="S75" s="10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>
        <f>IF(S75="","",HYPERLINK("https://wa.me/52"&amp;C75&amp;"?text="&amp;_xlfn.ENCODEURL(S75),"Enviar Seguimiento"))</f>
        <v/>
      </c>
      <c r="U75" s="10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>
        <f>IF(U75="","",HYPERLINK("https://wa.me/52"&amp;C75&amp;"?text="&amp;_xlfn.ENCODEURL(U75),"Enviar aviso de etapa"))</f>
        <v/>
      </c>
      <c r="W75" s="10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>
        <f>IF(W75="","",HYPERLINK("https://wa.me/52"&amp;C75&amp;"?text="&amp;_xlfn.ENCODEURL(W75),"Enviar felicitación"))</f>
        <v/>
      </c>
      <c r="Y75" s="10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>
        <f>IF(Y75="","",HYPERLINK("https://wa.me/52"&amp;C75&amp;"?text="&amp;_xlfn.ENCODEURL(Y75),"Enviar aniversario"))</f>
        <v/>
      </c>
      <c r="AA75" s="11" t="n"/>
      <c r="AB75" s="11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>
        <f>IFERROR(INDEX(Facturación!$Q:$Q,MATCH(B75,Facturación!$A:$A,0)),"")</f>
        <v/>
      </c>
    </row>
    <row r="76" ht="15" customHeight="1" s="1">
      <c r="A76" s="11">
        <f>IF(B76="","",ROW()-1)</f>
        <v/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>
        <f>IF(Q76="","",HYPERLINK("https://wa.me/52"&amp;C76&amp;"?text="&amp;_xlfn.ENCODEURL(Q76),"Enviar Bienvenida"))</f>
        <v/>
      </c>
      <c r="S76" s="10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>
        <f>IF(S76="","",HYPERLINK("https://wa.me/52"&amp;C76&amp;"?text="&amp;_xlfn.ENCODEURL(S76),"Enviar Seguimiento"))</f>
        <v/>
      </c>
      <c r="U76" s="10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>
        <f>IF(U76="","",HYPERLINK("https://wa.me/52"&amp;C76&amp;"?text="&amp;_xlfn.ENCODEURL(U76),"Enviar aviso de etapa"))</f>
        <v/>
      </c>
      <c r="W76" s="10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>
        <f>IF(W76="","",HYPERLINK("https://wa.me/52"&amp;C76&amp;"?text="&amp;_xlfn.ENCODEURL(W76),"Enviar felicitación"))</f>
        <v/>
      </c>
      <c r="Y76" s="10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>
        <f>IF(Y76="","",HYPERLINK("https://wa.me/52"&amp;C76&amp;"?text="&amp;_xlfn.ENCODEURL(Y76),"Enviar aniversario"))</f>
        <v/>
      </c>
      <c r="AA76" s="11" t="n"/>
      <c r="AB76" s="11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>
        <f>IFERROR(INDEX(Facturación!$Q:$Q,MATCH(B76,Facturación!$A:$A,0)),"")</f>
        <v/>
      </c>
    </row>
    <row r="77" ht="15" customHeight="1" s="1">
      <c r="A77" s="11">
        <f>IF(B77="","",ROW()-1)</f>
        <v/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>
        <f>IF(Q77="","",HYPERLINK("https://wa.me/52"&amp;C77&amp;"?text="&amp;_xlfn.ENCODEURL(Q77),"Enviar Bienvenida"))</f>
        <v/>
      </c>
      <c r="S77" s="10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>
        <f>IF(S77="","",HYPERLINK("https://wa.me/52"&amp;C77&amp;"?text="&amp;_xlfn.ENCODEURL(S77),"Enviar Seguimiento"))</f>
        <v/>
      </c>
      <c r="U77" s="10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>
        <f>IF(U77="","",HYPERLINK("https://wa.me/52"&amp;C77&amp;"?text="&amp;_xlfn.ENCODEURL(U77),"Enviar aviso de etapa"))</f>
        <v/>
      </c>
      <c r="W77" s="10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>
        <f>IF(W77="","",HYPERLINK("https://wa.me/52"&amp;C77&amp;"?text="&amp;_xlfn.ENCODEURL(W77),"Enviar felicitación"))</f>
        <v/>
      </c>
      <c r="Y77" s="10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>
        <f>IF(Y77="","",HYPERLINK("https://wa.me/52"&amp;C77&amp;"?text="&amp;_xlfn.ENCODEURL(Y77),"Enviar aniversario"))</f>
        <v/>
      </c>
      <c r="AA77" s="11" t="n"/>
      <c r="AB77" s="11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>
        <f>IFERROR(INDEX(Facturación!$Q:$Q,MATCH(B77,Facturación!$A:$A,0)),"")</f>
        <v/>
      </c>
    </row>
    <row r="78" ht="15" customHeight="1" s="1">
      <c r="A78" s="11">
        <f>IF(B78="","",ROW()-1)</f>
        <v/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>
        <f>IF(Q78="","",HYPERLINK("https://wa.me/52"&amp;C78&amp;"?text="&amp;_xlfn.ENCODEURL(Q78),"Enviar Bienvenida"))</f>
        <v/>
      </c>
      <c r="S78" s="10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>
        <f>IF(S78="","",HYPERLINK("https://wa.me/52"&amp;C78&amp;"?text="&amp;_xlfn.ENCODEURL(S78),"Enviar Seguimiento"))</f>
        <v/>
      </c>
      <c r="U78" s="10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>
        <f>IF(U78="","",HYPERLINK("https://wa.me/52"&amp;C78&amp;"?text="&amp;_xlfn.ENCODEURL(U78),"Enviar aviso de etapa"))</f>
        <v/>
      </c>
      <c r="W78" s="10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>
        <f>IF(W78="","",HYPERLINK("https://wa.me/52"&amp;C78&amp;"?text="&amp;_xlfn.ENCODEURL(W78),"Enviar felicitación"))</f>
        <v/>
      </c>
      <c r="Y78" s="10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>
        <f>IF(Y78="","",HYPERLINK("https://wa.me/52"&amp;C78&amp;"?text="&amp;_xlfn.ENCODEURL(Y78),"Enviar aniversario"))</f>
        <v/>
      </c>
      <c r="AA78" s="11" t="n"/>
      <c r="AB78" s="11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>
        <f>IFERROR(INDEX(Facturación!$Q:$Q,MATCH(B78,Facturación!$A:$A,0)),"")</f>
        <v/>
      </c>
    </row>
    <row r="79" ht="15" customHeight="1" s="1">
      <c r="A79" s="11">
        <f>IF(B79="","",ROW()-1)</f>
        <v/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>
        <f>IF(Q79="","",HYPERLINK("https://wa.me/52"&amp;C79&amp;"?text="&amp;_xlfn.ENCODEURL(Q79),"Enviar Bienvenida"))</f>
        <v/>
      </c>
      <c r="S79" s="10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>
        <f>IF(S79="","",HYPERLINK("https://wa.me/52"&amp;C79&amp;"?text="&amp;_xlfn.ENCODEURL(S79),"Enviar Seguimiento"))</f>
        <v/>
      </c>
      <c r="U79" s="10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>
        <f>IF(U79="","",HYPERLINK("https://wa.me/52"&amp;C79&amp;"?text="&amp;_xlfn.ENCODEURL(U79),"Enviar aviso de etapa"))</f>
        <v/>
      </c>
      <c r="W79" s="10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>
        <f>IF(W79="","",HYPERLINK("https://wa.me/52"&amp;C79&amp;"?text="&amp;_xlfn.ENCODEURL(W79),"Enviar felicitación"))</f>
        <v/>
      </c>
      <c r="Y79" s="10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>
        <f>IF(Y79="","",HYPERLINK("https://wa.me/52"&amp;C79&amp;"?text="&amp;_xlfn.ENCODEURL(Y79),"Enviar aniversario"))</f>
        <v/>
      </c>
      <c r="AA79" s="11" t="n"/>
      <c r="AB79" s="11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>
        <f>IFERROR(INDEX(Facturación!$Q:$Q,MATCH(B79,Facturación!$A:$A,0)),"")</f>
        <v/>
      </c>
    </row>
    <row r="80" ht="15" customHeight="1" s="1">
      <c r="A80" s="11">
        <f>IF(B80="","",ROW()-1)</f>
        <v/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>
        <f>IF(Q80="","",HYPERLINK("https://wa.me/52"&amp;C80&amp;"?text="&amp;_xlfn.ENCODEURL(Q80),"Enviar Bienvenida"))</f>
        <v/>
      </c>
      <c r="S80" s="10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>
        <f>IF(S80="","",HYPERLINK("https://wa.me/52"&amp;C80&amp;"?text="&amp;_xlfn.ENCODEURL(S80),"Enviar Seguimiento"))</f>
        <v/>
      </c>
      <c r="U80" s="10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>
        <f>IF(U80="","",HYPERLINK("https://wa.me/52"&amp;C80&amp;"?text="&amp;_xlfn.ENCODEURL(U80),"Enviar aviso de etapa"))</f>
        <v/>
      </c>
      <c r="W80" s="10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>
        <f>IF(W80="","",HYPERLINK("https://wa.me/52"&amp;C80&amp;"?text="&amp;_xlfn.ENCODEURL(W80),"Enviar felicitación"))</f>
        <v/>
      </c>
      <c r="Y80" s="10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>
        <f>IF(Y80="","",HYPERLINK("https://wa.me/52"&amp;C80&amp;"?text="&amp;_xlfn.ENCODEURL(Y80),"Enviar aniversario"))</f>
        <v/>
      </c>
      <c r="AA80" s="11" t="n"/>
      <c r="AB80" s="11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>
        <f>IFERROR(INDEX(Facturación!$Q:$Q,MATCH(B80,Facturación!$A:$A,0)),"")</f>
        <v/>
      </c>
    </row>
    <row r="81" ht="15" customHeight="1" s="1">
      <c r="A81" s="11">
        <f>IF(B81="","",ROW()-1)</f>
        <v/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>
        <f>IF(Q81="","",HYPERLINK("https://wa.me/52"&amp;C81&amp;"?text="&amp;_xlfn.ENCODEURL(Q81),"Enviar Bienvenida"))</f>
        <v/>
      </c>
      <c r="S81" s="10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>
        <f>IF(S81="","",HYPERLINK("https://wa.me/52"&amp;C81&amp;"?text="&amp;_xlfn.ENCODEURL(S81),"Enviar Seguimiento"))</f>
        <v/>
      </c>
      <c r="U81" s="10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>
        <f>IF(U81="","",HYPERLINK("https://wa.me/52"&amp;C81&amp;"?text="&amp;_xlfn.ENCODEURL(U81),"Enviar aviso de etapa"))</f>
        <v/>
      </c>
      <c r="W81" s="10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>
        <f>IF(W81="","",HYPERLINK("https://wa.me/52"&amp;C81&amp;"?text="&amp;_xlfn.ENCODEURL(W81),"Enviar felicitación"))</f>
        <v/>
      </c>
      <c r="Y81" s="10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>
        <f>IF(Y81="","",HYPERLINK("https://wa.me/52"&amp;C81&amp;"?text="&amp;_xlfn.ENCODEURL(Y81),"Enviar aniversario"))</f>
        <v/>
      </c>
      <c r="AA81" s="11" t="n"/>
      <c r="AB81" s="11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>
        <f>IFERROR(INDEX(Facturación!$Q:$Q,MATCH(B81,Facturación!$A:$A,0)),"")</f>
        <v/>
      </c>
    </row>
    <row r="82" ht="15" customHeight="1" s="1">
      <c r="A82" s="11">
        <f>IF(B82="","",ROW()-1)</f>
        <v/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>
        <f>IF(Q82="","",HYPERLINK("https://wa.me/52"&amp;C82&amp;"?text="&amp;_xlfn.ENCODEURL(Q82),"Enviar Bienvenida"))</f>
        <v/>
      </c>
      <c r="S82" s="10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>
        <f>IF(S82="","",HYPERLINK("https://wa.me/52"&amp;C82&amp;"?text="&amp;_xlfn.ENCODEURL(S82),"Enviar Seguimiento"))</f>
        <v/>
      </c>
      <c r="U82" s="10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>
        <f>IF(U82="","",HYPERLINK("https://wa.me/52"&amp;C82&amp;"?text="&amp;_xlfn.ENCODEURL(U82),"Enviar aviso de etapa"))</f>
        <v/>
      </c>
      <c r="W82" s="10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>
        <f>IF(W82="","",HYPERLINK("https://wa.me/52"&amp;C82&amp;"?text="&amp;_xlfn.ENCODEURL(W82),"Enviar felicitación"))</f>
        <v/>
      </c>
      <c r="Y82" s="10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>
        <f>IF(Y82="","",HYPERLINK("https://wa.me/52"&amp;C82&amp;"?text="&amp;_xlfn.ENCODEURL(Y82),"Enviar aniversario"))</f>
        <v/>
      </c>
      <c r="AA82" s="11" t="n"/>
      <c r="AB82" s="11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>
        <f>IFERROR(INDEX(Facturación!$Q:$Q,MATCH(B82,Facturación!$A:$A,0)),"")</f>
        <v/>
      </c>
    </row>
    <row r="83" ht="15" customHeight="1" s="1">
      <c r="A83" s="11">
        <f>IF(B83="","",ROW()-1)</f>
        <v/>
      </c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>
        <f>IF(Q83="","",HYPERLINK("https://wa.me/52"&amp;C83&amp;"?text="&amp;_xlfn.ENCODEURL(Q83),"Enviar Bienvenida"))</f>
        <v/>
      </c>
      <c r="S83" s="10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>
        <f>IF(S83="","",HYPERLINK("https://wa.me/52"&amp;C83&amp;"?text="&amp;_xlfn.ENCODEURL(S83),"Enviar Seguimiento"))</f>
        <v/>
      </c>
      <c r="U83" s="10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>
        <f>IF(U83="","",HYPERLINK("https://wa.me/52"&amp;C83&amp;"?text="&amp;_xlfn.ENCODEURL(U83),"Enviar aviso de etapa"))</f>
        <v/>
      </c>
      <c r="W83" s="10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>
        <f>IF(W83="","",HYPERLINK("https://wa.me/52"&amp;C83&amp;"?text="&amp;_xlfn.ENCODEURL(W83),"Enviar felicitación"))</f>
        <v/>
      </c>
      <c r="Y83" s="10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>
        <f>IF(Y83="","",HYPERLINK("https://wa.me/52"&amp;C83&amp;"?text="&amp;_xlfn.ENCODEURL(Y83),"Enviar aniversario"))</f>
        <v/>
      </c>
      <c r="AA83" s="11" t="n"/>
      <c r="AB83" s="11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>
        <f>IFERROR(INDEX(Facturación!$Q:$Q,MATCH(B83,Facturación!$A:$A,0)),"")</f>
        <v/>
      </c>
    </row>
    <row r="84" ht="15" customHeight="1" s="1">
      <c r="A84" s="11">
        <f>IF(B84="","",ROW()-1)</f>
        <v/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>
        <f>IF(Q84="","",HYPERLINK("https://wa.me/52"&amp;C84&amp;"?text="&amp;_xlfn.ENCODEURL(Q84),"Enviar Bienvenida"))</f>
        <v/>
      </c>
      <c r="S84" s="10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>
        <f>IF(S84="","",HYPERLINK("https://wa.me/52"&amp;C84&amp;"?text="&amp;_xlfn.ENCODEURL(S84),"Enviar Seguimiento"))</f>
        <v/>
      </c>
      <c r="U84" s="10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>
        <f>IF(U84="","",HYPERLINK("https://wa.me/52"&amp;C84&amp;"?text="&amp;_xlfn.ENCODEURL(U84),"Enviar aviso de etapa"))</f>
        <v/>
      </c>
      <c r="W84" s="10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>
        <f>IF(W84="","",HYPERLINK("https://wa.me/52"&amp;C84&amp;"?text="&amp;_xlfn.ENCODEURL(W84),"Enviar felicitación"))</f>
        <v/>
      </c>
      <c r="Y84" s="10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>
        <f>IF(Y84="","",HYPERLINK("https://wa.me/52"&amp;C84&amp;"?text="&amp;_xlfn.ENCODEURL(Y84),"Enviar aniversario"))</f>
        <v/>
      </c>
      <c r="AA84" s="11" t="n"/>
      <c r="AB84" s="11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>
        <f>IFERROR(INDEX(Facturación!$Q:$Q,MATCH(B84,Facturación!$A:$A,0)),"")</f>
        <v/>
      </c>
    </row>
    <row r="85" ht="15" customHeight="1" s="1">
      <c r="A85" s="11">
        <f>IF(B85="","",ROW()-1)</f>
        <v/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>
        <f>IF(Q85="","",HYPERLINK("https://wa.me/52"&amp;C85&amp;"?text="&amp;_xlfn.ENCODEURL(Q85),"Enviar Bienvenida"))</f>
        <v/>
      </c>
      <c r="S85" s="10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>
        <f>IF(S85="","",HYPERLINK("https://wa.me/52"&amp;C85&amp;"?text="&amp;_xlfn.ENCODEURL(S85),"Enviar Seguimiento"))</f>
        <v/>
      </c>
      <c r="U85" s="10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>
        <f>IF(U85="","",HYPERLINK("https://wa.me/52"&amp;C85&amp;"?text="&amp;_xlfn.ENCODEURL(U85),"Enviar aviso de etapa"))</f>
        <v/>
      </c>
      <c r="W85" s="10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>
        <f>IF(W85="","",HYPERLINK("https://wa.me/52"&amp;C85&amp;"?text="&amp;_xlfn.ENCODEURL(W85),"Enviar felicitación"))</f>
        <v/>
      </c>
      <c r="Y85" s="10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>
        <f>IF(Y85="","",HYPERLINK("https://wa.me/52"&amp;C85&amp;"?text="&amp;_xlfn.ENCODEURL(Y85),"Enviar aniversario"))</f>
        <v/>
      </c>
      <c r="AA85" s="11" t="n"/>
      <c r="AB85" s="11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>
        <f>IFERROR(INDEX(Facturación!$Q:$Q,MATCH(B85,Facturación!$A:$A,0)),"")</f>
        <v/>
      </c>
    </row>
    <row r="86" ht="15" customHeight="1" s="1">
      <c r="A86" s="11">
        <f>IF(B86="","",ROW()-1)</f>
        <v/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>
        <f>IF(Q86="","",HYPERLINK("https://wa.me/52"&amp;C86&amp;"?text="&amp;_xlfn.ENCODEURL(Q86),"Enviar Bienvenida"))</f>
        <v/>
      </c>
      <c r="S86" s="10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>
        <f>IF(S86="","",HYPERLINK("https://wa.me/52"&amp;C86&amp;"?text="&amp;_xlfn.ENCODEURL(S86),"Enviar Seguimiento"))</f>
        <v/>
      </c>
      <c r="U86" s="10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>
        <f>IF(U86="","",HYPERLINK("https://wa.me/52"&amp;C86&amp;"?text="&amp;_xlfn.ENCODEURL(U86),"Enviar aviso de etapa"))</f>
        <v/>
      </c>
      <c r="W86" s="10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>
        <f>IF(W86="","",HYPERLINK("https://wa.me/52"&amp;C86&amp;"?text="&amp;_xlfn.ENCODEURL(W86),"Enviar felicitación"))</f>
        <v/>
      </c>
      <c r="Y86" s="10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>
        <f>IF(Y86="","",HYPERLINK("https://wa.me/52"&amp;C86&amp;"?text="&amp;_xlfn.ENCODEURL(Y86),"Enviar aniversario"))</f>
        <v/>
      </c>
      <c r="AA86" s="11" t="n"/>
      <c r="AB86" s="11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>
        <f>IFERROR(INDEX(Facturación!$Q:$Q,MATCH(B86,Facturación!$A:$A,0)),"")</f>
        <v/>
      </c>
    </row>
    <row r="87" ht="15" customHeight="1" s="1">
      <c r="A87" s="11">
        <f>IF(B87="","",ROW()-1)</f>
        <v/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>
        <f>IF(Q87="","",HYPERLINK("https://wa.me/52"&amp;C87&amp;"?text="&amp;_xlfn.ENCODEURL(Q87),"Enviar Bienvenida"))</f>
        <v/>
      </c>
      <c r="S87" s="10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>
        <f>IF(S87="","",HYPERLINK("https://wa.me/52"&amp;C87&amp;"?text="&amp;_xlfn.ENCODEURL(S87),"Enviar Seguimiento"))</f>
        <v/>
      </c>
      <c r="U87" s="10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>
        <f>IF(U87="","",HYPERLINK("https://wa.me/52"&amp;C87&amp;"?text="&amp;_xlfn.ENCODEURL(U87),"Enviar aviso de etapa"))</f>
        <v/>
      </c>
      <c r="W87" s="10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>
        <f>IF(W87="","",HYPERLINK("https://wa.me/52"&amp;C87&amp;"?text="&amp;_xlfn.ENCODEURL(W87),"Enviar felicitación"))</f>
        <v/>
      </c>
      <c r="Y87" s="10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>
        <f>IF(Y87="","",HYPERLINK("https://wa.me/52"&amp;C87&amp;"?text="&amp;_xlfn.ENCODEURL(Y87),"Enviar aniversario"))</f>
        <v/>
      </c>
      <c r="AA87" s="11" t="n"/>
      <c r="AB87" s="11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>
        <f>IFERROR(INDEX(Facturación!$Q:$Q,MATCH(B87,Facturación!$A:$A,0)),"")</f>
        <v/>
      </c>
    </row>
    <row r="88" ht="15" customHeight="1" s="1">
      <c r="A88" s="11">
        <f>IF(B88="","",ROW()-1)</f>
        <v/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>
        <f>IF(Q88="","",HYPERLINK("https://wa.me/52"&amp;C88&amp;"?text="&amp;_xlfn.ENCODEURL(Q88),"Enviar Bienvenida"))</f>
        <v/>
      </c>
      <c r="S88" s="10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>
        <f>IF(S88="","",HYPERLINK("https://wa.me/52"&amp;C88&amp;"?text="&amp;_xlfn.ENCODEURL(S88),"Enviar Seguimiento"))</f>
        <v/>
      </c>
      <c r="U88" s="10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>
        <f>IF(U88="","",HYPERLINK("https://wa.me/52"&amp;C88&amp;"?text="&amp;_xlfn.ENCODEURL(U88),"Enviar aviso de etapa"))</f>
        <v/>
      </c>
      <c r="W88" s="10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>
        <f>IF(W88="","",HYPERLINK("https://wa.me/52"&amp;C88&amp;"?text="&amp;_xlfn.ENCODEURL(W88),"Enviar felicitación"))</f>
        <v/>
      </c>
      <c r="Y88" s="10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>
        <f>IF(Y88="","",HYPERLINK("https://wa.me/52"&amp;C88&amp;"?text="&amp;_xlfn.ENCODEURL(Y88),"Enviar aniversario"))</f>
        <v/>
      </c>
      <c r="AA88" s="11" t="n"/>
      <c r="AB88" s="11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>
        <f>IFERROR(INDEX(Facturación!$Q:$Q,MATCH(B88,Facturación!$A:$A,0)),"")</f>
        <v/>
      </c>
    </row>
    <row r="89" ht="15" customHeight="1" s="1">
      <c r="A89" s="11">
        <f>IF(B89="","",ROW()-1)</f>
        <v/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>
        <f>IF(Q89="","",HYPERLINK("https://wa.me/52"&amp;C89&amp;"?text="&amp;_xlfn.ENCODEURL(Q89),"Enviar Bienvenida"))</f>
        <v/>
      </c>
      <c r="S89" s="10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>
        <f>IF(S89="","",HYPERLINK("https://wa.me/52"&amp;C89&amp;"?text="&amp;_xlfn.ENCODEURL(S89),"Enviar Seguimiento"))</f>
        <v/>
      </c>
      <c r="U89" s="10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>
        <f>IF(U89="","",HYPERLINK("https://wa.me/52"&amp;C89&amp;"?text="&amp;_xlfn.ENCODEURL(U89),"Enviar aviso de etapa"))</f>
        <v/>
      </c>
      <c r="W89" s="10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>
        <f>IF(W89="","",HYPERLINK("https://wa.me/52"&amp;C89&amp;"?text="&amp;_xlfn.ENCODEURL(W89),"Enviar felicitación"))</f>
        <v/>
      </c>
      <c r="Y89" s="10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>
        <f>IF(Y89="","",HYPERLINK("https://wa.me/52"&amp;C89&amp;"?text="&amp;_xlfn.ENCODEURL(Y89),"Enviar aniversario"))</f>
        <v/>
      </c>
      <c r="AA89" s="11" t="n"/>
      <c r="AB89" s="11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>
        <f>IFERROR(INDEX(Facturación!$Q:$Q,MATCH(B89,Facturación!$A:$A,0)),"")</f>
        <v/>
      </c>
    </row>
    <row r="90" ht="15" customHeight="1" s="1">
      <c r="A90" s="11">
        <f>IF(B90="","",ROW()-1)</f>
        <v/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>
        <f>IF(Q90="","",HYPERLINK("https://wa.me/52"&amp;C90&amp;"?text="&amp;_xlfn.ENCODEURL(Q90),"Enviar Bienvenida"))</f>
        <v/>
      </c>
      <c r="S90" s="10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>
        <f>IF(S90="","",HYPERLINK("https://wa.me/52"&amp;C90&amp;"?text="&amp;_xlfn.ENCODEURL(S90),"Enviar Seguimiento"))</f>
        <v/>
      </c>
      <c r="U90" s="10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>
        <f>IF(U90="","",HYPERLINK("https://wa.me/52"&amp;C90&amp;"?text="&amp;_xlfn.ENCODEURL(U90),"Enviar aviso de etapa"))</f>
        <v/>
      </c>
      <c r="W90" s="10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>
        <f>IF(W90="","",HYPERLINK("https://wa.me/52"&amp;C90&amp;"?text="&amp;_xlfn.ENCODEURL(W90),"Enviar felicitación"))</f>
        <v/>
      </c>
      <c r="Y90" s="10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>
        <f>IF(Y90="","",HYPERLINK("https://wa.me/52"&amp;C90&amp;"?text="&amp;_xlfn.ENCODEURL(Y90),"Enviar aniversario"))</f>
        <v/>
      </c>
      <c r="AA90" s="11" t="n"/>
      <c r="AB90" s="11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>
        <f>IFERROR(INDEX(Facturación!$Q:$Q,MATCH(B90,Facturación!$A:$A,0)),"")</f>
        <v/>
      </c>
    </row>
    <row r="91" ht="15" customHeight="1" s="1">
      <c r="A91" s="11">
        <f>IF(B91="","",ROW()-1)</f>
        <v/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>
        <f>IF(Q91="","",HYPERLINK("https://wa.me/52"&amp;C91&amp;"?text="&amp;_xlfn.ENCODEURL(Q91),"Enviar Bienvenida"))</f>
        <v/>
      </c>
      <c r="S91" s="10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>
        <f>IF(S91="","",HYPERLINK("https://wa.me/52"&amp;C91&amp;"?text="&amp;_xlfn.ENCODEURL(S91),"Enviar Seguimiento"))</f>
        <v/>
      </c>
      <c r="U91" s="10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>
        <f>IF(U91="","",HYPERLINK("https://wa.me/52"&amp;C91&amp;"?text="&amp;_xlfn.ENCODEURL(U91),"Enviar aviso de etapa"))</f>
        <v/>
      </c>
      <c r="W91" s="10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>
        <f>IF(W91="","",HYPERLINK("https://wa.me/52"&amp;C91&amp;"?text="&amp;_xlfn.ENCODEURL(W91),"Enviar felicitación"))</f>
        <v/>
      </c>
      <c r="Y91" s="10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>
        <f>IF(Y91="","",HYPERLINK("https://wa.me/52"&amp;C91&amp;"?text="&amp;_xlfn.ENCODEURL(Y91),"Enviar aniversario"))</f>
        <v/>
      </c>
      <c r="AA91" s="11" t="n"/>
      <c r="AB91" s="11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>
        <f>IFERROR(INDEX(Facturación!$Q:$Q,MATCH(B91,Facturación!$A:$A,0)),"")</f>
        <v/>
      </c>
    </row>
    <row r="92" ht="15" customHeight="1" s="1">
      <c r="A92" s="11">
        <f>IF(B92="","",ROW()-1)</f>
        <v/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>
        <f>IF(Q92="","",HYPERLINK("https://wa.me/52"&amp;C92&amp;"?text="&amp;_xlfn.ENCODEURL(Q92),"Enviar Bienvenida"))</f>
        <v/>
      </c>
      <c r="S92" s="10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>
        <f>IF(S92="","",HYPERLINK("https://wa.me/52"&amp;C92&amp;"?text="&amp;_xlfn.ENCODEURL(S92),"Enviar Seguimiento"))</f>
        <v/>
      </c>
      <c r="U92" s="10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>
        <f>IF(U92="","",HYPERLINK("https://wa.me/52"&amp;C92&amp;"?text="&amp;_xlfn.ENCODEURL(U92),"Enviar aviso de etapa"))</f>
        <v/>
      </c>
      <c r="W92" s="10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>
        <f>IF(W92="","",HYPERLINK("https://wa.me/52"&amp;C92&amp;"?text="&amp;_xlfn.ENCODEURL(W92),"Enviar felicitación"))</f>
        <v/>
      </c>
      <c r="Y92" s="10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>
        <f>IF(Y92="","",HYPERLINK("https://wa.me/52"&amp;C92&amp;"?text="&amp;_xlfn.ENCODEURL(Y92),"Enviar aniversario"))</f>
        <v/>
      </c>
      <c r="AA92" s="11" t="n"/>
      <c r="AB92" s="11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>
        <f>IFERROR(INDEX(Facturación!$Q:$Q,MATCH(B92,Facturación!$A:$A,0)),"")</f>
        <v/>
      </c>
    </row>
    <row r="93" ht="15" customHeight="1" s="1">
      <c r="A93" s="11">
        <f>IF(B93="","",ROW()-1)</f>
        <v/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>
        <f>IF(Q93="","",HYPERLINK("https://wa.me/52"&amp;C93&amp;"?text="&amp;_xlfn.ENCODEURL(Q93),"Enviar Bienvenida"))</f>
        <v/>
      </c>
      <c r="S93" s="10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>
        <f>IF(S93="","",HYPERLINK("https://wa.me/52"&amp;C93&amp;"?text="&amp;_xlfn.ENCODEURL(S93),"Enviar Seguimiento"))</f>
        <v/>
      </c>
      <c r="U93" s="10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>
        <f>IF(U93="","",HYPERLINK("https://wa.me/52"&amp;C93&amp;"?text="&amp;_xlfn.ENCODEURL(U93),"Enviar aviso de etapa"))</f>
        <v/>
      </c>
      <c r="W93" s="10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>
        <f>IF(W93="","",HYPERLINK("https://wa.me/52"&amp;C93&amp;"?text="&amp;_xlfn.ENCODEURL(W93),"Enviar felicitación"))</f>
        <v/>
      </c>
      <c r="Y93" s="10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>
        <f>IF(Y93="","",HYPERLINK("https://wa.me/52"&amp;C93&amp;"?text="&amp;_xlfn.ENCODEURL(Y93),"Enviar aniversario"))</f>
        <v/>
      </c>
      <c r="AA93" s="11" t="n"/>
      <c r="AB93" s="11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>
        <f>IFERROR(INDEX(Facturación!$Q:$Q,MATCH(B93,Facturación!$A:$A,0)),"")</f>
        <v/>
      </c>
    </row>
    <row r="94" ht="15" customHeight="1" s="1">
      <c r="A94" s="11">
        <f>IF(B94="","",ROW()-1)</f>
        <v/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>
        <f>IF(Q94="","",HYPERLINK("https://wa.me/52"&amp;C94&amp;"?text="&amp;_xlfn.ENCODEURL(Q94),"Enviar Bienvenida"))</f>
        <v/>
      </c>
      <c r="S94" s="10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>
        <f>IF(S94="","",HYPERLINK("https://wa.me/52"&amp;C94&amp;"?text="&amp;_xlfn.ENCODEURL(S94),"Enviar Seguimiento"))</f>
        <v/>
      </c>
      <c r="U94" s="10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>
        <f>IF(U94="","",HYPERLINK("https://wa.me/52"&amp;C94&amp;"?text="&amp;_xlfn.ENCODEURL(U94),"Enviar aviso de etapa"))</f>
        <v/>
      </c>
      <c r="W94" s="10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>
        <f>IF(W94="","",HYPERLINK("https://wa.me/52"&amp;C94&amp;"?text="&amp;_xlfn.ENCODEURL(W94),"Enviar felicitación"))</f>
        <v/>
      </c>
      <c r="Y94" s="10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>
        <f>IF(Y94="","",HYPERLINK("https://wa.me/52"&amp;C94&amp;"?text="&amp;_xlfn.ENCODEURL(Y94),"Enviar aniversario"))</f>
        <v/>
      </c>
      <c r="AA94" s="11" t="n"/>
      <c r="AB94" s="11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>
        <f>IFERROR(INDEX(Facturación!$Q:$Q,MATCH(B94,Facturación!$A:$A,0)),"")</f>
        <v/>
      </c>
    </row>
    <row r="95" ht="15" customHeight="1" s="1">
      <c r="A95" s="11">
        <f>IF(B95="","",ROW()-1)</f>
        <v/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>
        <f>IF(Q95="","",HYPERLINK("https://wa.me/52"&amp;C95&amp;"?text="&amp;_xlfn.ENCODEURL(Q95),"Enviar Bienvenida"))</f>
        <v/>
      </c>
      <c r="S95" s="10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>
        <f>IF(S95="","",HYPERLINK("https://wa.me/52"&amp;C95&amp;"?text="&amp;_xlfn.ENCODEURL(S95),"Enviar Seguimiento"))</f>
        <v/>
      </c>
      <c r="U95" s="10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>
        <f>IF(U95="","",HYPERLINK("https://wa.me/52"&amp;C95&amp;"?text="&amp;_xlfn.ENCODEURL(U95),"Enviar aviso de etapa"))</f>
        <v/>
      </c>
      <c r="W95" s="10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>
        <f>IF(W95="","",HYPERLINK("https://wa.me/52"&amp;C95&amp;"?text="&amp;_xlfn.ENCODEURL(W95),"Enviar felicitación"))</f>
        <v/>
      </c>
      <c r="Y95" s="10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>
        <f>IF(Y95="","",HYPERLINK("https://wa.me/52"&amp;C95&amp;"?text="&amp;_xlfn.ENCODEURL(Y95),"Enviar aniversario"))</f>
        <v/>
      </c>
      <c r="AA95" s="11" t="n"/>
      <c r="AB95" s="11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>
        <f>IFERROR(INDEX(Facturación!$Q:$Q,MATCH(B95,Facturación!$A:$A,0)),"")</f>
        <v/>
      </c>
    </row>
    <row r="96" ht="15" customHeight="1" s="1">
      <c r="A96" s="11">
        <f>IF(B96="","",ROW()-1)</f>
        <v/>
      </c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>
        <f>IF(Q96="","",HYPERLINK("https://wa.me/52"&amp;C96&amp;"?text="&amp;_xlfn.ENCODEURL(Q96),"Enviar Bienvenida"))</f>
        <v/>
      </c>
      <c r="S96" s="10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>
        <f>IF(S96="","",HYPERLINK("https://wa.me/52"&amp;C96&amp;"?text="&amp;_xlfn.ENCODEURL(S96),"Enviar Seguimiento"))</f>
        <v/>
      </c>
      <c r="U96" s="10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>
        <f>IF(U96="","",HYPERLINK("https://wa.me/52"&amp;C96&amp;"?text="&amp;_xlfn.ENCODEURL(U96),"Enviar aviso de etapa"))</f>
        <v/>
      </c>
      <c r="W96" s="10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>
        <f>IF(W96="","",HYPERLINK("https://wa.me/52"&amp;C96&amp;"?text="&amp;_xlfn.ENCODEURL(W96),"Enviar felicitación"))</f>
        <v/>
      </c>
      <c r="Y96" s="10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>
        <f>IF(Y96="","",HYPERLINK("https://wa.me/52"&amp;C96&amp;"?text="&amp;_xlfn.ENCODEURL(Y96),"Enviar aniversario"))</f>
        <v/>
      </c>
      <c r="AA96" s="11" t="n"/>
      <c r="AB96" s="11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>
        <f>IFERROR(INDEX(Facturación!$Q:$Q,MATCH(B96,Facturación!$A:$A,0)),"")</f>
        <v/>
      </c>
    </row>
    <row r="97" ht="15" customHeight="1" s="1">
      <c r="A97" s="11">
        <f>IF(B97="","",ROW()-1)</f>
        <v/>
      </c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>
        <f>IF(Q97="","",HYPERLINK("https://wa.me/52"&amp;C97&amp;"?text="&amp;_xlfn.ENCODEURL(Q97),"Enviar Bienvenida"))</f>
        <v/>
      </c>
      <c r="S97" s="10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>
        <f>IF(S97="","",HYPERLINK("https://wa.me/52"&amp;C97&amp;"?text="&amp;_xlfn.ENCODEURL(S97),"Enviar Seguimiento"))</f>
        <v/>
      </c>
      <c r="U97" s="10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>
        <f>IF(U97="","",HYPERLINK("https://wa.me/52"&amp;C97&amp;"?text="&amp;_xlfn.ENCODEURL(U97),"Enviar aviso de etapa"))</f>
        <v/>
      </c>
      <c r="W97" s="10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>
        <f>IF(W97="","",HYPERLINK("https://wa.me/52"&amp;C97&amp;"?text="&amp;_xlfn.ENCODEURL(W97),"Enviar felicitación"))</f>
        <v/>
      </c>
      <c r="Y97" s="10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>
        <f>IF(Y97="","",HYPERLINK("https://wa.me/52"&amp;C97&amp;"?text="&amp;_xlfn.ENCODEURL(Y97),"Enviar aniversario"))</f>
        <v/>
      </c>
      <c r="AA97" s="11" t="n"/>
      <c r="AB97" s="11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>
        <f>IFERROR(INDEX(Facturación!$Q:$Q,MATCH(B97,Facturación!$A:$A,0)),"")</f>
        <v/>
      </c>
    </row>
    <row r="98" ht="15" customHeight="1" s="1">
      <c r="A98" s="11">
        <f>IF(B98="","",ROW()-1)</f>
        <v/>
      </c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>
        <f>IF(Q98="","",HYPERLINK("https://wa.me/52"&amp;C98&amp;"?text="&amp;_xlfn.ENCODEURL(Q98),"Enviar Bienvenida"))</f>
        <v/>
      </c>
      <c r="S98" s="10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>
        <f>IF(S98="","",HYPERLINK("https://wa.me/52"&amp;C98&amp;"?text="&amp;_xlfn.ENCODEURL(S98),"Enviar Seguimiento"))</f>
        <v/>
      </c>
      <c r="U98" s="10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>
        <f>IF(U98="","",HYPERLINK("https://wa.me/52"&amp;C98&amp;"?text="&amp;_xlfn.ENCODEURL(U98),"Enviar aviso de etapa"))</f>
        <v/>
      </c>
      <c r="W98" s="10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>
        <f>IF(W98="","",HYPERLINK("https://wa.me/52"&amp;C98&amp;"?text="&amp;_xlfn.ENCODEURL(W98),"Enviar felicitación"))</f>
        <v/>
      </c>
      <c r="Y98" s="10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>
        <f>IF(Y98="","",HYPERLINK("https://wa.me/52"&amp;C98&amp;"?text="&amp;_xlfn.ENCODEURL(Y98),"Enviar aniversario"))</f>
        <v/>
      </c>
      <c r="AA98" s="11" t="n"/>
      <c r="AB98" s="11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>
        <f>IFERROR(INDEX(Facturación!$Q:$Q,MATCH(B98,Facturación!$A:$A,0)),"")</f>
        <v/>
      </c>
    </row>
    <row r="99" ht="15" customHeight="1" s="1">
      <c r="A99" s="11">
        <f>IF(B99="","",ROW()-1)</f>
        <v/>
      </c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>
        <f>IF(Q99="","",HYPERLINK("https://wa.me/52"&amp;C99&amp;"?text="&amp;_xlfn.ENCODEURL(Q99),"Enviar Bienvenida"))</f>
        <v/>
      </c>
      <c r="S99" s="10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>
        <f>IF(S99="","",HYPERLINK("https://wa.me/52"&amp;C99&amp;"?text="&amp;_xlfn.ENCODEURL(S99),"Enviar Seguimiento"))</f>
        <v/>
      </c>
      <c r="U99" s="10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>
        <f>IF(U99="","",HYPERLINK("https://wa.me/52"&amp;C99&amp;"?text="&amp;_xlfn.ENCODEURL(U99),"Enviar aviso de etapa"))</f>
        <v/>
      </c>
      <c r="W99" s="10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>
        <f>IF(W99="","",HYPERLINK("https://wa.me/52"&amp;C99&amp;"?text="&amp;_xlfn.ENCODEURL(W99),"Enviar felicitación"))</f>
        <v/>
      </c>
      <c r="Y99" s="10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>
        <f>IF(Y99="","",HYPERLINK("https://wa.me/52"&amp;C99&amp;"?text="&amp;_xlfn.ENCODEURL(Y99),"Enviar aniversario"))</f>
        <v/>
      </c>
      <c r="AA99" s="11" t="n"/>
      <c r="AB99" s="11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>
        <f>IFERROR(INDEX(Facturación!$Q:$Q,MATCH(B99,Facturación!$A:$A,0)),"")</f>
        <v/>
      </c>
    </row>
    <row r="100" ht="15" customHeight="1" s="1">
      <c r="A100" s="11">
        <f>IF(B100="","",ROW()-1)</f>
        <v/>
      </c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>
        <f>IF(Q100="","",HYPERLINK("https://wa.me/52"&amp;C100&amp;"?text="&amp;_xlfn.ENCODEURL(Q100),"Enviar Bienvenida"))</f>
        <v/>
      </c>
      <c r="S100" s="10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>
        <f>IF(S100="","",HYPERLINK("https://wa.me/52"&amp;C100&amp;"?text="&amp;_xlfn.ENCODEURL(S100),"Enviar Seguimiento"))</f>
        <v/>
      </c>
      <c r="U100" s="10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>
        <f>IF(U100="","",HYPERLINK("https://wa.me/52"&amp;C100&amp;"?text="&amp;_xlfn.ENCODEURL(U100),"Enviar aviso de etapa"))</f>
        <v/>
      </c>
      <c r="W100" s="10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>
        <f>IF(W100="","",HYPERLINK("https://wa.me/52"&amp;C100&amp;"?text="&amp;_xlfn.ENCODEURL(W100),"Enviar felicitación"))</f>
        <v/>
      </c>
      <c r="Y100" s="10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>
        <f>IF(Y100="","",HYPERLINK("https://wa.me/52"&amp;C100&amp;"?text="&amp;_xlfn.ENCODEURL(Y100),"Enviar aniversario"))</f>
        <v/>
      </c>
      <c r="AA100" s="11" t="n"/>
      <c r="AB100" s="11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>
        <f>IFERROR(INDEX(Facturación!$Q:$Q,MATCH(B100,Facturación!$A:$A,0)),"")</f>
        <v/>
      </c>
    </row>
    <row r="101" ht="15" customHeight="1" s="1">
      <c r="A101" s="11">
        <f>IF(B101="","",ROW()-1)</f>
        <v/>
      </c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>
        <f>IF(Q101="","",HYPERLINK("https://wa.me/52"&amp;C101&amp;"?text="&amp;_xlfn.ENCODEURL(Q101),"Enviar Bienvenida"))</f>
        <v/>
      </c>
      <c r="S101" s="10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>
        <f>IF(S101="","",HYPERLINK("https://wa.me/52"&amp;C101&amp;"?text="&amp;_xlfn.ENCODEURL(S101),"Enviar Seguimiento"))</f>
        <v/>
      </c>
      <c r="U101" s="10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>
        <f>IF(U101="","",HYPERLINK("https://wa.me/52"&amp;C101&amp;"?text="&amp;_xlfn.ENCODEURL(U101),"Enviar aviso de etapa"))</f>
        <v/>
      </c>
      <c r="W101" s="10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>
        <f>IF(W101="","",HYPERLINK("https://wa.me/52"&amp;C101&amp;"?text="&amp;_xlfn.ENCODEURL(W101),"Enviar felicitación"))</f>
        <v/>
      </c>
      <c r="Y101" s="10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>
        <f>IF(Y101="","",HYPERLINK("https://wa.me/52"&amp;C101&amp;"?text="&amp;_xlfn.ENCODEURL(Y101),"Enviar aniversario"))</f>
        <v/>
      </c>
      <c r="AA101" s="11" t="n"/>
      <c r="AB101" s="11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>
        <f>IFERROR(INDEX(Facturación!$Q:$Q,MATCH(B101,Facturación!$A:$A,0)),"")</f>
        <v/>
      </c>
    </row>
    <row r="102" ht="15" customHeight="1" s="1">
      <c r="A102" s="11">
        <f>IF(B102="","",ROW()-1)</f>
        <v/>
      </c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0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>
        <f>IF(Q102="","",HYPERLINK("https://wa.me/52"&amp;C102&amp;"?text="&amp;_xlfn.ENCODEURL(Q102),"Enviar Bienvenida"))</f>
        <v/>
      </c>
      <c r="S102" s="10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>
        <f>IF(S102="","",HYPERLINK("https://wa.me/52"&amp;C102&amp;"?text="&amp;_xlfn.ENCODEURL(S102),"Enviar Seguimiento"))</f>
        <v/>
      </c>
      <c r="U102" s="10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>
        <f>IF(U102="","",HYPERLINK("https://wa.me/52"&amp;C102&amp;"?text="&amp;_xlfn.ENCODEURL(U102),"Enviar aviso de etapa"))</f>
        <v/>
      </c>
      <c r="W102" s="10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>
        <f>IF(W102="","",HYPERLINK("https://wa.me/52"&amp;C102&amp;"?text="&amp;_xlfn.ENCODEURL(W102),"Enviar felicitación"))</f>
        <v/>
      </c>
      <c r="Y102" s="10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>
        <f>IF(Y102="","",HYPERLINK("https://wa.me/52"&amp;C102&amp;"?text="&amp;_xlfn.ENCODEURL(Y102),"Enviar aniversario"))</f>
        <v/>
      </c>
      <c r="AA102" s="11" t="n"/>
      <c r="AB102" s="11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>
        <f>IFERROR(INDEX(Facturación!$Q:$Q,MATCH(B102,Facturación!$A:$A,0)),"")</f>
        <v/>
      </c>
    </row>
    <row r="103" ht="15" customHeight="1" s="1">
      <c r="A103" s="11">
        <f>IF(B103="","",ROW()-1)</f>
        <v/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0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>
        <f>IF(Q103="","",HYPERLINK("https://wa.me/52"&amp;C103&amp;"?text="&amp;_xlfn.ENCODEURL(Q103),"Enviar Bienvenida"))</f>
        <v/>
      </c>
      <c r="S103" s="10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>
        <f>IF(S103="","",HYPERLINK("https://wa.me/52"&amp;C103&amp;"?text="&amp;_xlfn.ENCODEURL(S103),"Enviar Seguimiento"))</f>
        <v/>
      </c>
      <c r="U103" s="10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>
        <f>IF(U103="","",HYPERLINK("https://wa.me/52"&amp;C103&amp;"?text="&amp;_xlfn.ENCODEURL(U103),"Enviar aviso de etapa"))</f>
        <v/>
      </c>
      <c r="W103" s="10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>
        <f>IF(W103="","",HYPERLINK("https://wa.me/52"&amp;C103&amp;"?text="&amp;_xlfn.ENCODEURL(W103),"Enviar felicitación"))</f>
        <v/>
      </c>
      <c r="Y103" s="10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>
        <f>IF(Y103="","",HYPERLINK("https://wa.me/52"&amp;C103&amp;"?text="&amp;_xlfn.ENCODEURL(Y103),"Enviar aniversario"))</f>
        <v/>
      </c>
      <c r="AA103" s="11" t="n"/>
      <c r="AB103" s="11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>
        <f>IFERROR(INDEX(Facturación!$Q:$Q,MATCH(B103,Facturación!$A:$A,0)),"")</f>
        <v/>
      </c>
    </row>
    <row r="104" ht="15" customHeight="1" s="1">
      <c r="A104" s="11">
        <f>IF(B104="","",ROW()-1)</f>
        <v/>
      </c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0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>
        <f>IF(Q104="","",HYPERLINK("https://wa.me/52"&amp;C104&amp;"?text="&amp;_xlfn.ENCODEURL(Q104),"Enviar Bienvenida"))</f>
        <v/>
      </c>
      <c r="S104" s="10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>
        <f>IF(S104="","",HYPERLINK("https://wa.me/52"&amp;C104&amp;"?text="&amp;_xlfn.ENCODEURL(S104),"Enviar Seguimiento"))</f>
        <v/>
      </c>
      <c r="U104" s="10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>
        <f>IF(U104="","",HYPERLINK("https://wa.me/52"&amp;C104&amp;"?text="&amp;_xlfn.ENCODEURL(U104),"Enviar aviso de etapa"))</f>
        <v/>
      </c>
      <c r="W104" s="10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>
        <f>IF(W104="","",HYPERLINK("https://wa.me/52"&amp;C104&amp;"?text="&amp;_xlfn.ENCODEURL(W104),"Enviar felicitación"))</f>
        <v/>
      </c>
      <c r="Y104" s="10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>
        <f>IF(Y104="","",HYPERLINK("https://wa.me/52"&amp;C104&amp;"?text="&amp;_xlfn.ENCODEURL(Y104),"Enviar aniversario"))</f>
        <v/>
      </c>
      <c r="AA104" s="11" t="n"/>
      <c r="AB104" s="11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>
        <f>IFERROR(INDEX(Facturación!$Q:$Q,MATCH(B104,Facturación!$A:$A,0)),"")</f>
        <v/>
      </c>
    </row>
    <row r="105" ht="15" customHeight="1" s="1">
      <c r="A105" s="11">
        <f>IF(B105="","",ROW()-1)</f>
        <v/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0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>
        <f>IF(Q105="","",HYPERLINK("https://wa.me/52"&amp;C105&amp;"?text="&amp;_xlfn.ENCODEURL(Q105),"Enviar Bienvenida"))</f>
        <v/>
      </c>
      <c r="S105" s="10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>
        <f>IF(S105="","",HYPERLINK("https://wa.me/52"&amp;C105&amp;"?text="&amp;_xlfn.ENCODEURL(S105),"Enviar Seguimiento"))</f>
        <v/>
      </c>
      <c r="U105" s="10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>
        <f>IF(U105="","",HYPERLINK("https://wa.me/52"&amp;C105&amp;"?text="&amp;_xlfn.ENCODEURL(U105),"Enviar aviso de etapa"))</f>
        <v/>
      </c>
      <c r="W105" s="10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>
        <f>IF(W105="","",HYPERLINK("https://wa.me/52"&amp;C105&amp;"?text="&amp;_xlfn.ENCODEURL(W105),"Enviar felicitación"))</f>
        <v/>
      </c>
      <c r="Y105" s="10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>
        <f>IF(Y105="","",HYPERLINK("https://wa.me/52"&amp;C105&amp;"?text="&amp;_xlfn.ENCODEURL(Y105),"Enviar aniversario"))</f>
        <v/>
      </c>
      <c r="AA105" s="11" t="n"/>
      <c r="AB105" s="11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>
        <f>IFERROR(INDEX(Facturación!$Q:$Q,MATCH(B105,Facturación!$A:$A,0)),"")</f>
        <v/>
      </c>
    </row>
    <row r="106" ht="15" customHeight="1" s="1">
      <c r="A106" s="11">
        <f>IF(B106="","",ROW()-1)</f>
        <v/>
      </c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0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>
        <f>IF(Q106="","",HYPERLINK("https://wa.me/52"&amp;C106&amp;"?text="&amp;_xlfn.ENCODEURL(Q106),"Enviar Bienvenida"))</f>
        <v/>
      </c>
      <c r="S106" s="10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>
        <f>IF(S106="","",HYPERLINK("https://wa.me/52"&amp;C106&amp;"?text="&amp;_xlfn.ENCODEURL(S106),"Enviar Seguimiento"))</f>
        <v/>
      </c>
      <c r="U106" s="10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>
        <f>IF(U106="","",HYPERLINK("https://wa.me/52"&amp;C106&amp;"?text="&amp;_xlfn.ENCODEURL(U106),"Enviar aviso de etapa"))</f>
        <v/>
      </c>
      <c r="W106" s="10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>
        <f>IF(W106="","",HYPERLINK("https://wa.me/52"&amp;C106&amp;"?text="&amp;_xlfn.ENCODEURL(W106),"Enviar felicitación"))</f>
        <v/>
      </c>
      <c r="Y106" s="10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>
        <f>IF(Y106="","",HYPERLINK("https://wa.me/52"&amp;C106&amp;"?text="&amp;_xlfn.ENCODEURL(Y106),"Enviar aniversario"))</f>
        <v/>
      </c>
      <c r="AA106" s="11" t="n"/>
      <c r="AB106" s="11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>
        <f>IFERROR(INDEX(Facturación!$Q:$Q,MATCH(B106,Facturación!$A:$A,0)),"")</f>
        <v/>
      </c>
    </row>
    <row r="107" ht="15" customHeight="1" s="1">
      <c r="A107" s="11">
        <f>IF(B107="","",ROW()-1)</f>
        <v/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0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>
        <f>IF(Q107="","",HYPERLINK("https://wa.me/52"&amp;C107&amp;"?text="&amp;_xlfn.ENCODEURL(Q107),"Enviar Bienvenida"))</f>
        <v/>
      </c>
      <c r="S107" s="10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>
        <f>IF(S107="","",HYPERLINK("https://wa.me/52"&amp;C107&amp;"?text="&amp;_xlfn.ENCODEURL(S107),"Enviar Seguimiento"))</f>
        <v/>
      </c>
      <c r="U107" s="10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>
        <f>IF(U107="","",HYPERLINK("https://wa.me/52"&amp;C107&amp;"?text="&amp;_xlfn.ENCODEURL(U107),"Enviar aviso de etapa"))</f>
        <v/>
      </c>
      <c r="W107" s="10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>
        <f>IF(W107="","",HYPERLINK("https://wa.me/52"&amp;C107&amp;"?text="&amp;_xlfn.ENCODEURL(W107),"Enviar felicitación"))</f>
        <v/>
      </c>
      <c r="Y107" s="10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>
        <f>IF(Y107="","",HYPERLINK("https://wa.me/52"&amp;C107&amp;"?text="&amp;_xlfn.ENCODEURL(Y107),"Enviar aniversario"))</f>
        <v/>
      </c>
      <c r="AA107" s="11" t="n"/>
      <c r="AB107" s="11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>
        <f>IFERROR(INDEX(Facturación!$Q:$Q,MATCH(B107,Facturación!$A:$A,0)),"")</f>
        <v/>
      </c>
    </row>
    <row r="108" ht="15" customHeight="1" s="1">
      <c r="A108" s="11">
        <f>IF(B108="","",ROW()-1)</f>
        <v/>
      </c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0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>
        <f>IF(Q108="","",HYPERLINK("https://wa.me/52"&amp;C108&amp;"?text="&amp;_xlfn.ENCODEURL(Q108),"Enviar Bienvenida"))</f>
        <v/>
      </c>
      <c r="S108" s="10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>
        <f>IF(S108="","",HYPERLINK("https://wa.me/52"&amp;C108&amp;"?text="&amp;_xlfn.ENCODEURL(S108),"Enviar Seguimiento"))</f>
        <v/>
      </c>
      <c r="U108" s="10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>
        <f>IF(U108="","",HYPERLINK("https://wa.me/52"&amp;C108&amp;"?text="&amp;_xlfn.ENCODEURL(U108),"Enviar aviso de etapa"))</f>
        <v/>
      </c>
      <c r="W108" s="10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>
        <f>IF(W108="","",HYPERLINK("https://wa.me/52"&amp;C108&amp;"?text="&amp;_xlfn.ENCODEURL(W108),"Enviar felicitación"))</f>
        <v/>
      </c>
      <c r="Y108" s="10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>
        <f>IF(Y108="","",HYPERLINK("https://wa.me/52"&amp;C108&amp;"?text="&amp;_xlfn.ENCODEURL(Y108),"Enviar aniversario"))</f>
        <v/>
      </c>
      <c r="AA108" s="11" t="n"/>
      <c r="AB108" s="11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>
        <f>IFERROR(INDEX(Facturación!$Q:$Q,MATCH(B108,Facturación!$A:$A,0)),"")</f>
        <v/>
      </c>
    </row>
    <row r="109" ht="15" customHeight="1" s="1">
      <c r="A109" s="11">
        <f>IF(B109="","",ROW()-1)</f>
        <v/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0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>
        <f>IF(Q109="","",HYPERLINK("https://wa.me/52"&amp;C109&amp;"?text="&amp;_xlfn.ENCODEURL(Q109),"Enviar Bienvenida"))</f>
        <v/>
      </c>
      <c r="S109" s="10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>
        <f>IF(S109="","",HYPERLINK("https://wa.me/52"&amp;C109&amp;"?text="&amp;_xlfn.ENCODEURL(S109),"Enviar Seguimiento"))</f>
        <v/>
      </c>
      <c r="U109" s="10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>
        <f>IF(U109="","",HYPERLINK("https://wa.me/52"&amp;C109&amp;"?text="&amp;_xlfn.ENCODEURL(U109),"Enviar aviso de etapa"))</f>
        <v/>
      </c>
      <c r="W109" s="10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>
        <f>IF(W109="","",HYPERLINK("https://wa.me/52"&amp;C109&amp;"?text="&amp;_xlfn.ENCODEURL(W109),"Enviar felicitación"))</f>
        <v/>
      </c>
      <c r="Y109" s="10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>
        <f>IF(Y109="","",HYPERLINK("https://wa.me/52"&amp;C109&amp;"?text="&amp;_xlfn.ENCODEURL(Y109),"Enviar aniversario"))</f>
        <v/>
      </c>
      <c r="AA109" s="11" t="n"/>
      <c r="AB109" s="11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>
        <f>IFERROR(INDEX(Facturación!$Q:$Q,MATCH(B109,Facturación!$A:$A,0)),"")</f>
        <v/>
      </c>
    </row>
    <row r="110" ht="15" customHeight="1" s="1">
      <c r="A110" s="11">
        <f>IF(B110="","",ROW()-1)</f>
        <v/>
      </c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0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>
        <f>IF(Q110="","",HYPERLINK("https://wa.me/52"&amp;C110&amp;"?text="&amp;_xlfn.ENCODEURL(Q110),"Enviar Bienvenida"))</f>
        <v/>
      </c>
      <c r="S110" s="10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>
        <f>IF(S110="","",HYPERLINK("https://wa.me/52"&amp;C110&amp;"?text="&amp;_xlfn.ENCODEURL(S110),"Enviar Seguimiento"))</f>
        <v/>
      </c>
      <c r="U110" s="10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>
        <f>IF(U110="","",HYPERLINK("https://wa.me/52"&amp;C110&amp;"?text="&amp;_xlfn.ENCODEURL(U110),"Enviar aviso de etapa"))</f>
        <v/>
      </c>
      <c r="W110" s="10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>
        <f>IF(W110="","",HYPERLINK("https://wa.me/52"&amp;C110&amp;"?text="&amp;_xlfn.ENCODEURL(W110),"Enviar felicitación"))</f>
        <v/>
      </c>
      <c r="Y110" s="10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>
        <f>IF(Y110="","",HYPERLINK("https://wa.me/52"&amp;C110&amp;"?text="&amp;_xlfn.ENCODEURL(Y110),"Enviar aniversario"))</f>
        <v/>
      </c>
      <c r="AA110" s="11" t="n"/>
      <c r="AB110" s="11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>
        <f>IFERROR(INDEX(Facturación!$Q:$Q,MATCH(B110,Facturación!$A:$A,0)),"")</f>
        <v/>
      </c>
    </row>
    <row r="111" ht="15" customHeight="1" s="1">
      <c r="A111" s="11">
        <f>IF(B111="","",ROW()-1)</f>
        <v/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0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>
        <f>IF(Q111="","",HYPERLINK("https://wa.me/52"&amp;C111&amp;"?text="&amp;_xlfn.ENCODEURL(Q111),"Enviar Bienvenida"))</f>
        <v/>
      </c>
      <c r="S111" s="10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>
        <f>IF(S111="","",HYPERLINK("https://wa.me/52"&amp;C111&amp;"?text="&amp;_xlfn.ENCODEURL(S111),"Enviar Seguimiento"))</f>
        <v/>
      </c>
      <c r="U111" s="10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>
        <f>IF(U111="","",HYPERLINK("https://wa.me/52"&amp;C111&amp;"?text="&amp;_xlfn.ENCODEURL(U111),"Enviar aviso de etapa"))</f>
        <v/>
      </c>
      <c r="W111" s="10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>
        <f>IF(W111="","",HYPERLINK("https://wa.me/52"&amp;C111&amp;"?text="&amp;_xlfn.ENCODEURL(W111),"Enviar felicitación"))</f>
        <v/>
      </c>
      <c r="Y111" s="10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>
        <f>IF(Y111="","",HYPERLINK("https://wa.me/52"&amp;C111&amp;"?text="&amp;_xlfn.ENCODEURL(Y111),"Enviar aniversario"))</f>
        <v/>
      </c>
      <c r="AA111" s="11" t="n"/>
      <c r="AB111" s="11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>
        <f>IFERROR(INDEX(Facturación!$Q:$Q,MATCH(B111,Facturación!$A:$A,0)),"")</f>
        <v/>
      </c>
    </row>
    <row r="112" ht="15" customHeight="1" s="1">
      <c r="A112" s="11">
        <f>IF(B112="","",ROW()-1)</f>
        <v/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0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>
        <f>IF(Q112="","",HYPERLINK("https://wa.me/52"&amp;C112&amp;"?text="&amp;_xlfn.ENCODEURL(Q112),"Enviar Bienvenida"))</f>
        <v/>
      </c>
      <c r="S112" s="10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>
        <f>IF(S112="","",HYPERLINK("https://wa.me/52"&amp;C112&amp;"?text="&amp;_xlfn.ENCODEURL(S112),"Enviar Seguimiento"))</f>
        <v/>
      </c>
      <c r="U112" s="10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>
        <f>IF(U112="","",HYPERLINK("https://wa.me/52"&amp;C112&amp;"?text="&amp;_xlfn.ENCODEURL(U112),"Enviar aviso de etapa"))</f>
        <v/>
      </c>
      <c r="W112" s="10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>
        <f>IF(W112="","",HYPERLINK("https://wa.me/52"&amp;C112&amp;"?text="&amp;_xlfn.ENCODEURL(W112),"Enviar felicitación"))</f>
        <v/>
      </c>
      <c r="Y112" s="10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>
        <f>IF(Y112="","",HYPERLINK("https://wa.me/52"&amp;C112&amp;"?text="&amp;_xlfn.ENCODEURL(Y112),"Enviar aniversario"))</f>
        <v/>
      </c>
      <c r="AA112" s="11" t="n"/>
      <c r="AB112" s="11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>
        <f>IFERROR(INDEX(Facturación!$Q:$Q,MATCH(B112,Facturación!$A:$A,0)),"")</f>
        <v/>
      </c>
    </row>
    <row r="113" ht="15" customHeight="1" s="1">
      <c r="A113" s="11">
        <f>IF(B113="","",ROW()-1)</f>
        <v/>
      </c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0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>
        <f>IF(Q113="","",HYPERLINK("https://wa.me/52"&amp;C113&amp;"?text="&amp;_xlfn.ENCODEURL(Q113),"Enviar Bienvenida"))</f>
        <v/>
      </c>
      <c r="S113" s="10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>
        <f>IF(S113="","",HYPERLINK("https://wa.me/52"&amp;C113&amp;"?text="&amp;_xlfn.ENCODEURL(S113),"Enviar Seguimiento"))</f>
        <v/>
      </c>
      <c r="U113" s="10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>
        <f>IF(U113="","",HYPERLINK("https://wa.me/52"&amp;C113&amp;"?text="&amp;_xlfn.ENCODEURL(U113),"Enviar aviso de etapa"))</f>
        <v/>
      </c>
      <c r="W113" s="10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>
        <f>IF(W113="","",HYPERLINK("https://wa.me/52"&amp;C113&amp;"?text="&amp;_xlfn.ENCODEURL(W113),"Enviar felicitación"))</f>
        <v/>
      </c>
      <c r="Y113" s="10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>
        <f>IF(Y113="","",HYPERLINK("https://wa.me/52"&amp;C113&amp;"?text="&amp;_xlfn.ENCODEURL(Y113),"Enviar aniversario"))</f>
        <v/>
      </c>
      <c r="AA113" s="11" t="n"/>
      <c r="AB113" s="11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>
        <f>IFERROR(INDEX(Facturación!$Q:$Q,MATCH(B113,Facturación!$A:$A,0)),"")</f>
        <v/>
      </c>
    </row>
    <row r="114" ht="15" customHeight="1" s="1">
      <c r="A114" s="11">
        <f>IF(B114="","",ROW()-1)</f>
        <v/>
      </c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0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>
        <f>IF(Q114="","",HYPERLINK("https://wa.me/52"&amp;C114&amp;"?text="&amp;_xlfn.ENCODEURL(Q114),"Enviar Bienvenida"))</f>
        <v/>
      </c>
      <c r="S114" s="10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>
        <f>IF(S114="","",HYPERLINK("https://wa.me/52"&amp;C114&amp;"?text="&amp;_xlfn.ENCODEURL(S114),"Enviar Seguimiento"))</f>
        <v/>
      </c>
      <c r="U114" s="10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>
        <f>IF(U114="","",HYPERLINK("https://wa.me/52"&amp;C114&amp;"?text="&amp;_xlfn.ENCODEURL(U114),"Enviar aviso de etapa"))</f>
        <v/>
      </c>
      <c r="W114" s="10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>
        <f>IF(W114="","",HYPERLINK("https://wa.me/52"&amp;C114&amp;"?text="&amp;_xlfn.ENCODEURL(W114),"Enviar felicitación"))</f>
        <v/>
      </c>
      <c r="Y114" s="10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>
        <f>IF(Y114="","",HYPERLINK("https://wa.me/52"&amp;C114&amp;"?text="&amp;_xlfn.ENCODEURL(Y114),"Enviar aniversario"))</f>
        <v/>
      </c>
      <c r="AA114" s="11" t="n"/>
      <c r="AB114" s="11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>
        <f>IFERROR(INDEX(Facturación!$Q:$Q,MATCH(B114,Facturación!$A:$A,0)),"")</f>
        <v/>
      </c>
    </row>
    <row r="115" ht="15" customHeight="1" s="1">
      <c r="A115" s="11">
        <f>IF(B115="","",ROW()-1)</f>
        <v/>
      </c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0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>
        <f>IF(Q115="","",HYPERLINK("https://wa.me/52"&amp;C115&amp;"?text="&amp;_xlfn.ENCODEURL(Q115),"Enviar Bienvenida"))</f>
        <v/>
      </c>
      <c r="S115" s="10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>
        <f>IF(S115="","",HYPERLINK("https://wa.me/52"&amp;C115&amp;"?text="&amp;_xlfn.ENCODEURL(S115),"Enviar Seguimiento"))</f>
        <v/>
      </c>
      <c r="U115" s="10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>
        <f>IF(U115="","",HYPERLINK("https://wa.me/52"&amp;C115&amp;"?text="&amp;_xlfn.ENCODEURL(U115),"Enviar aviso de etapa"))</f>
        <v/>
      </c>
      <c r="W115" s="10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>
        <f>IF(W115="","",HYPERLINK("https://wa.me/52"&amp;C115&amp;"?text="&amp;_xlfn.ENCODEURL(W115),"Enviar felicitación"))</f>
        <v/>
      </c>
      <c r="Y115" s="10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>
        <f>IF(Y115="","",HYPERLINK("https://wa.me/52"&amp;C115&amp;"?text="&amp;_xlfn.ENCODEURL(Y115),"Enviar aniversario"))</f>
        <v/>
      </c>
      <c r="AA115" s="11" t="n"/>
      <c r="AB115" s="11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>
        <f>IFERROR(INDEX(Facturación!$Q:$Q,MATCH(B115,Facturación!$A:$A,0)),"")</f>
        <v/>
      </c>
    </row>
    <row r="116" ht="15" customHeight="1" s="1">
      <c r="A116" s="11">
        <f>IF(B116="","",ROW()-1)</f>
        <v/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0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>
        <f>IF(Q116="","",HYPERLINK("https://wa.me/52"&amp;C116&amp;"?text="&amp;_xlfn.ENCODEURL(Q116),"Enviar Bienvenida"))</f>
        <v/>
      </c>
      <c r="S116" s="10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>
        <f>IF(S116="","",HYPERLINK("https://wa.me/52"&amp;C116&amp;"?text="&amp;_xlfn.ENCODEURL(S116),"Enviar Seguimiento"))</f>
        <v/>
      </c>
      <c r="U116" s="10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>
        <f>IF(U116="","",HYPERLINK("https://wa.me/52"&amp;C116&amp;"?text="&amp;_xlfn.ENCODEURL(U116),"Enviar aviso de etapa"))</f>
        <v/>
      </c>
      <c r="W116" s="10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>
        <f>IF(W116="","",HYPERLINK("https://wa.me/52"&amp;C116&amp;"?text="&amp;_xlfn.ENCODEURL(W116),"Enviar felicitación"))</f>
        <v/>
      </c>
      <c r="Y116" s="10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>
        <f>IF(Y116="","",HYPERLINK("https://wa.me/52"&amp;C116&amp;"?text="&amp;_xlfn.ENCODEURL(Y116),"Enviar aniversario"))</f>
        <v/>
      </c>
      <c r="AA116" s="11" t="n"/>
      <c r="AB116" s="11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>
        <f>IFERROR(INDEX(Facturación!$Q:$Q,MATCH(B116,Facturación!$A:$A,0)),"")</f>
        <v/>
      </c>
    </row>
    <row r="117" ht="15" customHeight="1" s="1">
      <c r="A117" s="11">
        <f>IF(B117="","",ROW()-1)</f>
        <v/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0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>
        <f>IF(Q117="","",HYPERLINK("https://wa.me/52"&amp;C117&amp;"?text="&amp;_xlfn.ENCODEURL(Q117),"Enviar Bienvenida"))</f>
        <v/>
      </c>
      <c r="S117" s="10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>
        <f>IF(S117="","",HYPERLINK("https://wa.me/52"&amp;C117&amp;"?text="&amp;_xlfn.ENCODEURL(S117),"Enviar Seguimiento"))</f>
        <v/>
      </c>
      <c r="U117" s="10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>
        <f>IF(U117="","",HYPERLINK("https://wa.me/52"&amp;C117&amp;"?text="&amp;_xlfn.ENCODEURL(U117),"Enviar aviso de etapa"))</f>
        <v/>
      </c>
      <c r="W117" s="10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>
        <f>IF(W117="","",HYPERLINK("https://wa.me/52"&amp;C117&amp;"?text="&amp;_xlfn.ENCODEURL(W117),"Enviar felicitación"))</f>
        <v/>
      </c>
      <c r="Y117" s="10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>
        <f>IF(Y117="","",HYPERLINK("https://wa.me/52"&amp;C117&amp;"?text="&amp;_xlfn.ENCODEURL(Y117),"Enviar aniversario"))</f>
        <v/>
      </c>
      <c r="AA117" s="11" t="n"/>
      <c r="AB117" s="11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>
        <f>IFERROR(INDEX(Facturación!$Q:$Q,MATCH(B117,Facturación!$A:$A,0)),"")</f>
        <v/>
      </c>
    </row>
    <row r="118" ht="15" customHeight="1" s="1">
      <c r="A118" s="11">
        <f>IF(B118="","",ROW()-1)</f>
        <v/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0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>
        <f>IF(Q118="","",HYPERLINK("https://wa.me/52"&amp;C118&amp;"?text="&amp;_xlfn.ENCODEURL(Q118),"Enviar Bienvenida"))</f>
        <v/>
      </c>
      <c r="S118" s="10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>
        <f>IF(S118="","",HYPERLINK("https://wa.me/52"&amp;C118&amp;"?text="&amp;_xlfn.ENCODEURL(S118),"Enviar Seguimiento"))</f>
        <v/>
      </c>
      <c r="U118" s="10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>
        <f>IF(U118="","",HYPERLINK("https://wa.me/52"&amp;C118&amp;"?text="&amp;_xlfn.ENCODEURL(U118),"Enviar aviso de etapa"))</f>
        <v/>
      </c>
      <c r="W118" s="10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>
        <f>IF(W118="","",HYPERLINK("https://wa.me/52"&amp;C118&amp;"?text="&amp;_xlfn.ENCODEURL(W118),"Enviar felicitación"))</f>
        <v/>
      </c>
      <c r="Y118" s="10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>
        <f>IF(Y118="","",HYPERLINK("https://wa.me/52"&amp;C118&amp;"?text="&amp;_xlfn.ENCODEURL(Y118),"Enviar aniversario"))</f>
        <v/>
      </c>
      <c r="AA118" s="11" t="n"/>
      <c r="AB118" s="11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>
        <f>IFERROR(INDEX(Facturación!$Q:$Q,MATCH(B118,Facturación!$A:$A,0)),"")</f>
        <v/>
      </c>
    </row>
    <row r="119" ht="15" customHeight="1" s="1">
      <c r="A119" s="11">
        <f>IF(B119="","",ROW()-1)</f>
        <v/>
      </c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0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>
        <f>IF(Q119="","",HYPERLINK("https://wa.me/52"&amp;C119&amp;"?text="&amp;_xlfn.ENCODEURL(Q119),"Enviar Bienvenida"))</f>
        <v/>
      </c>
      <c r="S119" s="10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>
        <f>IF(S119="","",HYPERLINK("https://wa.me/52"&amp;C119&amp;"?text="&amp;_xlfn.ENCODEURL(S119),"Enviar Seguimiento"))</f>
        <v/>
      </c>
      <c r="U119" s="10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>
        <f>IF(U119="","",HYPERLINK("https://wa.me/52"&amp;C119&amp;"?text="&amp;_xlfn.ENCODEURL(U119),"Enviar aviso de etapa"))</f>
        <v/>
      </c>
      <c r="W119" s="10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>
        <f>IF(W119="","",HYPERLINK("https://wa.me/52"&amp;C119&amp;"?text="&amp;_xlfn.ENCODEURL(W119),"Enviar felicitación"))</f>
        <v/>
      </c>
      <c r="Y119" s="10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>
        <f>IF(Y119="","",HYPERLINK("https://wa.me/52"&amp;C119&amp;"?text="&amp;_xlfn.ENCODEURL(Y119),"Enviar aniversario"))</f>
        <v/>
      </c>
      <c r="AA119" s="11" t="n"/>
      <c r="AB119" s="11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>
        <f>IFERROR(INDEX(Facturación!$Q:$Q,MATCH(B119,Facturación!$A:$A,0)),"")</f>
        <v/>
      </c>
    </row>
    <row r="120" ht="15" customHeight="1" s="1">
      <c r="A120" s="11">
        <f>IF(B120="","",ROW()-1)</f>
        <v/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0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>
        <f>IF(Q120="","",HYPERLINK("https://wa.me/52"&amp;C120&amp;"?text="&amp;_xlfn.ENCODEURL(Q120),"Enviar Bienvenida"))</f>
        <v/>
      </c>
      <c r="S120" s="10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>
        <f>IF(S120="","",HYPERLINK("https://wa.me/52"&amp;C120&amp;"?text="&amp;_xlfn.ENCODEURL(S120),"Enviar Seguimiento"))</f>
        <v/>
      </c>
      <c r="U120" s="10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>
        <f>IF(U120="","",HYPERLINK("https://wa.me/52"&amp;C120&amp;"?text="&amp;_xlfn.ENCODEURL(U120),"Enviar aviso de etapa"))</f>
        <v/>
      </c>
      <c r="W120" s="10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>
        <f>IF(W120="","",HYPERLINK("https://wa.me/52"&amp;C120&amp;"?text="&amp;_xlfn.ENCODEURL(W120),"Enviar felicitación"))</f>
        <v/>
      </c>
      <c r="Y120" s="10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>
        <f>IF(Y120="","",HYPERLINK("https://wa.me/52"&amp;C120&amp;"?text="&amp;_xlfn.ENCODEURL(Y120),"Enviar aniversario"))</f>
        <v/>
      </c>
      <c r="AA120" s="11" t="n"/>
      <c r="AB120" s="11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>
        <f>IFERROR(INDEX(Facturación!$Q:$Q,MATCH(B120,Facturación!$A:$A,0)),"")</f>
        <v/>
      </c>
    </row>
    <row r="121" ht="15" customHeight="1" s="1">
      <c r="A121" s="11">
        <f>IF(B121="","",ROW()-1)</f>
        <v/>
      </c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0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>
        <f>IF(Q121="","",HYPERLINK("https://wa.me/52"&amp;C121&amp;"?text="&amp;_xlfn.ENCODEURL(Q121),"Enviar Bienvenida"))</f>
        <v/>
      </c>
      <c r="S121" s="10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>
        <f>IF(S121="","",HYPERLINK("https://wa.me/52"&amp;C121&amp;"?text="&amp;_xlfn.ENCODEURL(S121),"Enviar Seguimiento"))</f>
        <v/>
      </c>
      <c r="U121" s="10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>
        <f>IF(U121="","",HYPERLINK("https://wa.me/52"&amp;C121&amp;"?text="&amp;_xlfn.ENCODEURL(U121),"Enviar aviso de etapa"))</f>
        <v/>
      </c>
      <c r="W121" s="10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>
        <f>IF(W121="","",HYPERLINK("https://wa.me/52"&amp;C121&amp;"?text="&amp;_xlfn.ENCODEURL(W121),"Enviar felicitación"))</f>
        <v/>
      </c>
      <c r="Y121" s="10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>
        <f>IF(Y121="","",HYPERLINK("https://wa.me/52"&amp;C121&amp;"?text="&amp;_xlfn.ENCODEURL(Y121),"Enviar aniversario"))</f>
        <v/>
      </c>
      <c r="AA121" s="11" t="n"/>
      <c r="AB121" s="11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>
        <f>IFERROR(INDEX(Facturación!$Q:$Q,MATCH(B121,Facturación!$A:$A,0)),"")</f>
        <v/>
      </c>
    </row>
    <row r="122" ht="15" customHeight="1" s="1">
      <c r="A122" s="11">
        <f>IF(B122="","",ROW()-1)</f>
        <v/>
      </c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0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>
        <f>IF(Q122="","",HYPERLINK("https://wa.me/52"&amp;C122&amp;"?text="&amp;_xlfn.ENCODEURL(Q122),"Enviar Bienvenida"))</f>
        <v/>
      </c>
      <c r="S122" s="10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>
        <f>IF(S122="","",HYPERLINK("https://wa.me/52"&amp;C122&amp;"?text="&amp;_xlfn.ENCODEURL(S122),"Enviar Seguimiento"))</f>
        <v/>
      </c>
      <c r="U122" s="10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>
        <f>IF(U122="","",HYPERLINK("https://wa.me/52"&amp;C122&amp;"?text="&amp;_xlfn.ENCODEURL(U122),"Enviar aviso de etapa"))</f>
        <v/>
      </c>
      <c r="W122" s="10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>
        <f>IF(W122="","",HYPERLINK("https://wa.me/52"&amp;C122&amp;"?text="&amp;_xlfn.ENCODEURL(W122),"Enviar felicitación"))</f>
        <v/>
      </c>
      <c r="Y122" s="10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>
        <f>IF(Y122="","",HYPERLINK("https://wa.me/52"&amp;C122&amp;"?text="&amp;_xlfn.ENCODEURL(Y122),"Enviar aniversario"))</f>
        <v/>
      </c>
      <c r="AA122" s="11" t="n"/>
      <c r="AB122" s="11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>
        <f>IFERROR(INDEX(Facturación!$Q:$Q,MATCH(B122,Facturación!$A:$A,0)),"")</f>
        <v/>
      </c>
    </row>
    <row r="123" ht="15" customHeight="1" s="1">
      <c r="A123" s="11">
        <f>IF(B123="","",ROW()-1)</f>
        <v/>
      </c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0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>
        <f>IF(Q123="","",HYPERLINK("https://wa.me/52"&amp;C123&amp;"?text="&amp;_xlfn.ENCODEURL(Q123),"Enviar Bienvenida"))</f>
        <v/>
      </c>
      <c r="S123" s="10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>
        <f>IF(S123="","",HYPERLINK("https://wa.me/52"&amp;C123&amp;"?text="&amp;_xlfn.ENCODEURL(S123),"Enviar Seguimiento"))</f>
        <v/>
      </c>
      <c r="U123" s="10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>
        <f>IF(U123="","",HYPERLINK("https://wa.me/52"&amp;C123&amp;"?text="&amp;_xlfn.ENCODEURL(U123),"Enviar aviso de etapa"))</f>
        <v/>
      </c>
      <c r="W123" s="10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>
        <f>IF(W123="","",HYPERLINK("https://wa.me/52"&amp;C123&amp;"?text="&amp;_xlfn.ENCODEURL(W123),"Enviar felicitación"))</f>
        <v/>
      </c>
      <c r="Y123" s="10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>
        <f>IF(Y123="","",HYPERLINK("https://wa.me/52"&amp;C123&amp;"?text="&amp;_xlfn.ENCODEURL(Y123),"Enviar aniversario"))</f>
        <v/>
      </c>
      <c r="AA123" s="11" t="n"/>
      <c r="AB123" s="11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>
        <f>IFERROR(INDEX(Facturación!$Q:$Q,MATCH(B123,Facturación!$A:$A,0)),"")</f>
        <v/>
      </c>
    </row>
    <row r="124" ht="15" customHeight="1" s="1">
      <c r="A124" s="11">
        <f>IF(B124="","",ROW()-1)</f>
        <v/>
      </c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0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>
        <f>IF(Q124="","",HYPERLINK("https://wa.me/52"&amp;C124&amp;"?text="&amp;_xlfn.ENCODEURL(Q124),"Enviar Bienvenida"))</f>
        <v/>
      </c>
      <c r="S124" s="10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>
        <f>IF(S124="","",HYPERLINK("https://wa.me/52"&amp;C124&amp;"?text="&amp;_xlfn.ENCODEURL(S124),"Enviar Seguimiento"))</f>
        <v/>
      </c>
      <c r="U124" s="10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>
        <f>IF(U124="","",HYPERLINK("https://wa.me/52"&amp;C124&amp;"?text="&amp;_xlfn.ENCODEURL(U124),"Enviar aviso de etapa"))</f>
        <v/>
      </c>
      <c r="W124" s="10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>
        <f>IF(W124="","",HYPERLINK("https://wa.me/52"&amp;C124&amp;"?text="&amp;_xlfn.ENCODEURL(W124),"Enviar felicitación"))</f>
        <v/>
      </c>
      <c r="Y124" s="10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>
        <f>IF(Y124="","",HYPERLINK("https://wa.me/52"&amp;C124&amp;"?text="&amp;_xlfn.ENCODEURL(Y124),"Enviar aniversario"))</f>
        <v/>
      </c>
      <c r="AA124" s="11" t="n"/>
      <c r="AB124" s="11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>
        <f>IFERROR(INDEX(Facturación!$Q:$Q,MATCH(B124,Facturación!$A:$A,0)),"")</f>
        <v/>
      </c>
    </row>
    <row r="125" ht="15" customHeight="1" s="1">
      <c r="A125" s="11">
        <f>IF(B125="","",ROW()-1)</f>
        <v/>
      </c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0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>
        <f>IF(Q125="","",HYPERLINK("https://wa.me/52"&amp;C125&amp;"?text="&amp;_xlfn.ENCODEURL(Q125),"Enviar Bienvenida"))</f>
        <v/>
      </c>
      <c r="S125" s="10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>
        <f>IF(S125="","",HYPERLINK("https://wa.me/52"&amp;C125&amp;"?text="&amp;_xlfn.ENCODEURL(S125),"Enviar Seguimiento"))</f>
        <v/>
      </c>
      <c r="U125" s="10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>
        <f>IF(U125="","",HYPERLINK("https://wa.me/52"&amp;C125&amp;"?text="&amp;_xlfn.ENCODEURL(U125),"Enviar aviso de etapa"))</f>
        <v/>
      </c>
      <c r="W125" s="10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>
        <f>IF(W125="","",HYPERLINK("https://wa.me/52"&amp;C125&amp;"?text="&amp;_xlfn.ENCODEURL(W125),"Enviar felicitación"))</f>
        <v/>
      </c>
      <c r="Y125" s="10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>
        <f>IF(Y125="","",HYPERLINK("https://wa.me/52"&amp;C125&amp;"?text="&amp;_xlfn.ENCODEURL(Y125),"Enviar aniversario"))</f>
        <v/>
      </c>
      <c r="AA125" s="11" t="n"/>
      <c r="AB125" s="11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>
        <f>IFERROR(INDEX(Facturación!$Q:$Q,MATCH(B125,Facturación!$A:$A,0)),"")</f>
        <v/>
      </c>
    </row>
    <row r="126" ht="15" customHeight="1" s="1">
      <c r="A126" s="11">
        <f>IF(B126="","",ROW()-1)</f>
        <v/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0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>
        <f>IF(Q126="","",HYPERLINK("https://wa.me/52"&amp;C126&amp;"?text="&amp;_xlfn.ENCODEURL(Q126),"Enviar Bienvenida"))</f>
        <v/>
      </c>
      <c r="S126" s="10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>
        <f>IF(S126="","",HYPERLINK("https://wa.me/52"&amp;C126&amp;"?text="&amp;_xlfn.ENCODEURL(S126),"Enviar Seguimiento"))</f>
        <v/>
      </c>
      <c r="U126" s="10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>
        <f>IF(U126="","",HYPERLINK("https://wa.me/52"&amp;C126&amp;"?text="&amp;_xlfn.ENCODEURL(U126),"Enviar aviso de etapa"))</f>
        <v/>
      </c>
      <c r="W126" s="10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>
        <f>IF(W126="","",HYPERLINK("https://wa.me/52"&amp;C126&amp;"?text="&amp;_xlfn.ENCODEURL(W126),"Enviar felicitación"))</f>
        <v/>
      </c>
      <c r="Y126" s="10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>
        <f>IF(Y126="","",HYPERLINK("https://wa.me/52"&amp;C126&amp;"?text="&amp;_xlfn.ENCODEURL(Y126),"Enviar aniversario"))</f>
        <v/>
      </c>
      <c r="AA126" s="11" t="n"/>
      <c r="AB126" s="11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>
        <f>IFERROR(INDEX(Facturación!$Q:$Q,MATCH(B126,Facturación!$A:$A,0)),"")</f>
        <v/>
      </c>
    </row>
    <row r="127" ht="15" customHeight="1" s="1">
      <c r="A127" s="11">
        <f>IF(B127="","",ROW()-1)</f>
        <v/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0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>
        <f>IF(Q127="","",HYPERLINK("https://wa.me/52"&amp;C127&amp;"?text="&amp;_xlfn.ENCODEURL(Q127),"Enviar Bienvenida"))</f>
        <v/>
      </c>
      <c r="S127" s="10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>
        <f>IF(S127="","",HYPERLINK("https://wa.me/52"&amp;C127&amp;"?text="&amp;_xlfn.ENCODEURL(S127),"Enviar Seguimiento"))</f>
        <v/>
      </c>
      <c r="U127" s="10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>
        <f>IF(U127="","",HYPERLINK("https://wa.me/52"&amp;C127&amp;"?text="&amp;_xlfn.ENCODEURL(U127),"Enviar aviso de etapa"))</f>
        <v/>
      </c>
      <c r="W127" s="10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>
        <f>IF(W127="","",HYPERLINK("https://wa.me/52"&amp;C127&amp;"?text="&amp;_xlfn.ENCODEURL(W127),"Enviar felicitación"))</f>
        <v/>
      </c>
      <c r="Y127" s="10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>
        <f>IF(Y127="","",HYPERLINK("https://wa.me/52"&amp;C127&amp;"?text="&amp;_xlfn.ENCODEURL(Y127),"Enviar aniversario"))</f>
        <v/>
      </c>
      <c r="AA127" s="11" t="n"/>
      <c r="AB127" s="11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>
        <f>IFERROR(INDEX(Facturación!$Q:$Q,MATCH(B127,Facturación!$A:$A,0)),"")</f>
        <v/>
      </c>
    </row>
    <row r="128" ht="15" customHeight="1" s="1">
      <c r="A128" s="11">
        <f>IF(B128="","",ROW()-1)</f>
        <v/>
      </c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0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>
        <f>IF(Q128="","",HYPERLINK("https://wa.me/52"&amp;C128&amp;"?text="&amp;_xlfn.ENCODEURL(Q128),"Enviar Bienvenida"))</f>
        <v/>
      </c>
      <c r="S128" s="10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>
        <f>IF(S128="","",HYPERLINK("https://wa.me/52"&amp;C128&amp;"?text="&amp;_xlfn.ENCODEURL(S128),"Enviar Seguimiento"))</f>
        <v/>
      </c>
      <c r="U128" s="10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>
        <f>IF(U128="","",HYPERLINK("https://wa.me/52"&amp;C128&amp;"?text="&amp;_xlfn.ENCODEURL(U128),"Enviar aviso de etapa"))</f>
        <v/>
      </c>
      <c r="W128" s="10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>
        <f>IF(W128="","",HYPERLINK("https://wa.me/52"&amp;C128&amp;"?text="&amp;_xlfn.ENCODEURL(W128),"Enviar felicitación"))</f>
        <v/>
      </c>
      <c r="Y128" s="10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>
        <f>IF(Y128="","",HYPERLINK("https://wa.me/52"&amp;C128&amp;"?text="&amp;_xlfn.ENCODEURL(Y128),"Enviar aniversario"))</f>
        <v/>
      </c>
      <c r="AA128" s="11" t="n"/>
      <c r="AB128" s="11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>
        <f>IFERROR(INDEX(Facturación!$Q:$Q,MATCH(B128,Facturación!$A:$A,0)),"")</f>
        <v/>
      </c>
    </row>
    <row r="129" ht="15" customHeight="1" s="1">
      <c r="A129" s="11">
        <f>IF(B129="","",ROW()-1)</f>
        <v/>
      </c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0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>
        <f>IF(Q129="","",HYPERLINK("https://wa.me/52"&amp;C129&amp;"?text="&amp;_xlfn.ENCODEURL(Q129),"Enviar Bienvenida"))</f>
        <v/>
      </c>
      <c r="S129" s="10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>
        <f>IF(S129="","",HYPERLINK("https://wa.me/52"&amp;C129&amp;"?text="&amp;_xlfn.ENCODEURL(S129),"Enviar Seguimiento"))</f>
        <v/>
      </c>
      <c r="U129" s="10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>
        <f>IF(U129="","",HYPERLINK("https://wa.me/52"&amp;C129&amp;"?text="&amp;_xlfn.ENCODEURL(U129),"Enviar aviso de etapa"))</f>
        <v/>
      </c>
      <c r="W129" s="10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>
        <f>IF(W129="","",HYPERLINK("https://wa.me/52"&amp;C129&amp;"?text="&amp;_xlfn.ENCODEURL(W129),"Enviar felicitación"))</f>
        <v/>
      </c>
      <c r="Y129" s="10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>
        <f>IF(Y129="","",HYPERLINK("https://wa.me/52"&amp;C129&amp;"?text="&amp;_xlfn.ENCODEURL(Y129),"Enviar aniversario"))</f>
        <v/>
      </c>
      <c r="AA129" s="11" t="n"/>
      <c r="AB129" s="11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>
        <f>IFERROR(INDEX(Facturación!$Q:$Q,MATCH(B129,Facturación!$A:$A,0)),"")</f>
        <v/>
      </c>
    </row>
    <row r="130" ht="15" customHeight="1" s="1">
      <c r="A130" s="11">
        <f>IF(B130="","",ROW()-1)</f>
        <v/>
      </c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0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>
        <f>IF(Q130="","",HYPERLINK("https://wa.me/52"&amp;C130&amp;"?text="&amp;_xlfn.ENCODEURL(Q130),"Enviar Bienvenida"))</f>
        <v/>
      </c>
      <c r="S130" s="10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>
        <f>IF(S130="","",HYPERLINK("https://wa.me/52"&amp;C130&amp;"?text="&amp;_xlfn.ENCODEURL(S130),"Enviar Seguimiento"))</f>
        <v/>
      </c>
      <c r="U130" s="10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>
        <f>IF(U130="","",HYPERLINK("https://wa.me/52"&amp;C130&amp;"?text="&amp;_xlfn.ENCODEURL(U130),"Enviar aviso de etapa"))</f>
        <v/>
      </c>
      <c r="W130" s="10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>
        <f>IF(W130="","",HYPERLINK("https://wa.me/52"&amp;C130&amp;"?text="&amp;_xlfn.ENCODEURL(W130),"Enviar felicitación"))</f>
        <v/>
      </c>
      <c r="Y130" s="10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>
        <f>IF(Y130="","",HYPERLINK("https://wa.me/52"&amp;C130&amp;"?text="&amp;_xlfn.ENCODEURL(Y130),"Enviar aniversario"))</f>
        <v/>
      </c>
      <c r="AA130" s="11" t="n"/>
      <c r="AB130" s="11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>
        <f>IFERROR(INDEX(Facturación!$Q:$Q,MATCH(B130,Facturación!$A:$A,0)),"")</f>
        <v/>
      </c>
    </row>
    <row r="131" ht="15" customHeight="1" s="1">
      <c r="A131" s="11">
        <f>IF(B131="","",ROW()-1)</f>
        <v/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0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>
        <f>IF(Q131="","",HYPERLINK("https://wa.me/52"&amp;C131&amp;"?text="&amp;_xlfn.ENCODEURL(Q131),"Enviar Bienvenida"))</f>
        <v/>
      </c>
      <c r="S131" s="10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>
        <f>IF(S131="","",HYPERLINK("https://wa.me/52"&amp;C131&amp;"?text="&amp;_xlfn.ENCODEURL(S131),"Enviar Seguimiento"))</f>
        <v/>
      </c>
      <c r="U131" s="10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>
        <f>IF(U131="","",HYPERLINK("https://wa.me/52"&amp;C131&amp;"?text="&amp;_xlfn.ENCODEURL(U131),"Enviar aviso de etapa"))</f>
        <v/>
      </c>
      <c r="W131" s="10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>
        <f>IF(W131="","",HYPERLINK("https://wa.me/52"&amp;C131&amp;"?text="&amp;_xlfn.ENCODEURL(W131),"Enviar felicitación"))</f>
        <v/>
      </c>
      <c r="Y131" s="10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>
        <f>IF(Y131="","",HYPERLINK("https://wa.me/52"&amp;C131&amp;"?text="&amp;_xlfn.ENCODEURL(Y131),"Enviar aniversario"))</f>
        <v/>
      </c>
      <c r="AA131" s="11" t="n"/>
      <c r="AB131" s="11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>
        <f>IFERROR(INDEX(Facturación!$Q:$Q,MATCH(B131,Facturación!$A:$A,0)),"")</f>
        <v/>
      </c>
    </row>
    <row r="132" ht="15" customHeight="1" s="1">
      <c r="A132" s="11">
        <f>IF(B132="","",ROW()-1)</f>
        <v/>
      </c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0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>
        <f>IF(Q132="","",HYPERLINK("https://wa.me/52"&amp;C132&amp;"?text="&amp;_xlfn.ENCODEURL(Q132),"Enviar Bienvenida"))</f>
        <v/>
      </c>
      <c r="S132" s="10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>
        <f>IF(S132="","",HYPERLINK("https://wa.me/52"&amp;C132&amp;"?text="&amp;_xlfn.ENCODEURL(S132),"Enviar Seguimiento"))</f>
        <v/>
      </c>
      <c r="U132" s="10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>
        <f>IF(U132="","",HYPERLINK("https://wa.me/52"&amp;C132&amp;"?text="&amp;_xlfn.ENCODEURL(U132),"Enviar aviso de etapa"))</f>
        <v/>
      </c>
      <c r="W132" s="10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>
        <f>IF(W132="","",HYPERLINK("https://wa.me/52"&amp;C132&amp;"?text="&amp;_xlfn.ENCODEURL(W132),"Enviar felicitación"))</f>
        <v/>
      </c>
      <c r="Y132" s="10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>
        <f>IF(Y132="","",HYPERLINK("https://wa.me/52"&amp;C132&amp;"?text="&amp;_xlfn.ENCODEURL(Y132),"Enviar aniversario"))</f>
        <v/>
      </c>
      <c r="AA132" s="11" t="n"/>
      <c r="AB132" s="11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>
        <f>IFERROR(INDEX(Facturación!$Q:$Q,MATCH(B132,Facturación!$A:$A,0)),"")</f>
        <v/>
      </c>
    </row>
    <row r="133" ht="15" customHeight="1" s="1">
      <c r="A133" s="11">
        <f>IF(B133="","",ROW()-1)</f>
        <v/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0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>
        <f>IF(Q133="","",HYPERLINK("https://wa.me/52"&amp;C133&amp;"?text="&amp;_xlfn.ENCODEURL(Q133),"Enviar Bienvenida"))</f>
        <v/>
      </c>
      <c r="S133" s="10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>
        <f>IF(S133="","",HYPERLINK("https://wa.me/52"&amp;C133&amp;"?text="&amp;_xlfn.ENCODEURL(S133),"Enviar Seguimiento"))</f>
        <v/>
      </c>
      <c r="U133" s="10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>
        <f>IF(U133="","",HYPERLINK("https://wa.me/52"&amp;C133&amp;"?text="&amp;_xlfn.ENCODEURL(U133),"Enviar aviso de etapa"))</f>
        <v/>
      </c>
      <c r="W133" s="10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>
        <f>IF(W133="","",HYPERLINK("https://wa.me/52"&amp;C133&amp;"?text="&amp;_xlfn.ENCODEURL(W133),"Enviar felicitación"))</f>
        <v/>
      </c>
      <c r="Y133" s="10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>
        <f>IF(Y133="","",HYPERLINK("https://wa.me/52"&amp;C133&amp;"?text="&amp;_xlfn.ENCODEURL(Y133),"Enviar aniversario"))</f>
        <v/>
      </c>
      <c r="AA133" s="11" t="n"/>
      <c r="AB133" s="11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>
        <f>IFERROR(INDEX(Facturación!$Q:$Q,MATCH(B133,Facturación!$A:$A,0)),"")</f>
        <v/>
      </c>
    </row>
    <row r="134" ht="15" customHeight="1" s="1">
      <c r="A134" s="11">
        <f>IF(B134="","",ROW()-1)</f>
        <v/>
      </c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0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>
        <f>IF(Q134="","",HYPERLINK("https://wa.me/52"&amp;C134&amp;"?text="&amp;_xlfn.ENCODEURL(Q134),"Enviar Bienvenida"))</f>
        <v/>
      </c>
      <c r="S134" s="10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>
        <f>IF(S134="","",HYPERLINK("https://wa.me/52"&amp;C134&amp;"?text="&amp;_xlfn.ENCODEURL(S134),"Enviar Seguimiento"))</f>
        <v/>
      </c>
      <c r="U134" s="10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>
        <f>IF(U134="","",HYPERLINK("https://wa.me/52"&amp;C134&amp;"?text="&amp;_xlfn.ENCODEURL(U134),"Enviar aviso de etapa"))</f>
        <v/>
      </c>
      <c r="W134" s="10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>
        <f>IF(W134="","",HYPERLINK("https://wa.me/52"&amp;C134&amp;"?text="&amp;_xlfn.ENCODEURL(W134),"Enviar felicitación"))</f>
        <v/>
      </c>
      <c r="Y134" s="10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>
        <f>IF(Y134="","",HYPERLINK("https://wa.me/52"&amp;C134&amp;"?text="&amp;_xlfn.ENCODEURL(Y134),"Enviar aniversario"))</f>
        <v/>
      </c>
      <c r="AA134" s="11" t="n"/>
      <c r="AB134" s="11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>
        <f>IFERROR(INDEX(Facturación!$Q:$Q,MATCH(B134,Facturación!$A:$A,0)),"")</f>
        <v/>
      </c>
    </row>
    <row r="135" ht="15" customHeight="1" s="1">
      <c r="A135" s="11">
        <f>IF(B135="","",ROW()-1)</f>
        <v/>
      </c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0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>
        <f>IF(Q135="","",HYPERLINK("https://wa.me/52"&amp;C135&amp;"?text="&amp;_xlfn.ENCODEURL(Q135),"Enviar Bienvenida"))</f>
        <v/>
      </c>
      <c r="S135" s="10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>
        <f>IF(S135="","",HYPERLINK("https://wa.me/52"&amp;C135&amp;"?text="&amp;_xlfn.ENCODEURL(S135),"Enviar Seguimiento"))</f>
        <v/>
      </c>
      <c r="U135" s="10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>
        <f>IF(U135="","",HYPERLINK("https://wa.me/52"&amp;C135&amp;"?text="&amp;_xlfn.ENCODEURL(U135),"Enviar aviso de etapa"))</f>
        <v/>
      </c>
      <c r="W135" s="10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>
        <f>IF(W135="","",HYPERLINK("https://wa.me/52"&amp;C135&amp;"?text="&amp;_xlfn.ENCODEURL(W135),"Enviar felicitación"))</f>
        <v/>
      </c>
      <c r="Y135" s="10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>
        <f>IF(Y135="","",HYPERLINK("https://wa.me/52"&amp;C135&amp;"?text="&amp;_xlfn.ENCODEURL(Y135),"Enviar aniversario"))</f>
        <v/>
      </c>
      <c r="AA135" s="11" t="n"/>
      <c r="AB135" s="11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>
        <f>IFERROR(INDEX(Facturación!$Q:$Q,MATCH(B135,Facturación!$A:$A,0)),"")</f>
        <v/>
      </c>
    </row>
    <row r="136" ht="15" customHeight="1" s="1">
      <c r="A136" s="11">
        <f>IF(B136="","",ROW()-1)</f>
        <v/>
      </c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0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>
        <f>IF(Q136="","",HYPERLINK("https://wa.me/52"&amp;C136&amp;"?text="&amp;_xlfn.ENCODEURL(Q136),"Enviar Bienvenida"))</f>
        <v/>
      </c>
      <c r="S136" s="10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>
        <f>IF(S136="","",HYPERLINK("https://wa.me/52"&amp;C136&amp;"?text="&amp;_xlfn.ENCODEURL(S136),"Enviar Seguimiento"))</f>
        <v/>
      </c>
      <c r="U136" s="10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>
        <f>IF(U136="","",HYPERLINK("https://wa.me/52"&amp;C136&amp;"?text="&amp;_xlfn.ENCODEURL(U136),"Enviar aviso de etapa"))</f>
        <v/>
      </c>
      <c r="W136" s="10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>
        <f>IF(W136="","",HYPERLINK("https://wa.me/52"&amp;C136&amp;"?text="&amp;_xlfn.ENCODEURL(W136),"Enviar felicitación"))</f>
        <v/>
      </c>
      <c r="Y136" s="10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>
        <f>IF(Y136="","",HYPERLINK("https://wa.me/52"&amp;C136&amp;"?text="&amp;_xlfn.ENCODEURL(Y136),"Enviar aniversario"))</f>
        <v/>
      </c>
      <c r="AA136" s="11" t="n"/>
      <c r="AB136" s="11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>
        <f>IFERROR(INDEX(Facturación!$Q:$Q,MATCH(B136,Facturación!$A:$A,0)),"")</f>
        <v/>
      </c>
    </row>
    <row r="137" ht="15" customHeight="1" s="1">
      <c r="A137" s="11">
        <f>IF(B137="","",ROW()-1)</f>
        <v/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0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>
        <f>IF(Q137="","",HYPERLINK("https://wa.me/52"&amp;C137&amp;"?text="&amp;_xlfn.ENCODEURL(Q137),"Enviar Bienvenida"))</f>
        <v/>
      </c>
      <c r="S137" s="10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>
        <f>IF(S137="","",HYPERLINK("https://wa.me/52"&amp;C137&amp;"?text="&amp;_xlfn.ENCODEURL(S137),"Enviar Seguimiento"))</f>
        <v/>
      </c>
      <c r="U137" s="10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>
        <f>IF(U137="","",HYPERLINK("https://wa.me/52"&amp;C137&amp;"?text="&amp;_xlfn.ENCODEURL(U137),"Enviar aviso de etapa"))</f>
        <v/>
      </c>
      <c r="W137" s="10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>
        <f>IF(W137="","",HYPERLINK("https://wa.me/52"&amp;C137&amp;"?text="&amp;_xlfn.ENCODEURL(W137),"Enviar felicitación"))</f>
        <v/>
      </c>
      <c r="Y137" s="10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>
        <f>IF(Y137="","",HYPERLINK("https://wa.me/52"&amp;C137&amp;"?text="&amp;_xlfn.ENCODEURL(Y137),"Enviar aniversario"))</f>
        <v/>
      </c>
      <c r="AA137" s="11" t="n"/>
      <c r="AB137" s="11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>
        <f>IFERROR(INDEX(Facturación!$Q:$Q,MATCH(B137,Facturación!$A:$A,0)),"")</f>
        <v/>
      </c>
    </row>
    <row r="138" ht="15" customHeight="1" s="1">
      <c r="A138" s="11">
        <f>IF(B138="","",ROW()-1)</f>
        <v/>
      </c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0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>
        <f>IF(Q138="","",HYPERLINK("https://wa.me/52"&amp;C138&amp;"?text="&amp;_xlfn.ENCODEURL(Q138),"Enviar Bienvenida"))</f>
        <v/>
      </c>
      <c r="S138" s="10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>
        <f>IF(S138="","",HYPERLINK("https://wa.me/52"&amp;C138&amp;"?text="&amp;_xlfn.ENCODEURL(S138),"Enviar Seguimiento"))</f>
        <v/>
      </c>
      <c r="U138" s="10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>
        <f>IF(U138="","",HYPERLINK("https://wa.me/52"&amp;C138&amp;"?text="&amp;_xlfn.ENCODEURL(U138),"Enviar aviso de etapa"))</f>
        <v/>
      </c>
      <c r="W138" s="10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>
        <f>IF(W138="","",HYPERLINK("https://wa.me/52"&amp;C138&amp;"?text="&amp;_xlfn.ENCODEURL(W138),"Enviar felicitación"))</f>
        <v/>
      </c>
      <c r="Y138" s="10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>
        <f>IF(Y138="","",HYPERLINK("https://wa.me/52"&amp;C138&amp;"?text="&amp;_xlfn.ENCODEURL(Y138),"Enviar aniversario"))</f>
        <v/>
      </c>
      <c r="AA138" s="11" t="n"/>
      <c r="AB138" s="11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>
        <f>IFERROR(INDEX(Facturación!$Q:$Q,MATCH(B138,Facturación!$A:$A,0)),"")</f>
        <v/>
      </c>
    </row>
    <row r="139" ht="15" customHeight="1" s="1">
      <c r="A139" s="11">
        <f>IF(B139="","",ROW()-1)</f>
        <v/>
      </c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0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>
        <f>IF(Q139="","",HYPERLINK("https://wa.me/52"&amp;C139&amp;"?text="&amp;_xlfn.ENCODEURL(Q139),"Enviar Bienvenida"))</f>
        <v/>
      </c>
      <c r="S139" s="10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>
        <f>IF(S139="","",HYPERLINK("https://wa.me/52"&amp;C139&amp;"?text="&amp;_xlfn.ENCODEURL(S139),"Enviar Seguimiento"))</f>
        <v/>
      </c>
      <c r="U139" s="10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>
        <f>IF(U139="","",HYPERLINK("https://wa.me/52"&amp;C139&amp;"?text="&amp;_xlfn.ENCODEURL(U139),"Enviar aviso de etapa"))</f>
        <v/>
      </c>
      <c r="W139" s="10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>
        <f>IF(W139="","",HYPERLINK("https://wa.me/52"&amp;C139&amp;"?text="&amp;_xlfn.ENCODEURL(W139),"Enviar felicitación"))</f>
        <v/>
      </c>
      <c r="Y139" s="10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>
        <f>IF(Y139="","",HYPERLINK("https://wa.me/52"&amp;C139&amp;"?text="&amp;_xlfn.ENCODEURL(Y139),"Enviar aniversario"))</f>
        <v/>
      </c>
      <c r="AA139" s="11" t="n"/>
      <c r="AB139" s="11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>
        <f>IFERROR(INDEX(Facturación!$Q:$Q,MATCH(B139,Facturación!$A:$A,0)),"")</f>
        <v/>
      </c>
    </row>
    <row r="140" ht="15" customHeight="1" s="1">
      <c r="A140" s="11">
        <f>IF(B140="","",ROW()-1)</f>
        <v/>
      </c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0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>
        <f>IF(Q140="","",HYPERLINK("https://wa.me/52"&amp;C140&amp;"?text="&amp;_xlfn.ENCODEURL(Q140),"Enviar Bienvenida"))</f>
        <v/>
      </c>
      <c r="S140" s="10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>
        <f>IF(S140="","",HYPERLINK("https://wa.me/52"&amp;C140&amp;"?text="&amp;_xlfn.ENCODEURL(S140),"Enviar Seguimiento"))</f>
        <v/>
      </c>
      <c r="U140" s="10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>
        <f>IF(U140="","",HYPERLINK("https://wa.me/52"&amp;C140&amp;"?text="&amp;_xlfn.ENCODEURL(U140),"Enviar aviso de etapa"))</f>
        <v/>
      </c>
      <c r="W140" s="10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>
        <f>IF(W140="","",HYPERLINK("https://wa.me/52"&amp;C140&amp;"?text="&amp;_xlfn.ENCODEURL(W140),"Enviar felicitación"))</f>
        <v/>
      </c>
      <c r="Y140" s="10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>
        <f>IF(Y140="","",HYPERLINK("https://wa.me/52"&amp;C140&amp;"?text="&amp;_xlfn.ENCODEURL(Y140),"Enviar aniversario"))</f>
        <v/>
      </c>
      <c r="AA140" s="11" t="n"/>
      <c r="AB140" s="11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>
        <f>IFERROR(INDEX(Facturación!$Q:$Q,MATCH(B140,Facturación!$A:$A,0)),"")</f>
        <v/>
      </c>
    </row>
    <row r="141" ht="15" customHeight="1" s="1">
      <c r="A141" s="11">
        <f>IF(B141="","",ROW()-1)</f>
        <v/>
      </c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0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>
        <f>IF(Q141="","",HYPERLINK("https://wa.me/52"&amp;C141&amp;"?text="&amp;_xlfn.ENCODEURL(Q141),"Enviar Bienvenida"))</f>
        <v/>
      </c>
      <c r="S141" s="10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>
        <f>IF(S141="","",HYPERLINK("https://wa.me/52"&amp;C141&amp;"?text="&amp;_xlfn.ENCODEURL(S141),"Enviar Seguimiento"))</f>
        <v/>
      </c>
      <c r="U141" s="10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>
        <f>IF(U141="","",HYPERLINK("https://wa.me/52"&amp;C141&amp;"?text="&amp;_xlfn.ENCODEURL(U141),"Enviar aviso de etapa"))</f>
        <v/>
      </c>
      <c r="W141" s="10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>
        <f>IF(W141="","",HYPERLINK("https://wa.me/52"&amp;C141&amp;"?text="&amp;_xlfn.ENCODEURL(W141),"Enviar felicitación"))</f>
        <v/>
      </c>
      <c r="Y141" s="10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>
        <f>IF(Y141="","",HYPERLINK("https://wa.me/52"&amp;C141&amp;"?text="&amp;_xlfn.ENCODEURL(Y141),"Enviar aniversario"))</f>
        <v/>
      </c>
      <c r="AA141" s="11" t="n"/>
      <c r="AB141" s="11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>
        <f>IFERROR(INDEX(Facturación!$Q:$Q,MATCH(B141,Facturación!$A:$A,0)),"")</f>
        <v/>
      </c>
    </row>
    <row r="142" ht="15" customHeight="1" s="1">
      <c r="A142" s="11">
        <f>IF(B142="","",ROW()-1)</f>
        <v/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0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>
        <f>IF(Q142="","",HYPERLINK("https://wa.me/52"&amp;C142&amp;"?text="&amp;_xlfn.ENCODEURL(Q142),"Enviar Bienvenida"))</f>
        <v/>
      </c>
      <c r="S142" s="10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>
        <f>IF(S142="","",HYPERLINK("https://wa.me/52"&amp;C142&amp;"?text="&amp;_xlfn.ENCODEURL(S142),"Enviar Seguimiento"))</f>
        <v/>
      </c>
      <c r="U142" s="10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>
        <f>IF(U142="","",HYPERLINK("https://wa.me/52"&amp;C142&amp;"?text="&amp;_xlfn.ENCODEURL(U142),"Enviar aviso de etapa"))</f>
        <v/>
      </c>
      <c r="W142" s="10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>
        <f>IF(W142="","",HYPERLINK("https://wa.me/52"&amp;C142&amp;"?text="&amp;_xlfn.ENCODEURL(W142),"Enviar felicitación"))</f>
        <v/>
      </c>
      <c r="Y142" s="10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>
        <f>IF(Y142="","",HYPERLINK("https://wa.me/52"&amp;C142&amp;"?text="&amp;_xlfn.ENCODEURL(Y142),"Enviar aniversario"))</f>
        <v/>
      </c>
      <c r="AA142" s="11" t="n"/>
      <c r="AB142" s="11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>
        <f>IFERROR(INDEX(Facturación!$Q:$Q,MATCH(B142,Facturación!$A:$A,0)),"")</f>
        <v/>
      </c>
    </row>
    <row r="143" ht="15" customHeight="1" s="1">
      <c r="A143" s="11">
        <f>IF(B143="","",ROW()-1)</f>
        <v/>
      </c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0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>
        <f>IF(Q143="","",HYPERLINK("https://wa.me/52"&amp;C143&amp;"?text="&amp;_xlfn.ENCODEURL(Q143),"Enviar Bienvenida"))</f>
        <v/>
      </c>
      <c r="S143" s="10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>
        <f>IF(S143="","",HYPERLINK("https://wa.me/52"&amp;C143&amp;"?text="&amp;_xlfn.ENCODEURL(S143),"Enviar Seguimiento"))</f>
        <v/>
      </c>
      <c r="U143" s="10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>
        <f>IF(U143="","",HYPERLINK("https://wa.me/52"&amp;C143&amp;"?text="&amp;_xlfn.ENCODEURL(U143),"Enviar aviso de etapa"))</f>
        <v/>
      </c>
      <c r="W143" s="10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>
        <f>IF(W143="","",HYPERLINK("https://wa.me/52"&amp;C143&amp;"?text="&amp;_xlfn.ENCODEURL(W143),"Enviar felicitación"))</f>
        <v/>
      </c>
      <c r="Y143" s="10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>
        <f>IF(Y143="","",HYPERLINK("https://wa.me/52"&amp;C143&amp;"?text="&amp;_xlfn.ENCODEURL(Y143),"Enviar aniversario"))</f>
        <v/>
      </c>
      <c r="AA143" s="11" t="n"/>
      <c r="AB143" s="11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>
        <f>IFERROR(INDEX(Facturación!$Q:$Q,MATCH(B143,Facturación!$A:$A,0)),"")</f>
        <v/>
      </c>
    </row>
    <row r="144" ht="15" customHeight="1" s="1">
      <c r="A144" s="11">
        <f>IF(B144="","",ROW()-1)</f>
        <v/>
      </c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0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>
        <f>IF(Q144="","",HYPERLINK("https://wa.me/52"&amp;C144&amp;"?text="&amp;_xlfn.ENCODEURL(Q144),"Enviar Bienvenida"))</f>
        <v/>
      </c>
      <c r="S144" s="10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>
        <f>IF(S144="","",HYPERLINK("https://wa.me/52"&amp;C144&amp;"?text="&amp;_xlfn.ENCODEURL(S144),"Enviar Seguimiento"))</f>
        <v/>
      </c>
      <c r="U144" s="10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>
        <f>IF(U144="","",HYPERLINK("https://wa.me/52"&amp;C144&amp;"?text="&amp;_xlfn.ENCODEURL(U144),"Enviar aviso de etapa"))</f>
        <v/>
      </c>
      <c r="W144" s="10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>
        <f>IF(W144="","",HYPERLINK("https://wa.me/52"&amp;C144&amp;"?text="&amp;_xlfn.ENCODEURL(W144),"Enviar felicitación"))</f>
        <v/>
      </c>
      <c r="Y144" s="10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>
        <f>IF(Y144="","",HYPERLINK("https://wa.me/52"&amp;C144&amp;"?text="&amp;_xlfn.ENCODEURL(Y144),"Enviar aniversario"))</f>
        <v/>
      </c>
      <c r="AA144" s="11" t="n"/>
      <c r="AB144" s="11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>
        <f>IFERROR(INDEX(Facturación!$Q:$Q,MATCH(B144,Facturación!$A:$A,0)),"")</f>
        <v/>
      </c>
    </row>
    <row r="145" ht="15" customHeight="1" s="1">
      <c r="A145" s="11">
        <f>IF(B145="","",ROW()-1)</f>
        <v/>
      </c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0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>
        <f>IF(Q145="","",HYPERLINK("https://wa.me/52"&amp;C145&amp;"?text="&amp;_xlfn.ENCODEURL(Q145),"Enviar Bienvenida"))</f>
        <v/>
      </c>
      <c r="S145" s="10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>
        <f>IF(S145="","",HYPERLINK("https://wa.me/52"&amp;C145&amp;"?text="&amp;_xlfn.ENCODEURL(S145),"Enviar Seguimiento"))</f>
        <v/>
      </c>
      <c r="U145" s="10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>
        <f>IF(U145="","",HYPERLINK("https://wa.me/52"&amp;C145&amp;"?text="&amp;_xlfn.ENCODEURL(U145),"Enviar aviso de etapa"))</f>
        <v/>
      </c>
      <c r="W145" s="10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>
        <f>IF(W145="","",HYPERLINK("https://wa.me/52"&amp;C145&amp;"?text="&amp;_xlfn.ENCODEURL(W145),"Enviar felicitación"))</f>
        <v/>
      </c>
      <c r="Y145" s="10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>
        <f>IF(Y145="","",HYPERLINK("https://wa.me/52"&amp;C145&amp;"?text="&amp;_xlfn.ENCODEURL(Y145),"Enviar aniversario"))</f>
        <v/>
      </c>
      <c r="AA145" s="11" t="n"/>
      <c r="AB145" s="11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>
        <f>IFERROR(INDEX(Facturación!$Q:$Q,MATCH(B145,Facturación!$A:$A,0)),"")</f>
        <v/>
      </c>
    </row>
    <row r="146" ht="15" customHeight="1" s="1">
      <c r="A146" s="11">
        <f>IF(B146="","",ROW()-1)</f>
        <v/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0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>
        <f>IF(Q146="","",HYPERLINK("https://wa.me/52"&amp;C146&amp;"?text="&amp;_xlfn.ENCODEURL(Q146),"Enviar Bienvenida"))</f>
        <v/>
      </c>
      <c r="S146" s="10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>
        <f>IF(S146="","",HYPERLINK("https://wa.me/52"&amp;C146&amp;"?text="&amp;_xlfn.ENCODEURL(S146),"Enviar Seguimiento"))</f>
        <v/>
      </c>
      <c r="U146" s="10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>
        <f>IF(U146="","",HYPERLINK("https://wa.me/52"&amp;C146&amp;"?text="&amp;_xlfn.ENCODEURL(U146),"Enviar aviso de etapa"))</f>
        <v/>
      </c>
      <c r="W146" s="10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>
        <f>IF(W146="","",HYPERLINK("https://wa.me/52"&amp;C146&amp;"?text="&amp;_xlfn.ENCODEURL(W146),"Enviar felicitación"))</f>
        <v/>
      </c>
      <c r="Y146" s="10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>
        <f>IF(Y146="","",HYPERLINK("https://wa.me/52"&amp;C146&amp;"?text="&amp;_xlfn.ENCODEURL(Y146),"Enviar aniversario"))</f>
        <v/>
      </c>
      <c r="AA146" s="11" t="n"/>
      <c r="AB146" s="11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>
        <f>IFERROR(INDEX(Facturación!$Q:$Q,MATCH(B146,Facturación!$A:$A,0)),"")</f>
        <v/>
      </c>
    </row>
    <row r="147" ht="15" customHeight="1" s="1">
      <c r="A147" s="11">
        <f>IF(B147="","",ROW()-1)</f>
        <v/>
      </c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0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>
        <f>IF(Q147="","",HYPERLINK("https://wa.me/52"&amp;C147&amp;"?text="&amp;_xlfn.ENCODEURL(Q147),"Enviar Bienvenida"))</f>
        <v/>
      </c>
      <c r="S147" s="10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>
        <f>IF(S147="","",HYPERLINK("https://wa.me/52"&amp;C147&amp;"?text="&amp;_xlfn.ENCODEURL(S147),"Enviar Seguimiento"))</f>
        <v/>
      </c>
      <c r="U147" s="10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>
        <f>IF(U147="","",HYPERLINK("https://wa.me/52"&amp;C147&amp;"?text="&amp;_xlfn.ENCODEURL(U147),"Enviar aviso de etapa"))</f>
        <v/>
      </c>
      <c r="W147" s="10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>
        <f>IF(W147="","",HYPERLINK("https://wa.me/52"&amp;C147&amp;"?text="&amp;_xlfn.ENCODEURL(W147),"Enviar felicitación"))</f>
        <v/>
      </c>
      <c r="Y147" s="10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>
        <f>IF(Y147="","",HYPERLINK("https://wa.me/52"&amp;C147&amp;"?text="&amp;_xlfn.ENCODEURL(Y147),"Enviar aniversario"))</f>
        <v/>
      </c>
      <c r="AA147" s="11" t="n"/>
      <c r="AB147" s="11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>
        <f>IFERROR(INDEX(Facturación!$Q:$Q,MATCH(B147,Facturación!$A:$A,0)),"")</f>
        <v/>
      </c>
    </row>
    <row r="148" ht="15" customHeight="1" s="1">
      <c r="A148" s="11">
        <f>IF(B148="","",ROW()-1)</f>
        <v/>
      </c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0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>
        <f>IF(Q148="","",HYPERLINK("https://wa.me/52"&amp;C148&amp;"?text="&amp;_xlfn.ENCODEURL(Q148),"Enviar Bienvenida"))</f>
        <v/>
      </c>
      <c r="S148" s="10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>
        <f>IF(S148="","",HYPERLINK("https://wa.me/52"&amp;C148&amp;"?text="&amp;_xlfn.ENCODEURL(S148),"Enviar Seguimiento"))</f>
        <v/>
      </c>
      <c r="U148" s="10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>
        <f>IF(U148="","",HYPERLINK("https://wa.me/52"&amp;C148&amp;"?text="&amp;_xlfn.ENCODEURL(U148),"Enviar aviso de etapa"))</f>
        <v/>
      </c>
      <c r="W148" s="10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>
        <f>IF(W148="","",HYPERLINK("https://wa.me/52"&amp;C148&amp;"?text="&amp;_xlfn.ENCODEURL(W148),"Enviar felicitación"))</f>
        <v/>
      </c>
      <c r="Y148" s="10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>
        <f>IF(Y148="","",HYPERLINK("https://wa.me/52"&amp;C148&amp;"?text="&amp;_xlfn.ENCODEURL(Y148),"Enviar aniversario"))</f>
        <v/>
      </c>
      <c r="AA148" s="11" t="n"/>
      <c r="AB148" s="11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>
        <f>IFERROR(INDEX(Facturación!$Q:$Q,MATCH(B148,Facturación!$A:$A,0)),"")</f>
        <v/>
      </c>
    </row>
    <row r="149" ht="15" customHeight="1" s="1">
      <c r="A149" s="11">
        <f>IF(B149="","",ROW()-1)</f>
        <v/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0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>
        <f>IF(Q149="","",HYPERLINK("https://wa.me/52"&amp;C149&amp;"?text="&amp;_xlfn.ENCODEURL(Q149),"Enviar Bienvenida"))</f>
        <v/>
      </c>
      <c r="S149" s="10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>
        <f>IF(S149="","",HYPERLINK("https://wa.me/52"&amp;C149&amp;"?text="&amp;_xlfn.ENCODEURL(S149),"Enviar Seguimiento"))</f>
        <v/>
      </c>
      <c r="U149" s="10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>
        <f>IF(U149="","",HYPERLINK("https://wa.me/52"&amp;C149&amp;"?text="&amp;_xlfn.ENCODEURL(U149),"Enviar aviso de etapa"))</f>
        <v/>
      </c>
      <c r="W149" s="10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>
        <f>IF(W149="","",HYPERLINK("https://wa.me/52"&amp;C149&amp;"?text="&amp;_xlfn.ENCODEURL(W149),"Enviar felicitación"))</f>
        <v/>
      </c>
      <c r="Y149" s="10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>
        <f>IF(Y149="","",HYPERLINK("https://wa.me/52"&amp;C149&amp;"?text="&amp;_xlfn.ENCODEURL(Y149),"Enviar aniversario"))</f>
        <v/>
      </c>
      <c r="AA149" s="11" t="n"/>
      <c r="AB149" s="11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>
        <f>IFERROR(INDEX(Facturación!$Q:$Q,MATCH(B149,Facturación!$A:$A,0)),"")</f>
        <v/>
      </c>
    </row>
    <row r="150" ht="15" customHeight="1" s="1">
      <c r="A150" s="11">
        <f>IF(B150="","",ROW()-1)</f>
        <v/>
      </c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0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>
        <f>IF(Q150="","",HYPERLINK("https://wa.me/52"&amp;C150&amp;"?text="&amp;_xlfn.ENCODEURL(Q150),"Enviar Bienvenida"))</f>
        <v/>
      </c>
      <c r="S150" s="10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>
        <f>IF(S150="","",HYPERLINK("https://wa.me/52"&amp;C150&amp;"?text="&amp;_xlfn.ENCODEURL(S150),"Enviar Seguimiento"))</f>
        <v/>
      </c>
      <c r="U150" s="10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>
        <f>IF(U150="","",HYPERLINK("https://wa.me/52"&amp;C150&amp;"?text="&amp;_xlfn.ENCODEURL(U150),"Enviar aviso de etapa"))</f>
        <v/>
      </c>
      <c r="W150" s="10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>
        <f>IF(W150="","",HYPERLINK("https://wa.me/52"&amp;C150&amp;"?text="&amp;_xlfn.ENCODEURL(W150),"Enviar felicitación"))</f>
        <v/>
      </c>
      <c r="Y150" s="10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>
        <f>IF(Y150="","",HYPERLINK("https://wa.me/52"&amp;C150&amp;"?text="&amp;_xlfn.ENCODEURL(Y150),"Enviar aniversario"))</f>
        <v/>
      </c>
      <c r="AA150" s="11" t="n"/>
      <c r="AB150" s="11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>
        <f>IFERROR(INDEX(Facturación!$Q:$Q,MATCH(B150,Facturación!$A:$A,0)),"")</f>
        <v/>
      </c>
    </row>
    <row r="151" ht="15" customHeight="1" s="1">
      <c r="A151" s="11">
        <f>IF(B151="","",ROW()-1)</f>
        <v/>
      </c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0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>
        <f>IF(Q151="","",HYPERLINK("https://wa.me/52"&amp;C151&amp;"?text="&amp;_xlfn.ENCODEURL(Q151),"Enviar Bienvenida"))</f>
        <v/>
      </c>
      <c r="S151" s="10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>
        <f>IF(S151="","",HYPERLINK("https://wa.me/52"&amp;C151&amp;"?text="&amp;_xlfn.ENCODEURL(S151),"Enviar Seguimiento"))</f>
        <v/>
      </c>
      <c r="U151" s="10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>
        <f>IF(U151="","",HYPERLINK("https://wa.me/52"&amp;C151&amp;"?text="&amp;_xlfn.ENCODEURL(U151),"Enviar aviso de etapa"))</f>
        <v/>
      </c>
      <c r="W151" s="10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>
        <f>IF(W151="","",HYPERLINK("https://wa.me/52"&amp;C151&amp;"?text="&amp;_xlfn.ENCODEURL(W151),"Enviar felicitación"))</f>
        <v/>
      </c>
      <c r="Y151" s="10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>
        <f>IF(Y151="","",HYPERLINK("https://wa.me/52"&amp;C151&amp;"?text="&amp;_xlfn.ENCODEURL(Y151),"Enviar aniversario"))</f>
        <v/>
      </c>
      <c r="AA151" s="11" t="n"/>
      <c r="AB151" s="11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>
        <f>IFERROR(INDEX(Facturación!$Q:$Q,MATCH(B151,Facturación!$A:$A,0)),"")</f>
        <v/>
      </c>
    </row>
    <row r="152" ht="15" customHeight="1" s="1">
      <c r="A152" s="11">
        <f>IF(B152="","",ROW()-1)</f>
        <v/>
      </c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0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>
        <f>IF(Q152="","",HYPERLINK("https://wa.me/52"&amp;C152&amp;"?text="&amp;_xlfn.ENCODEURL(Q152),"Enviar Bienvenida"))</f>
        <v/>
      </c>
      <c r="S152" s="10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>
        <f>IF(S152="","",HYPERLINK("https://wa.me/52"&amp;C152&amp;"?text="&amp;_xlfn.ENCODEURL(S152),"Enviar Seguimiento"))</f>
        <v/>
      </c>
      <c r="U152" s="10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>
        <f>IF(U152="","",HYPERLINK("https://wa.me/52"&amp;C152&amp;"?text="&amp;_xlfn.ENCODEURL(U152),"Enviar aviso de etapa"))</f>
        <v/>
      </c>
      <c r="W152" s="10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>
        <f>IF(W152="","",HYPERLINK("https://wa.me/52"&amp;C152&amp;"?text="&amp;_xlfn.ENCODEURL(W152),"Enviar felicitación"))</f>
        <v/>
      </c>
      <c r="Y152" s="10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>
        <f>IF(Y152="","",HYPERLINK("https://wa.me/52"&amp;C152&amp;"?text="&amp;_xlfn.ENCODEURL(Y152),"Enviar aniversario"))</f>
        <v/>
      </c>
      <c r="AA152" s="11" t="n"/>
      <c r="AB152" s="11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>
        <f>IFERROR(INDEX(Facturación!$Q:$Q,MATCH(B152,Facturación!$A:$A,0)),"")</f>
        <v/>
      </c>
    </row>
    <row r="153" ht="15" customHeight="1" s="1">
      <c r="A153" s="11">
        <f>IF(B153="","",ROW()-1)</f>
        <v/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0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>
        <f>IF(Q153="","",HYPERLINK("https://wa.me/52"&amp;C153&amp;"?text="&amp;_xlfn.ENCODEURL(Q153),"Enviar Bienvenida"))</f>
        <v/>
      </c>
      <c r="S153" s="10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>
        <f>IF(S153="","",HYPERLINK("https://wa.me/52"&amp;C153&amp;"?text="&amp;_xlfn.ENCODEURL(S153),"Enviar Seguimiento"))</f>
        <v/>
      </c>
      <c r="U153" s="10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>
        <f>IF(U153="","",HYPERLINK("https://wa.me/52"&amp;C153&amp;"?text="&amp;_xlfn.ENCODEURL(U153),"Enviar aviso de etapa"))</f>
        <v/>
      </c>
      <c r="W153" s="10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>
        <f>IF(W153="","",HYPERLINK("https://wa.me/52"&amp;C153&amp;"?text="&amp;_xlfn.ENCODEURL(W153),"Enviar felicitación"))</f>
        <v/>
      </c>
      <c r="Y153" s="10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>
        <f>IF(Y153="","",HYPERLINK("https://wa.me/52"&amp;C153&amp;"?text="&amp;_xlfn.ENCODEURL(Y153),"Enviar aniversario"))</f>
        <v/>
      </c>
      <c r="AA153" s="11" t="n"/>
      <c r="AB153" s="11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>
        <f>IFERROR(INDEX(Facturación!$Q:$Q,MATCH(B153,Facturación!$A:$A,0)),"")</f>
        <v/>
      </c>
    </row>
    <row r="154" ht="15" customHeight="1" s="1">
      <c r="A154" s="11">
        <f>IF(B154="","",ROW()-1)</f>
        <v/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0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>
        <f>IF(Q154="","",HYPERLINK("https://wa.me/52"&amp;C154&amp;"?text="&amp;_xlfn.ENCODEURL(Q154),"Enviar Bienvenida"))</f>
        <v/>
      </c>
      <c r="S154" s="10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>
        <f>IF(S154="","",HYPERLINK("https://wa.me/52"&amp;C154&amp;"?text="&amp;_xlfn.ENCODEURL(S154),"Enviar Seguimiento"))</f>
        <v/>
      </c>
      <c r="U154" s="10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>
        <f>IF(U154="","",HYPERLINK("https://wa.me/52"&amp;C154&amp;"?text="&amp;_xlfn.ENCODEURL(U154),"Enviar aviso de etapa"))</f>
        <v/>
      </c>
      <c r="W154" s="10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>
        <f>IF(W154="","",HYPERLINK("https://wa.me/52"&amp;C154&amp;"?text="&amp;_xlfn.ENCODEURL(W154),"Enviar felicitación"))</f>
        <v/>
      </c>
      <c r="Y154" s="10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>
        <f>IF(Y154="","",HYPERLINK("https://wa.me/52"&amp;C154&amp;"?text="&amp;_xlfn.ENCODEURL(Y154),"Enviar aniversario"))</f>
        <v/>
      </c>
      <c r="AA154" s="11" t="n"/>
      <c r="AB154" s="11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>
        <f>IFERROR(INDEX(Facturación!$Q:$Q,MATCH(B154,Facturación!$A:$A,0)),"")</f>
        <v/>
      </c>
    </row>
    <row r="155" ht="15" customHeight="1" s="1">
      <c r="A155" s="11">
        <f>IF(B155="","",ROW()-1)</f>
        <v/>
      </c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0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>
        <f>IF(Q155="","",HYPERLINK("https://wa.me/52"&amp;C155&amp;"?text="&amp;_xlfn.ENCODEURL(Q155),"Enviar Bienvenida"))</f>
        <v/>
      </c>
      <c r="S155" s="10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>
        <f>IF(S155="","",HYPERLINK("https://wa.me/52"&amp;C155&amp;"?text="&amp;_xlfn.ENCODEURL(S155),"Enviar Seguimiento"))</f>
        <v/>
      </c>
      <c r="U155" s="10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>
        <f>IF(U155="","",HYPERLINK("https://wa.me/52"&amp;C155&amp;"?text="&amp;_xlfn.ENCODEURL(U155),"Enviar aviso de etapa"))</f>
        <v/>
      </c>
      <c r="W155" s="10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>
        <f>IF(W155="","",HYPERLINK("https://wa.me/52"&amp;C155&amp;"?text="&amp;_xlfn.ENCODEURL(W155),"Enviar felicitación"))</f>
        <v/>
      </c>
      <c r="Y155" s="10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>
        <f>IF(Y155="","",HYPERLINK("https://wa.me/52"&amp;C155&amp;"?text="&amp;_xlfn.ENCODEURL(Y155),"Enviar aniversario"))</f>
        <v/>
      </c>
      <c r="AA155" s="11" t="n"/>
      <c r="AB155" s="11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>
        <f>IFERROR(INDEX(Facturación!$Q:$Q,MATCH(B155,Facturación!$A:$A,0)),"")</f>
        <v/>
      </c>
    </row>
    <row r="156" ht="15" customHeight="1" s="1">
      <c r="A156" s="11">
        <f>IF(B156="","",ROW()-1)</f>
        <v/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0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>
        <f>IF(Q156="","",HYPERLINK("https://wa.me/52"&amp;C156&amp;"?text="&amp;_xlfn.ENCODEURL(Q156),"Enviar Bienvenida"))</f>
        <v/>
      </c>
      <c r="S156" s="10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>
        <f>IF(S156="","",HYPERLINK("https://wa.me/52"&amp;C156&amp;"?text="&amp;_xlfn.ENCODEURL(S156),"Enviar Seguimiento"))</f>
        <v/>
      </c>
      <c r="U156" s="10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>
        <f>IF(U156="","",HYPERLINK("https://wa.me/52"&amp;C156&amp;"?text="&amp;_xlfn.ENCODEURL(U156),"Enviar aviso de etapa"))</f>
        <v/>
      </c>
      <c r="W156" s="10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>
        <f>IF(W156="","",HYPERLINK("https://wa.me/52"&amp;C156&amp;"?text="&amp;_xlfn.ENCODEURL(W156),"Enviar felicitación"))</f>
        <v/>
      </c>
      <c r="Y156" s="10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>
        <f>IF(Y156="","",HYPERLINK("https://wa.me/52"&amp;C156&amp;"?text="&amp;_xlfn.ENCODEURL(Y156),"Enviar aniversario"))</f>
        <v/>
      </c>
      <c r="AA156" s="11" t="n"/>
      <c r="AB156" s="11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>
        <f>IFERROR(INDEX(Facturación!$Q:$Q,MATCH(B156,Facturación!$A:$A,0)),"")</f>
        <v/>
      </c>
    </row>
    <row r="157" ht="15" customHeight="1" s="1">
      <c r="A157" s="11">
        <f>IF(B157="","",ROW()-1)</f>
        <v/>
      </c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0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>
        <f>IF(Q157="","",HYPERLINK("https://wa.me/52"&amp;C157&amp;"?text="&amp;_xlfn.ENCODEURL(Q157),"Enviar Bienvenida"))</f>
        <v/>
      </c>
      <c r="S157" s="10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>
        <f>IF(S157="","",HYPERLINK("https://wa.me/52"&amp;C157&amp;"?text="&amp;_xlfn.ENCODEURL(S157),"Enviar Seguimiento"))</f>
        <v/>
      </c>
      <c r="U157" s="10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>
        <f>IF(U157="","",HYPERLINK("https://wa.me/52"&amp;C157&amp;"?text="&amp;_xlfn.ENCODEURL(U157),"Enviar aviso de etapa"))</f>
        <v/>
      </c>
      <c r="W157" s="10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>
        <f>IF(W157="","",HYPERLINK("https://wa.me/52"&amp;C157&amp;"?text="&amp;_xlfn.ENCODEURL(W157),"Enviar felicitación"))</f>
        <v/>
      </c>
      <c r="Y157" s="10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>
        <f>IF(Y157="","",HYPERLINK("https://wa.me/52"&amp;C157&amp;"?text="&amp;_xlfn.ENCODEURL(Y157),"Enviar aniversario"))</f>
        <v/>
      </c>
      <c r="AA157" s="11" t="n"/>
      <c r="AB157" s="11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>
        <f>IFERROR(INDEX(Facturación!$Q:$Q,MATCH(B157,Facturación!$A:$A,0)),"")</f>
        <v/>
      </c>
    </row>
    <row r="158" ht="15" customHeight="1" s="1">
      <c r="A158" s="11">
        <f>IF(B158="","",ROW()-1)</f>
        <v/>
      </c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0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>
        <f>IF(Q158="","",HYPERLINK("https://wa.me/52"&amp;C158&amp;"?text="&amp;_xlfn.ENCODEURL(Q158),"Enviar Bienvenida"))</f>
        <v/>
      </c>
      <c r="S158" s="10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>
        <f>IF(S158="","",HYPERLINK("https://wa.me/52"&amp;C158&amp;"?text="&amp;_xlfn.ENCODEURL(S158),"Enviar Seguimiento"))</f>
        <v/>
      </c>
      <c r="U158" s="10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>
        <f>IF(U158="","",HYPERLINK("https://wa.me/52"&amp;C158&amp;"?text="&amp;_xlfn.ENCODEURL(U158),"Enviar aviso de etapa"))</f>
        <v/>
      </c>
      <c r="W158" s="10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>
        <f>IF(W158="","",HYPERLINK("https://wa.me/52"&amp;C158&amp;"?text="&amp;_xlfn.ENCODEURL(W158),"Enviar felicitación"))</f>
        <v/>
      </c>
      <c r="Y158" s="10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>
        <f>IF(Y158="","",HYPERLINK("https://wa.me/52"&amp;C158&amp;"?text="&amp;_xlfn.ENCODEURL(Y158),"Enviar aniversario"))</f>
        <v/>
      </c>
      <c r="AA158" s="11" t="n"/>
      <c r="AB158" s="11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>
        <f>IFERROR(INDEX(Facturación!$Q:$Q,MATCH(B158,Facturación!$A:$A,0)),"")</f>
        <v/>
      </c>
    </row>
    <row r="159" ht="15" customHeight="1" s="1">
      <c r="A159" s="11">
        <f>IF(B159="","",ROW()-1)</f>
        <v/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0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>
        <f>IF(Q159="","",HYPERLINK("https://wa.me/52"&amp;C159&amp;"?text="&amp;_xlfn.ENCODEURL(Q159),"Enviar Bienvenida"))</f>
        <v/>
      </c>
      <c r="S159" s="10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>
        <f>IF(S159="","",HYPERLINK("https://wa.me/52"&amp;C159&amp;"?text="&amp;_xlfn.ENCODEURL(S159),"Enviar Seguimiento"))</f>
        <v/>
      </c>
      <c r="U159" s="10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>
        <f>IF(U159="","",HYPERLINK("https://wa.me/52"&amp;C159&amp;"?text="&amp;_xlfn.ENCODEURL(U159),"Enviar aviso de etapa"))</f>
        <v/>
      </c>
      <c r="W159" s="10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>
        <f>IF(W159="","",HYPERLINK("https://wa.me/52"&amp;C159&amp;"?text="&amp;_xlfn.ENCODEURL(W159),"Enviar felicitación"))</f>
        <v/>
      </c>
      <c r="Y159" s="10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>
        <f>IF(Y159="","",HYPERLINK("https://wa.me/52"&amp;C159&amp;"?text="&amp;_xlfn.ENCODEURL(Y159),"Enviar aniversario"))</f>
        <v/>
      </c>
      <c r="AA159" s="11" t="n"/>
      <c r="AB159" s="11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>
        <f>IFERROR(INDEX(Facturación!$Q:$Q,MATCH(B159,Facturación!$A:$A,0)),"")</f>
        <v/>
      </c>
    </row>
    <row r="160" ht="15" customHeight="1" s="1">
      <c r="A160" s="11">
        <f>IF(B160="","",ROW()-1)</f>
        <v/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0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>
        <f>IF(Q160="","",HYPERLINK("https://wa.me/52"&amp;C160&amp;"?text="&amp;_xlfn.ENCODEURL(Q160),"Enviar Bienvenida"))</f>
        <v/>
      </c>
      <c r="S160" s="10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>
        <f>IF(S160="","",HYPERLINK("https://wa.me/52"&amp;C160&amp;"?text="&amp;_xlfn.ENCODEURL(S160),"Enviar Seguimiento"))</f>
        <v/>
      </c>
      <c r="U160" s="10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>
        <f>IF(U160="","",HYPERLINK("https://wa.me/52"&amp;C160&amp;"?text="&amp;_xlfn.ENCODEURL(U160),"Enviar aviso de etapa"))</f>
        <v/>
      </c>
      <c r="W160" s="10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>
        <f>IF(W160="","",HYPERLINK("https://wa.me/52"&amp;C160&amp;"?text="&amp;_xlfn.ENCODEURL(W160),"Enviar felicitación"))</f>
        <v/>
      </c>
      <c r="Y160" s="10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>
        <f>IF(Y160="","",HYPERLINK("https://wa.me/52"&amp;C160&amp;"?text="&amp;_xlfn.ENCODEURL(Y160),"Enviar aniversario"))</f>
        <v/>
      </c>
      <c r="AA160" s="11" t="n"/>
      <c r="AB160" s="11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>
        <f>IFERROR(INDEX(Facturación!$Q:$Q,MATCH(B160,Facturación!$A:$A,0)),"")</f>
        <v/>
      </c>
    </row>
    <row r="161" ht="15" customHeight="1" s="1">
      <c r="A161" s="11">
        <f>IF(B161="","",ROW()-1)</f>
        <v/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0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>
        <f>IF(Q161="","",HYPERLINK("https://wa.me/52"&amp;C161&amp;"?text="&amp;_xlfn.ENCODEURL(Q161),"Enviar Bienvenida"))</f>
        <v/>
      </c>
      <c r="S161" s="10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>
        <f>IF(S161="","",HYPERLINK("https://wa.me/52"&amp;C161&amp;"?text="&amp;_xlfn.ENCODEURL(S161),"Enviar Seguimiento"))</f>
        <v/>
      </c>
      <c r="U161" s="10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>
        <f>IF(U161="","",HYPERLINK("https://wa.me/52"&amp;C161&amp;"?text="&amp;_xlfn.ENCODEURL(U161),"Enviar aviso de etapa"))</f>
        <v/>
      </c>
      <c r="W161" s="10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>
        <f>IF(W161="","",HYPERLINK("https://wa.me/52"&amp;C161&amp;"?text="&amp;_xlfn.ENCODEURL(W161),"Enviar felicitación"))</f>
        <v/>
      </c>
      <c r="Y161" s="10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>
        <f>IF(Y161="","",HYPERLINK("https://wa.me/52"&amp;C161&amp;"?text="&amp;_xlfn.ENCODEURL(Y161),"Enviar aniversario"))</f>
        <v/>
      </c>
      <c r="AA161" s="11" t="n"/>
      <c r="AB161" s="11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>
        <f>IFERROR(INDEX(Facturación!$Q:$Q,MATCH(B161,Facturación!$A:$A,0)),"")</f>
        <v/>
      </c>
    </row>
    <row r="162" ht="15" customHeight="1" s="1">
      <c r="A162" s="11">
        <f>IF(B162="","",ROW()-1)</f>
        <v/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0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>
        <f>IF(Q162="","",HYPERLINK("https://wa.me/52"&amp;C162&amp;"?text="&amp;_xlfn.ENCODEURL(Q162),"Enviar Bienvenida"))</f>
        <v/>
      </c>
      <c r="S162" s="10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>
        <f>IF(S162="","",HYPERLINK("https://wa.me/52"&amp;C162&amp;"?text="&amp;_xlfn.ENCODEURL(S162),"Enviar Seguimiento"))</f>
        <v/>
      </c>
      <c r="U162" s="10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>
        <f>IF(U162="","",HYPERLINK("https://wa.me/52"&amp;C162&amp;"?text="&amp;_xlfn.ENCODEURL(U162),"Enviar aviso de etapa"))</f>
        <v/>
      </c>
      <c r="W162" s="10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>
        <f>IF(W162="","",HYPERLINK("https://wa.me/52"&amp;C162&amp;"?text="&amp;_xlfn.ENCODEURL(W162),"Enviar felicitación"))</f>
        <v/>
      </c>
      <c r="Y162" s="10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>
        <f>IF(Y162="","",HYPERLINK("https://wa.me/52"&amp;C162&amp;"?text="&amp;_xlfn.ENCODEURL(Y162),"Enviar aniversario"))</f>
        <v/>
      </c>
      <c r="AA162" s="11" t="n"/>
      <c r="AB162" s="11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>
        <f>IFERROR(INDEX(Facturación!$Q:$Q,MATCH(B162,Facturación!$A:$A,0)),"")</f>
        <v/>
      </c>
    </row>
    <row r="163" ht="15" customHeight="1" s="1">
      <c r="A163" s="11">
        <f>IF(B163="","",ROW()-1)</f>
        <v/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0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>
        <f>IF(Q163="","",HYPERLINK("https://wa.me/52"&amp;C163&amp;"?text="&amp;_xlfn.ENCODEURL(Q163),"Enviar Bienvenida"))</f>
        <v/>
      </c>
      <c r="S163" s="10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>
        <f>IF(S163="","",HYPERLINK("https://wa.me/52"&amp;C163&amp;"?text="&amp;_xlfn.ENCODEURL(S163),"Enviar Seguimiento"))</f>
        <v/>
      </c>
      <c r="U163" s="10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>
        <f>IF(U163="","",HYPERLINK("https://wa.me/52"&amp;C163&amp;"?text="&amp;_xlfn.ENCODEURL(U163),"Enviar aviso de etapa"))</f>
        <v/>
      </c>
      <c r="W163" s="10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>
        <f>IF(W163="","",HYPERLINK("https://wa.me/52"&amp;C163&amp;"?text="&amp;_xlfn.ENCODEURL(W163),"Enviar felicitación"))</f>
        <v/>
      </c>
      <c r="Y163" s="10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>
        <f>IF(Y163="","",HYPERLINK("https://wa.me/52"&amp;C163&amp;"?text="&amp;_xlfn.ENCODEURL(Y163),"Enviar aniversario"))</f>
        <v/>
      </c>
      <c r="AA163" s="11" t="n"/>
      <c r="AB163" s="11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>
        <f>IFERROR(INDEX(Facturación!$Q:$Q,MATCH(B163,Facturación!$A:$A,0)),"")</f>
        <v/>
      </c>
    </row>
    <row r="164" ht="15" customHeight="1" s="1">
      <c r="A164" s="11">
        <f>IF(B164="","",ROW()-1)</f>
        <v/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0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>
        <f>IF(Q164="","",HYPERLINK("https://wa.me/52"&amp;C164&amp;"?text="&amp;_xlfn.ENCODEURL(Q164),"Enviar Bienvenida"))</f>
        <v/>
      </c>
      <c r="S164" s="10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>
        <f>IF(S164="","",HYPERLINK("https://wa.me/52"&amp;C164&amp;"?text="&amp;_xlfn.ENCODEURL(S164),"Enviar Seguimiento"))</f>
        <v/>
      </c>
      <c r="U164" s="10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>
        <f>IF(U164="","",HYPERLINK("https://wa.me/52"&amp;C164&amp;"?text="&amp;_xlfn.ENCODEURL(U164),"Enviar aviso de etapa"))</f>
        <v/>
      </c>
      <c r="W164" s="10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>
        <f>IF(W164="","",HYPERLINK("https://wa.me/52"&amp;C164&amp;"?text="&amp;_xlfn.ENCODEURL(W164),"Enviar felicitación"))</f>
        <v/>
      </c>
      <c r="Y164" s="10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>
        <f>IF(Y164="","",HYPERLINK("https://wa.me/52"&amp;C164&amp;"?text="&amp;_xlfn.ENCODEURL(Y164),"Enviar aniversario"))</f>
        <v/>
      </c>
      <c r="AA164" s="11" t="n"/>
      <c r="AB164" s="11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>
        <f>IFERROR(INDEX(Facturación!$Q:$Q,MATCH(B164,Facturación!$A:$A,0)),"")</f>
        <v/>
      </c>
    </row>
    <row r="165" ht="15" customHeight="1" s="1">
      <c r="A165" s="11">
        <f>IF(B165="","",ROW()-1)</f>
        <v/>
      </c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0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>
        <f>IF(Q165="","",HYPERLINK("https://wa.me/52"&amp;C165&amp;"?text="&amp;_xlfn.ENCODEURL(Q165),"Enviar Bienvenida"))</f>
        <v/>
      </c>
      <c r="S165" s="10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>
        <f>IF(S165="","",HYPERLINK("https://wa.me/52"&amp;C165&amp;"?text="&amp;_xlfn.ENCODEURL(S165),"Enviar Seguimiento"))</f>
        <v/>
      </c>
      <c r="U165" s="10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>
        <f>IF(U165="","",HYPERLINK("https://wa.me/52"&amp;C165&amp;"?text="&amp;_xlfn.ENCODEURL(U165),"Enviar aviso de etapa"))</f>
        <v/>
      </c>
      <c r="W165" s="10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>
        <f>IF(W165="","",HYPERLINK("https://wa.me/52"&amp;C165&amp;"?text="&amp;_xlfn.ENCODEURL(W165),"Enviar felicitación"))</f>
        <v/>
      </c>
      <c r="Y165" s="10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>
        <f>IF(Y165="","",HYPERLINK("https://wa.me/52"&amp;C165&amp;"?text="&amp;_xlfn.ENCODEURL(Y165),"Enviar aniversario"))</f>
        <v/>
      </c>
      <c r="AA165" s="11" t="n"/>
      <c r="AB165" s="11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>
        <f>IFERROR(INDEX(Facturación!$Q:$Q,MATCH(B165,Facturación!$A:$A,0)),"")</f>
        <v/>
      </c>
    </row>
    <row r="166" ht="15" customHeight="1" s="1">
      <c r="A166" s="11">
        <f>IF(B166="","",ROW()-1)</f>
        <v/>
      </c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0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>
        <f>IF(Q166="","",HYPERLINK("https://wa.me/52"&amp;C166&amp;"?text="&amp;_xlfn.ENCODEURL(Q166),"Enviar Bienvenida"))</f>
        <v/>
      </c>
      <c r="S166" s="10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>
        <f>IF(S166="","",HYPERLINK("https://wa.me/52"&amp;C166&amp;"?text="&amp;_xlfn.ENCODEURL(S166),"Enviar Seguimiento"))</f>
        <v/>
      </c>
      <c r="U166" s="10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>
        <f>IF(U166="","",HYPERLINK("https://wa.me/52"&amp;C166&amp;"?text="&amp;_xlfn.ENCODEURL(U166),"Enviar aviso de etapa"))</f>
        <v/>
      </c>
      <c r="W166" s="10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>
        <f>IF(W166="","",HYPERLINK("https://wa.me/52"&amp;C166&amp;"?text="&amp;_xlfn.ENCODEURL(W166),"Enviar felicitación"))</f>
        <v/>
      </c>
      <c r="Y166" s="10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>
        <f>IF(Y166="","",HYPERLINK("https://wa.me/52"&amp;C166&amp;"?text="&amp;_xlfn.ENCODEURL(Y166),"Enviar aniversario"))</f>
        <v/>
      </c>
      <c r="AA166" s="11" t="n"/>
      <c r="AB166" s="11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>
        <f>IFERROR(INDEX(Facturación!$Q:$Q,MATCH(B166,Facturación!$A:$A,0)),"")</f>
        <v/>
      </c>
    </row>
    <row r="167" ht="15" customHeight="1" s="1">
      <c r="A167" s="11">
        <f>IF(B167="","",ROW()-1)</f>
        <v/>
      </c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0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>
        <f>IF(Q167="","",HYPERLINK("https://wa.me/52"&amp;C167&amp;"?text="&amp;_xlfn.ENCODEURL(Q167),"Enviar Bienvenida"))</f>
        <v/>
      </c>
      <c r="S167" s="10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>
        <f>IF(S167="","",HYPERLINK("https://wa.me/52"&amp;C167&amp;"?text="&amp;_xlfn.ENCODEURL(S167),"Enviar Seguimiento"))</f>
        <v/>
      </c>
      <c r="U167" s="10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>
        <f>IF(U167="","",HYPERLINK("https://wa.me/52"&amp;C167&amp;"?text="&amp;_xlfn.ENCODEURL(U167),"Enviar aviso de etapa"))</f>
        <v/>
      </c>
      <c r="W167" s="10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>
        <f>IF(W167="","",HYPERLINK("https://wa.me/52"&amp;C167&amp;"?text="&amp;_xlfn.ENCODEURL(W167),"Enviar felicitación"))</f>
        <v/>
      </c>
      <c r="Y167" s="10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>
        <f>IF(Y167="","",HYPERLINK("https://wa.me/52"&amp;C167&amp;"?text="&amp;_xlfn.ENCODEURL(Y167),"Enviar aniversario"))</f>
        <v/>
      </c>
      <c r="AA167" s="11" t="n"/>
      <c r="AB167" s="11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>
        <f>IFERROR(INDEX(Facturación!$Q:$Q,MATCH(B167,Facturación!$A:$A,0)),"")</f>
        <v/>
      </c>
    </row>
    <row r="168" ht="15" customHeight="1" s="1">
      <c r="A168" s="11">
        <f>IF(B168="","",ROW()-1)</f>
        <v/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0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>
        <f>IF(Q168="","",HYPERLINK("https://wa.me/52"&amp;C168&amp;"?text="&amp;_xlfn.ENCODEURL(Q168),"Enviar Bienvenida"))</f>
        <v/>
      </c>
      <c r="S168" s="10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>
        <f>IF(S168="","",HYPERLINK("https://wa.me/52"&amp;C168&amp;"?text="&amp;_xlfn.ENCODEURL(S168),"Enviar Seguimiento"))</f>
        <v/>
      </c>
      <c r="U168" s="10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>
        <f>IF(U168="","",HYPERLINK("https://wa.me/52"&amp;C168&amp;"?text="&amp;_xlfn.ENCODEURL(U168),"Enviar aviso de etapa"))</f>
        <v/>
      </c>
      <c r="W168" s="10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>
        <f>IF(W168="","",HYPERLINK("https://wa.me/52"&amp;C168&amp;"?text="&amp;_xlfn.ENCODEURL(W168),"Enviar felicitación"))</f>
        <v/>
      </c>
      <c r="Y168" s="10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>
        <f>IF(Y168="","",HYPERLINK("https://wa.me/52"&amp;C168&amp;"?text="&amp;_xlfn.ENCODEURL(Y168),"Enviar aniversario"))</f>
        <v/>
      </c>
      <c r="AA168" s="11" t="n"/>
      <c r="AB168" s="11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>
        <f>IFERROR(INDEX(Facturación!$Q:$Q,MATCH(B168,Facturación!$A:$A,0)),"")</f>
        <v/>
      </c>
    </row>
    <row r="169" ht="15" customHeight="1" s="1">
      <c r="A169" s="11">
        <f>IF(B169="","",ROW()-1)</f>
        <v/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0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>
        <f>IF(Q169="","",HYPERLINK("https://wa.me/52"&amp;C169&amp;"?text="&amp;_xlfn.ENCODEURL(Q169),"Enviar Bienvenida"))</f>
        <v/>
      </c>
      <c r="S169" s="10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>
        <f>IF(S169="","",HYPERLINK("https://wa.me/52"&amp;C169&amp;"?text="&amp;_xlfn.ENCODEURL(S169),"Enviar Seguimiento"))</f>
        <v/>
      </c>
      <c r="U169" s="10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>
        <f>IF(U169="","",HYPERLINK("https://wa.me/52"&amp;C169&amp;"?text="&amp;_xlfn.ENCODEURL(U169),"Enviar aviso de etapa"))</f>
        <v/>
      </c>
      <c r="W169" s="10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>
        <f>IF(W169="","",HYPERLINK("https://wa.me/52"&amp;C169&amp;"?text="&amp;_xlfn.ENCODEURL(W169),"Enviar felicitación"))</f>
        <v/>
      </c>
      <c r="Y169" s="10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>
        <f>IF(Y169="","",HYPERLINK("https://wa.me/52"&amp;C169&amp;"?text="&amp;_xlfn.ENCODEURL(Y169),"Enviar aniversario"))</f>
        <v/>
      </c>
      <c r="AA169" s="11" t="n"/>
      <c r="AB169" s="11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>
        <f>IFERROR(INDEX(Facturación!$Q:$Q,MATCH(B169,Facturación!$A:$A,0)),"")</f>
        <v/>
      </c>
    </row>
    <row r="170" ht="15" customHeight="1" s="1">
      <c r="A170" s="11">
        <f>IF(B170="","",ROW()-1)</f>
        <v/>
      </c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0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>
        <f>IF(Q170="","",HYPERLINK("https://wa.me/52"&amp;C170&amp;"?text="&amp;_xlfn.ENCODEURL(Q170),"Enviar Bienvenida"))</f>
        <v/>
      </c>
      <c r="S170" s="10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>
        <f>IF(S170="","",HYPERLINK("https://wa.me/52"&amp;C170&amp;"?text="&amp;_xlfn.ENCODEURL(S170),"Enviar Seguimiento"))</f>
        <v/>
      </c>
      <c r="U170" s="10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>
        <f>IF(U170="","",HYPERLINK("https://wa.me/52"&amp;C170&amp;"?text="&amp;_xlfn.ENCODEURL(U170),"Enviar aviso de etapa"))</f>
        <v/>
      </c>
      <c r="W170" s="10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>
        <f>IF(W170="","",HYPERLINK("https://wa.me/52"&amp;C170&amp;"?text="&amp;_xlfn.ENCODEURL(W170),"Enviar felicitación"))</f>
        <v/>
      </c>
      <c r="Y170" s="10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>
        <f>IF(Y170="","",HYPERLINK("https://wa.me/52"&amp;C170&amp;"?text="&amp;_xlfn.ENCODEURL(Y170),"Enviar aniversario"))</f>
        <v/>
      </c>
      <c r="AA170" s="11" t="n"/>
      <c r="AB170" s="11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>
        <f>IFERROR(INDEX(Facturación!$Q:$Q,MATCH(B170,Facturación!$A:$A,0)),"")</f>
        <v/>
      </c>
    </row>
    <row r="171" ht="15" customHeight="1" s="1">
      <c r="A171" s="11">
        <f>IF(B171="","",ROW()-1)</f>
        <v/>
      </c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0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>
        <f>IF(Q171="","",HYPERLINK("https://wa.me/52"&amp;C171&amp;"?text="&amp;_xlfn.ENCODEURL(Q171),"Enviar Bienvenida"))</f>
        <v/>
      </c>
      <c r="S171" s="10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>
        <f>IF(S171="","",HYPERLINK("https://wa.me/52"&amp;C171&amp;"?text="&amp;_xlfn.ENCODEURL(S171),"Enviar Seguimiento"))</f>
        <v/>
      </c>
      <c r="U171" s="10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>
        <f>IF(U171="","",HYPERLINK("https://wa.me/52"&amp;C171&amp;"?text="&amp;_xlfn.ENCODEURL(U171),"Enviar aviso de etapa"))</f>
        <v/>
      </c>
      <c r="W171" s="10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>
        <f>IF(W171="","",HYPERLINK("https://wa.me/52"&amp;C171&amp;"?text="&amp;_xlfn.ENCODEURL(W171),"Enviar felicitación"))</f>
        <v/>
      </c>
      <c r="Y171" s="10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>
        <f>IF(Y171="","",HYPERLINK("https://wa.me/52"&amp;C171&amp;"?text="&amp;_xlfn.ENCODEURL(Y171),"Enviar aniversario"))</f>
        <v/>
      </c>
      <c r="AA171" s="11" t="n"/>
      <c r="AB171" s="11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>
        <f>IFERROR(INDEX(Facturación!$Q:$Q,MATCH(B171,Facturación!$A:$A,0)),"")</f>
        <v/>
      </c>
    </row>
    <row r="172" ht="15" customHeight="1" s="1">
      <c r="A172" s="11">
        <f>IF(B172="","",ROW()-1)</f>
        <v/>
      </c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0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>
        <f>IF(Q172="","",HYPERLINK("https://wa.me/52"&amp;C172&amp;"?text="&amp;_xlfn.ENCODEURL(Q172),"Enviar Bienvenida"))</f>
        <v/>
      </c>
      <c r="S172" s="10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>
        <f>IF(S172="","",HYPERLINK("https://wa.me/52"&amp;C172&amp;"?text="&amp;_xlfn.ENCODEURL(S172),"Enviar Seguimiento"))</f>
        <v/>
      </c>
      <c r="U172" s="10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>
        <f>IF(U172="","",HYPERLINK("https://wa.me/52"&amp;C172&amp;"?text="&amp;_xlfn.ENCODEURL(U172),"Enviar aviso de etapa"))</f>
        <v/>
      </c>
      <c r="W172" s="10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>
        <f>IF(W172="","",HYPERLINK("https://wa.me/52"&amp;C172&amp;"?text="&amp;_xlfn.ENCODEURL(W172),"Enviar felicitación"))</f>
        <v/>
      </c>
      <c r="Y172" s="10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>
        <f>IF(Y172="","",HYPERLINK("https://wa.me/52"&amp;C172&amp;"?text="&amp;_xlfn.ENCODEURL(Y172),"Enviar aniversario"))</f>
        <v/>
      </c>
      <c r="AA172" s="11" t="n"/>
      <c r="AB172" s="11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>
        <f>IFERROR(INDEX(Facturación!$Q:$Q,MATCH(B172,Facturación!$A:$A,0)),"")</f>
        <v/>
      </c>
    </row>
    <row r="173" ht="15" customHeight="1" s="1">
      <c r="A173" s="11">
        <f>IF(B173="","",ROW()-1)</f>
        <v/>
      </c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0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>
        <f>IF(Q173="","",HYPERLINK("https://wa.me/52"&amp;C173&amp;"?text="&amp;_xlfn.ENCODEURL(Q173),"Enviar Bienvenida"))</f>
        <v/>
      </c>
      <c r="S173" s="10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>
        <f>IF(S173="","",HYPERLINK("https://wa.me/52"&amp;C173&amp;"?text="&amp;_xlfn.ENCODEURL(S173),"Enviar Seguimiento"))</f>
        <v/>
      </c>
      <c r="U173" s="10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>
        <f>IF(U173="","",HYPERLINK("https://wa.me/52"&amp;C173&amp;"?text="&amp;_xlfn.ENCODEURL(U173),"Enviar aviso de etapa"))</f>
        <v/>
      </c>
      <c r="W173" s="10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>
        <f>IF(W173="","",HYPERLINK("https://wa.me/52"&amp;C173&amp;"?text="&amp;_xlfn.ENCODEURL(W173),"Enviar felicitación"))</f>
        <v/>
      </c>
      <c r="Y173" s="10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>
        <f>IF(Y173="","",HYPERLINK("https://wa.me/52"&amp;C173&amp;"?text="&amp;_xlfn.ENCODEURL(Y173),"Enviar aniversario"))</f>
        <v/>
      </c>
      <c r="AA173" s="11" t="n"/>
      <c r="AB173" s="11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>
        <f>IFERROR(INDEX(Facturación!$Q:$Q,MATCH(B173,Facturación!$A:$A,0)),"")</f>
        <v/>
      </c>
    </row>
    <row r="174" ht="15" customHeight="1" s="1">
      <c r="A174" s="11">
        <f>IF(B174="","",ROW()-1)</f>
        <v/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0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>
        <f>IF(Q174="","",HYPERLINK("https://wa.me/52"&amp;C174&amp;"?text="&amp;_xlfn.ENCODEURL(Q174),"Enviar Bienvenida"))</f>
        <v/>
      </c>
      <c r="S174" s="10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>
        <f>IF(S174="","",HYPERLINK("https://wa.me/52"&amp;C174&amp;"?text="&amp;_xlfn.ENCODEURL(S174),"Enviar Seguimiento"))</f>
        <v/>
      </c>
      <c r="U174" s="10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>
        <f>IF(U174="","",HYPERLINK("https://wa.me/52"&amp;C174&amp;"?text="&amp;_xlfn.ENCODEURL(U174),"Enviar aviso de etapa"))</f>
        <v/>
      </c>
      <c r="W174" s="10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>
        <f>IF(W174="","",HYPERLINK("https://wa.me/52"&amp;C174&amp;"?text="&amp;_xlfn.ENCODEURL(W174),"Enviar felicitación"))</f>
        <v/>
      </c>
      <c r="Y174" s="10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>
        <f>IF(Y174="","",HYPERLINK("https://wa.me/52"&amp;C174&amp;"?text="&amp;_xlfn.ENCODEURL(Y174),"Enviar aniversario"))</f>
        <v/>
      </c>
      <c r="AA174" s="11" t="n"/>
      <c r="AB174" s="11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>
        <f>IFERROR(INDEX(Facturación!$Q:$Q,MATCH(B174,Facturación!$A:$A,0)),"")</f>
        <v/>
      </c>
    </row>
    <row r="175" ht="15" customHeight="1" s="1">
      <c r="A175" s="11">
        <f>IF(B175="","",ROW()-1)</f>
        <v/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0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>
        <f>IF(Q175="","",HYPERLINK("https://wa.me/52"&amp;C175&amp;"?text="&amp;_xlfn.ENCODEURL(Q175),"Enviar Bienvenida"))</f>
        <v/>
      </c>
      <c r="S175" s="10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>
        <f>IF(S175="","",HYPERLINK("https://wa.me/52"&amp;C175&amp;"?text="&amp;_xlfn.ENCODEURL(S175),"Enviar Seguimiento"))</f>
        <v/>
      </c>
      <c r="U175" s="10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>
        <f>IF(U175="","",HYPERLINK("https://wa.me/52"&amp;C175&amp;"?text="&amp;_xlfn.ENCODEURL(U175),"Enviar aviso de etapa"))</f>
        <v/>
      </c>
      <c r="W175" s="10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>
        <f>IF(W175="","",HYPERLINK("https://wa.me/52"&amp;C175&amp;"?text="&amp;_xlfn.ENCODEURL(W175),"Enviar felicitación"))</f>
        <v/>
      </c>
      <c r="Y175" s="10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>
        <f>IF(Y175="","",HYPERLINK("https://wa.me/52"&amp;C175&amp;"?text="&amp;_xlfn.ENCODEURL(Y175),"Enviar aniversario"))</f>
        <v/>
      </c>
      <c r="AA175" s="11" t="n"/>
      <c r="AB175" s="11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>
        <f>IFERROR(INDEX(Facturación!$Q:$Q,MATCH(B175,Facturación!$A:$A,0)),"")</f>
        <v/>
      </c>
    </row>
    <row r="176" ht="15" customHeight="1" s="1">
      <c r="A176" s="11">
        <f>IF(B176="","",ROW()-1)</f>
        <v/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0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>
        <f>IF(Q176="","",HYPERLINK("https://wa.me/52"&amp;C176&amp;"?text="&amp;_xlfn.ENCODEURL(Q176),"Enviar Bienvenida"))</f>
        <v/>
      </c>
      <c r="S176" s="10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>
        <f>IF(S176="","",HYPERLINK("https://wa.me/52"&amp;C176&amp;"?text="&amp;_xlfn.ENCODEURL(S176),"Enviar Seguimiento"))</f>
        <v/>
      </c>
      <c r="U176" s="10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>
        <f>IF(U176="","",HYPERLINK("https://wa.me/52"&amp;C176&amp;"?text="&amp;_xlfn.ENCODEURL(U176),"Enviar aviso de etapa"))</f>
        <v/>
      </c>
      <c r="W176" s="10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>
        <f>IF(W176="","",HYPERLINK("https://wa.me/52"&amp;C176&amp;"?text="&amp;_xlfn.ENCODEURL(W176),"Enviar felicitación"))</f>
        <v/>
      </c>
      <c r="Y176" s="10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>
        <f>IF(Y176="","",HYPERLINK("https://wa.me/52"&amp;C176&amp;"?text="&amp;_xlfn.ENCODEURL(Y176),"Enviar aniversario"))</f>
        <v/>
      </c>
      <c r="AA176" s="11" t="n"/>
      <c r="AB176" s="11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>
        <f>IFERROR(INDEX(Facturación!$Q:$Q,MATCH(B176,Facturación!$A:$A,0)),"")</f>
        <v/>
      </c>
    </row>
    <row r="177" ht="15" customHeight="1" s="1">
      <c r="A177" s="11">
        <f>IF(B177="","",ROW()-1)</f>
        <v/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0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>
        <f>IF(Q177="","",HYPERLINK("https://wa.me/52"&amp;C177&amp;"?text="&amp;_xlfn.ENCODEURL(Q177),"Enviar Bienvenida"))</f>
        <v/>
      </c>
      <c r="S177" s="10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>
        <f>IF(S177="","",HYPERLINK("https://wa.me/52"&amp;C177&amp;"?text="&amp;_xlfn.ENCODEURL(S177),"Enviar Seguimiento"))</f>
        <v/>
      </c>
      <c r="U177" s="10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>
        <f>IF(U177="","",HYPERLINK("https://wa.me/52"&amp;C177&amp;"?text="&amp;_xlfn.ENCODEURL(U177),"Enviar aviso de etapa"))</f>
        <v/>
      </c>
      <c r="W177" s="10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>
        <f>IF(W177="","",HYPERLINK("https://wa.me/52"&amp;C177&amp;"?text="&amp;_xlfn.ENCODEURL(W177),"Enviar felicitación"))</f>
        <v/>
      </c>
      <c r="Y177" s="10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>
        <f>IF(Y177="","",HYPERLINK("https://wa.me/52"&amp;C177&amp;"?text="&amp;_xlfn.ENCODEURL(Y177),"Enviar aniversario"))</f>
        <v/>
      </c>
      <c r="AA177" s="11" t="n"/>
      <c r="AB177" s="11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>
        <f>IFERROR(INDEX(Facturación!$Q:$Q,MATCH(B177,Facturación!$A:$A,0)),"")</f>
        <v/>
      </c>
    </row>
    <row r="178" ht="15" customHeight="1" s="1">
      <c r="A178" s="11">
        <f>IF(B178="","",ROW()-1)</f>
        <v/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0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>
        <f>IF(Q178="","",HYPERLINK("https://wa.me/52"&amp;C178&amp;"?text="&amp;_xlfn.ENCODEURL(Q178),"Enviar Bienvenida"))</f>
        <v/>
      </c>
      <c r="S178" s="10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>
        <f>IF(S178="","",HYPERLINK("https://wa.me/52"&amp;C178&amp;"?text="&amp;_xlfn.ENCODEURL(S178),"Enviar Seguimiento"))</f>
        <v/>
      </c>
      <c r="U178" s="10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>
        <f>IF(U178="","",HYPERLINK("https://wa.me/52"&amp;C178&amp;"?text="&amp;_xlfn.ENCODEURL(U178),"Enviar aviso de etapa"))</f>
        <v/>
      </c>
      <c r="W178" s="10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>
        <f>IF(W178="","",HYPERLINK("https://wa.me/52"&amp;C178&amp;"?text="&amp;_xlfn.ENCODEURL(W178),"Enviar felicitación"))</f>
        <v/>
      </c>
      <c r="Y178" s="10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>
        <f>IF(Y178="","",HYPERLINK("https://wa.me/52"&amp;C178&amp;"?text="&amp;_xlfn.ENCODEURL(Y178),"Enviar aniversario"))</f>
        <v/>
      </c>
      <c r="AA178" s="11" t="n"/>
      <c r="AB178" s="11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>
        <f>IFERROR(INDEX(Facturación!$Q:$Q,MATCH(B178,Facturación!$A:$A,0)),"")</f>
        <v/>
      </c>
    </row>
    <row r="179" ht="15" customHeight="1" s="1">
      <c r="A179" s="11">
        <f>IF(B179="","",ROW()-1)</f>
        <v/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0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>
        <f>IF(Q179="","",HYPERLINK("https://wa.me/52"&amp;C179&amp;"?text="&amp;_xlfn.ENCODEURL(Q179),"Enviar Bienvenida"))</f>
        <v/>
      </c>
      <c r="S179" s="10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>
        <f>IF(S179="","",HYPERLINK("https://wa.me/52"&amp;C179&amp;"?text="&amp;_xlfn.ENCODEURL(S179),"Enviar Seguimiento"))</f>
        <v/>
      </c>
      <c r="U179" s="10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>
        <f>IF(U179="","",HYPERLINK("https://wa.me/52"&amp;C179&amp;"?text="&amp;_xlfn.ENCODEURL(U179),"Enviar aviso de etapa"))</f>
        <v/>
      </c>
      <c r="W179" s="10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>
        <f>IF(W179="","",HYPERLINK("https://wa.me/52"&amp;C179&amp;"?text="&amp;_xlfn.ENCODEURL(W179),"Enviar felicitación"))</f>
        <v/>
      </c>
      <c r="Y179" s="10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>
        <f>IF(Y179="","",HYPERLINK("https://wa.me/52"&amp;C179&amp;"?text="&amp;_xlfn.ENCODEURL(Y179),"Enviar aniversario"))</f>
        <v/>
      </c>
      <c r="AA179" s="11" t="n"/>
      <c r="AB179" s="11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>
        <f>IFERROR(INDEX(Facturación!$Q:$Q,MATCH(B179,Facturación!$A:$A,0)),"")</f>
        <v/>
      </c>
    </row>
    <row r="180" ht="15" customHeight="1" s="1">
      <c r="A180" s="11">
        <f>IF(B180="","",ROW()-1)</f>
        <v/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0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>
        <f>IF(Q180="","",HYPERLINK("https://wa.me/52"&amp;C180&amp;"?text="&amp;_xlfn.ENCODEURL(Q180),"Enviar Bienvenida"))</f>
        <v/>
      </c>
      <c r="S180" s="10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>
        <f>IF(S180="","",HYPERLINK("https://wa.me/52"&amp;C180&amp;"?text="&amp;_xlfn.ENCODEURL(S180),"Enviar Seguimiento"))</f>
        <v/>
      </c>
      <c r="U180" s="10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>
        <f>IF(U180="","",HYPERLINK("https://wa.me/52"&amp;C180&amp;"?text="&amp;_xlfn.ENCODEURL(U180),"Enviar aviso de etapa"))</f>
        <v/>
      </c>
      <c r="W180" s="10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>
        <f>IF(W180="","",HYPERLINK("https://wa.me/52"&amp;C180&amp;"?text="&amp;_xlfn.ENCODEURL(W180),"Enviar felicitación"))</f>
        <v/>
      </c>
      <c r="Y180" s="10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>
        <f>IF(Y180="","",HYPERLINK("https://wa.me/52"&amp;C180&amp;"?text="&amp;_xlfn.ENCODEURL(Y180),"Enviar aniversario"))</f>
        <v/>
      </c>
      <c r="AA180" s="11" t="n"/>
      <c r="AB180" s="11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>
        <f>IFERROR(INDEX(Facturación!$Q:$Q,MATCH(B180,Facturación!$A:$A,0)),"")</f>
        <v/>
      </c>
    </row>
    <row r="181" ht="15" customHeight="1" s="1">
      <c r="A181" s="11">
        <f>IF(B181="","",ROW()-1)</f>
        <v/>
      </c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0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>
        <f>IF(Q181="","",HYPERLINK("https://wa.me/52"&amp;C181&amp;"?text="&amp;_xlfn.ENCODEURL(Q181),"Enviar Bienvenida"))</f>
        <v/>
      </c>
      <c r="S181" s="10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>
        <f>IF(S181="","",HYPERLINK("https://wa.me/52"&amp;C181&amp;"?text="&amp;_xlfn.ENCODEURL(S181),"Enviar Seguimiento"))</f>
        <v/>
      </c>
      <c r="U181" s="10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>
        <f>IF(U181="","",HYPERLINK("https://wa.me/52"&amp;C181&amp;"?text="&amp;_xlfn.ENCODEURL(U181),"Enviar aviso de etapa"))</f>
        <v/>
      </c>
      <c r="W181" s="10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>
        <f>IF(W181="","",HYPERLINK("https://wa.me/52"&amp;C181&amp;"?text="&amp;_xlfn.ENCODEURL(W181),"Enviar felicitación"))</f>
        <v/>
      </c>
      <c r="Y181" s="10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>
        <f>IF(Y181="","",HYPERLINK("https://wa.me/52"&amp;C181&amp;"?text="&amp;_xlfn.ENCODEURL(Y181),"Enviar aniversario"))</f>
        <v/>
      </c>
      <c r="AA181" s="11" t="n"/>
      <c r="AB181" s="11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>
        <f>IFERROR(INDEX(Facturación!$Q:$Q,MATCH(B181,Facturación!$A:$A,0)),"")</f>
        <v/>
      </c>
    </row>
    <row r="182" ht="15" customHeight="1" s="1">
      <c r="A182" s="11">
        <f>IF(B182="","",ROW()-1)</f>
        <v/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0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>
        <f>IF(Q182="","",HYPERLINK("https://wa.me/52"&amp;C182&amp;"?text="&amp;_xlfn.ENCODEURL(Q182),"Enviar Bienvenida"))</f>
        <v/>
      </c>
      <c r="S182" s="10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>
        <f>IF(S182="","",HYPERLINK("https://wa.me/52"&amp;C182&amp;"?text="&amp;_xlfn.ENCODEURL(S182),"Enviar Seguimiento"))</f>
        <v/>
      </c>
      <c r="U182" s="10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>
        <f>IF(U182="","",HYPERLINK("https://wa.me/52"&amp;C182&amp;"?text="&amp;_xlfn.ENCODEURL(U182),"Enviar aviso de etapa"))</f>
        <v/>
      </c>
      <c r="W182" s="10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>
        <f>IF(W182="","",HYPERLINK("https://wa.me/52"&amp;C182&amp;"?text="&amp;_xlfn.ENCODEURL(W182),"Enviar felicitación"))</f>
        <v/>
      </c>
      <c r="Y182" s="10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>
        <f>IF(Y182="","",HYPERLINK("https://wa.me/52"&amp;C182&amp;"?text="&amp;_xlfn.ENCODEURL(Y182),"Enviar aniversario"))</f>
        <v/>
      </c>
      <c r="AA182" s="11" t="n"/>
      <c r="AB182" s="11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>
        <f>IFERROR(INDEX(Facturación!$Q:$Q,MATCH(B182,Facturación!$A:$A,0)),"")</f>
        <v/>
      </c>
    </row>
    <row r="183" ht="15" customHeight="1" s="1">
      <c r="A183" s="11">
        <f>IF(B183="","",ROW()-1)</f>
        <v/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0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>
        <f>IF(Q183="","",HYPERLINK("https://wa.me/52"&amp;C183&amp;"?text="&amp;_xlfn.ENCODEURL(Q183),"Enviar Bienvenida"))</f>
        <v/>
      </c>
      <c r="S183" s="10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>
        <f>IF(S183="","",HYPERLINK("https://wa.me/52"&amp;C183&amp;"?text="&amp;_xlfn.ENCODEURL(S183),"Enviar Seguimiento"))</f>
        <v/>
      </c>
      <c r="U183" s="10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>
        <f>IF(U183="","",HYPERLINK("https://wa.me/52"&amp;C183&amp;"?text="&amp;_xlfn.ENCODEURL(U183),"Enviar aviso de etapa"))</f>
        <v/>
      </c>
      <c r="W183" s="10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>
        <f>IF(W183="","",HYPERLINK("https://wa.me/52"&amp;C183&amp;"?text="&amp;_xlfn.ENCODEURL(W183),"Enviar felicitación"))</f>
        <v/>
      </c>
      <c r="Y183" s="10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>
        <f>IF(Y183="","",HYPERLINK("https://wa.me/52"&amp;C183&amp;"?text="&amp;_xlfn.ENCODEURL(Y183),"Enviar aniversario"))</f>
        <v/>
      </c>
      <c r="AA183" s="11" t="n"/>
      <c r="AB183" s="11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>
        <f>IFERROR(INDEX(Facturación!$Q:$Q,MATCH(B183,Facturación!$A:$A,0)),"")</f>
        <v/>
      </c>
    </row>
    <row r="184" ht="15" customHeight="1" s="1">
      <c r="A184" s="11">
        <f>IF(B184="","",ROW()-1)</f>
        <v/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0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>
        <f>IF(Q184="","",HYPERLINK("https://wa.me/52"&amp;C184&amp;"?text="&amp;_xlfn.ENCODEURL(Q184),"Enviar Bienvenida"))</f>
        <v/>
      </c>
      <c r="S184" s="10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>
        <f>IF(S184="","",HYPERLINK("https://wa.me/52"&amp;C184&amp;"?text="&amp;_xlfn.ENCODEURL(S184),"Enviar Seguimiento"))</f>
        <v/>
      </c>
      <c r="U184" s="10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>
        <f>IF(U184="","",HYPERLINK("https://wa.me/52"&amp;C184&amp;"?text="&amp;_xlfn.ENCODEURL(U184),"Enviar aviso de etapa"))</f>
        <v/>
      </c>
      <c r="W184" s="10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>
        <f>IF(W184="","",HYPERLINK("https://wa.me/52"&amp;C184&amp;"?text="&amp;_xlfn.ENCODEURL(W184),"Enviar felicitación"))</f>
        <v/>
      </c>
      <c r="Y184" s="10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>
        <f>IF(Y184="","",HYPERLINK("https://wa.me/52"&amp;C184&amp;"?text="&amp;_xlfn.ENCODEURL(Y184),"Enviar aniversario"))</f>
        <v/>
      </c>
      <c r="AA184" s="11" t="n"/>
      <c r="AB184" s="11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>
        <f>IFERROR(INDEX(Facturación!$Q:$Q,MATCH(B184,Facturación!$A:$A,0)),"")</f>
        <v/>
      </c>
    </row>
    <row r="185" ht="15" customHeight="1" s="1">
      <c r="A185" s="11">
        <f>IF(B185="","",ROW()-1)</f>
        <v/>
      </c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0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>
        <f>IF(Q185="","",HYPERLINK("https://wa.me/52"&amp;C185&amp;"?text="&amp;_xlfn.ENCODEURL(Q185),"Enviar Bienvenida"))</f>
        <v/>
      </c>
      <c r="S185" s="10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>
        <f>IF(S185="","",HYPERLINK("https://wa.me/52"&amp;C185&amp;"?text="&amp;_xlfn.ENCODEURL(S185),"Enviar Seguimiento"))</f>
        <v/>
      </c>
      <c r="U185" s="10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>
        <f>IF(U185="","",HYPERLINK("https://wa.me/52"&amp;C185&amp;"?text="&amp;_xlfn.ENCODEURL(U185),"Enviar aviso de etapa"))</f>
        <v/>
      </c>
      <c r="W185" s="10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>
        <f>IF(W185="","",HYPERLINK("https://wa.me/52"&amp;C185&amp;"?text="&amp;_xlfn.ENCODEURL(W185),"Enviar felicitación"))</f>
        <v/>
      </c>
      <c r="Y185" s="10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>
        <f>IF(Y185="","",HYPERLINK("https://wa.me/52"&amp;C185&amp;"?text="&amp;_xlfn.ENCODEURL(Y185),"Enviar aniversario"))</f>
        <v/>
      </c>
      <c r="AA185" s="11" t="n"/>
      <c r="AB185" s="11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>
        <f>IFERROR(INDEX(Facturación!$Q:$Q,MATCH(B185,Facturación!$A:$A,0)),"")</f>
        <v/>
      </c>
    </row>
    <row r="186" ht="15" customHeight="1" s="1">
      <c r="A186" s="11">
        <f>IF(B186="","",ROW()-1)</f>
        <v/>
      </c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0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>
        <f>IF(Q186="","",HYPERLINK("https://wa.me/52"&amp;C186&amp;"?text="&amp;_xlfn.ENCODEURL(Q186),"Enviar Bienvenida"))</f>
        <v/>
      </c>
      <c r="S186" s="10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>
        <f>IF(S186="","",HYPERLINK("https://wa.me/52"&amp;C186&amp;"?text="&amp;_xlfn.ENCODEURL(S186),"Enviar Seguimiento"))</f>
        <v/>
      </c>
      <c r="U186" s="10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>
        <f>IF(U186="","",HYPERLINK("https://wa.me/52"&amp;C186&amp;"?text="&amp;_xlfn.ENCODEURL(U186),"Enviar aviso de etapa"))</f>
        <v/>
      </c>
      <c r="W186" s="10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>
        <f>IF(W186="","",HYPERLINK("https://wa.me/52"&amp;C186&amp;"?text="&amp;_xlfn.ENCODEURL(W186),"Enviar felicitación"))</f>
        <v/>
      </c>
      <c r="Y186" s="10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>
        <f>IF(Y186="","",HYPERLINK("https://wa.me/52"&amp;C186&amp;"?text="&amp;_xlfn.ENCODEURL(Y186),"Enviar aniversario"))</f>
        <v/>
      </c>
      <c r="AA186" s="11" t="n"/>
      <c r="AB186" s="11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>
        <f>IFERROR(INDEX(Facturación!$Q:$Q,MATCH(B186,Facturación!$A:$A,0)),"")</f>
        <v/>
      </c>
    </row>
    <row r="187" ht="15" customHeight="1" s="1">
      <c r="A187" s="11">
        <f>IF(B187="","",ROW()-1)</f>
        <v/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0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>
        <f>IF(Q187="","",HYPERLINK("https://wa.me/52"&amp;C187&amp;"?text="&amp;_xlfn.ENCODEURL(Q187),"Enviar Bienvenida"))</f>
        <v/>
      </c>
      <c r="S187" s="10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>
        <f>IF(S187="","",HYPERLINK("https://wa.me/52"&amp;C187&amp;"?text="&amp;_xlfn.ENCODEURL(S187),"Enviar Seguimiento"))</f>
        <v/>
      </c>
      <c r="U187" s="10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>
        <f>IF(U187="","",HYPERLINK("https://wa.me/52"&amp;C187&amp;"?text="&amp;_xlfn.ENCODEURL(U187),"Enviar aviso de etapa"))</f>
        <v/>
      </c>
      <c r="W187" s="10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>
        <f>IF(W187="","",HYPERLINK("https://wa.me/52"&amp;C187&amp;"?text="&amp;_xlfn.ENCODEURL(W187),"Enviar felicitación"))</f>
        <v/>
      </c>
      <c r="Y187" s="10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>
        <f>IF(Y187="","",HYPERLINK("https://wa.me/52"&amp;C187&amp;"?text="&amp;_xlfn.ENCODEURL(Y187),"Enviar aniversario"))</f>
        <v/>
      </c>
      <c r="AA187" s="11" t="n"/>
      <c r="AB187" s="11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>
        <f>IFERROR(INDEX(Facturación!$Q:$Q,MATCH(B187,Facturación!$A:$A,0)),"")</f>
        <v/>
      </c>
    </row>
    <row r="188" ht="15" customHeight="1" s="1">
      <c r="A188" s="11">
        <f>IF(B188="","",ROW()-1)</f>
        <v/>
      </c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0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>
        <f>IF(Q188="","",HYPERLINK("https://wa.me/52"&amp;C188&amp;"?text="&amp;_xlfn.ENCODEURL(Q188),"Enviar Bienvenida"))</f>
        <v/>
      </c>
      <c r="S188" s="10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>
        <f>IF(S188="","",HYPERLINK("https://wa.me/52"&amp;C188&amp;"?text="&amp;_xlfn.ENCODEURL(S188),"Enviar Seguimiento"))</f>
        <v/>
      </c>
      <c r="U188" s="10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>
        <f>IF(U188="","",HYPERLINK("https://wa.me/52"&amp;C188&amp;"?text="&amp;_xlfn.ENCODEURL(U188),"Enviar aviso de etapa"))</f>
        <v/>
      </c>
      <c r="W188" s="10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>
        <f>IF(W188="","",HYPERLINK("https://wa.me/52"&amp;C188&amp;"?text="&amp;_xlfn.ENCODEURL(W188),"Enviar felicitación"))</f>
        <v/>
      </c>
      <c r="Y188" s="10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>
        <f>IF(Y188="","",HYPERLINK("https://wa.me/52"&amp;C188&amp;"?text="&amp;_xlfn.ENCODEURL(Y188),"Enviar aniversario"))</f>
        <v/>
      </c>
      <c r="AA188" s="11" t="n"/>
      <c r="AB188" s="11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>
        <f>IFERROR(INDEX(Facturación!$Q:$Q,MATCH(B188,Facturación!$A:$A,0)),"")</f>
        <v/>
      </c>
    </row>
    <row r="189" ht="15" customHeight="1" s="1">
      <c r="A189" s="11">
        <f>IF(B189="","",ROW()-1)</f>
        <v/>
      </c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0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>
        <f>IF(Q189="","",HYPERLINK("https://wa.me/52"&amp;C189&amp;"?text="&amp;_xlfn.ENCODEURL(Q189),"Enviar Bienvenida"))</f>
        <v/>
      </c>
      <c r="S189" s="10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>
        <f>IF(S189="","",HYPERLINK("https://wa.me/52"&amp;C189&amp;"?text="&amp;_xlfn.ENCODEURL(S189),"Enviar Seguimiento"))</f>
        <v/>
      </c>
      <c r="U189" s="10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>
        <f>IF(U189="","",HYPERLINK("https://wa.me/52"&amp;C189&amp;"?text="&amp;_xlfn.ENCODEURL(U189),"Enviar aviso de etapa"))</f>
        <v/>
      </c>
      <c r="W189" s="10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>
        <f>IF(W189="","",HYPERLINK("https://wa.me/52"&amp;C189&amp;"?text="&amp;_xlfn.ENCODEURL(W189),"Enviar felicitación"))</f>
        <v/>
      </c>
      <c r="Y189" s="10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>
        <f>IF(Y189="","",HYPERLINK("https://wa.me/52"&amp;C189&amp;"?text="&amp;_xlfn.ENCODEURL(Y189),"Enviar aniversario"))</f>
        <v/>
      </c>
      <c r="AA189" s="11" t="n"/>
      <c r="AB189" s="11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>
        <f>IFERROR(INDEX(Facturación!$Q:$Q,MATCH(B189,Facturación!$A:$A,0)),"")</f>
        <v/>
      </c>
    </row>
    <row r="190" ht="15" customHeight="1" s="1">
      <c r="A190" s="11">
        <f>IF(B190="","",ROW()-1)</f>
        <v/>
      </c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0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>
        <f>IF(Q190="","",HYPERLINK("https://wa.me/52"&amp;C190&amp;"?text="&amp;_xlfn.ENCODEURL(Q190),"Enviar Bienvenida"))</f>
        <v/>
      </c>
      <c r="S190" s="10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>
        <f>IF(S190="","",HYPERLINK("https://wa.me/52"&amp;C190&amp;"?text="&amp;_xlfn.ENCODEURL(S190),"Enviar Seguimiento"))</f>
        <v/>
      </c>
      <c r="U190" s="10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>
        <f>IF(U190="","",HYPERLINK("https://wa.me/52"&amp;C190&amp;"?text="&amp;_xlfn.ENCODEURL(U190),"Enviar aviso de etapa"))</f>
        <v/>
      </c>
      <c r="W190" s="10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>
        <f>IF(W190="","",HYPERLINK("https://wa.me/52"&amp;C190&amp;"?text="&amp;_xlfn.ENCODEURL(W190),"Enviar felicitación"))</f>
        <v/>
      </c>
      <c r="Y190" s="10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>
        <f>IF(Y190="","",HYPERLINK("https://wa.me/52"&amp;C190&amp;"?text="&amp;_xlfn.ENCODEURL(Y190),"Enviar aniversario"))</f>
        <v/>
      </c>
      <c r="AA190" s="11" t="n"/>
      <c r="AB190" s="11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>
        <f>IFERROR(INDEX(Facturación!$Q:$Q,MATCH(B190,Facturación!$A:$A,0)),"")</f>
        <v/>
      </c>
    </row>
    <row r="191" ht="15" customHeight="1" s="1">
      <c r="A191" s="11">
        <f>IF(B191="","",ROW()-1)</f>
        <v/>
      </c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0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>
        <f>IF(Q191="","",HYPERLINK("https://wa.me/52"&amp;C191&amp;"?text="&amp;_xlfn.ENCODEURL(Q191),"Enviar Bienvenida"))</f>
        <v/>
      </c>
      <c r="S191" s="10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>
        <f>IF(S191="","",HYPERLINK("https://wa.me/52"&amp;C191&amp;"?text="&amp;_xlfn.ENCODEURL(S191),"Enviar Seguimiento"))</f>
        <v/>
      </c>
      <c r="U191" s="10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>
        <f>IF(U191="","",HYPERLINK("https://wa.me/52"&amp;C191&amp;"?text="&amp;_xlfn.ENCODEURL(U191),"Enviar aviso de etapa"))</f>
        <v/>
      </c>
      <c r="W191" s="10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>
        <f>IF(W191="","",HYPERLINK("https://wa.me/52"&amp;C191&amp;"?text="&amp;_xlfn.ENCODEURL(W191),"Enviar felicitación"))</f>
        <v/>
      </c>
      <c r="Y191" s="10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>
        <f>IF(Y191="","",HYPERLINK("https://wa.me/52"&amp;C191&amp;"?text="&amp;_xlfn.ENCODEURL(Y191),"Enviar aniversario"))</f>
        <v/>
      </c>
      <c r="AA191" s="11" t="n"/>
      <c r="AB191" s="11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>
        <f>IFERROR(INDEX(Facturación!$Q:$Q,MATCH(B191,Facturación!$A:$A,0)),"")</f>
        <v/>
      </c>
    </row>
    <row r="192" ht="15" customHeight="1" s="1">
      <c r="A192" s="11">
        <f>IF(B192="","",ROW()-1)</f>
        <v/>
      </c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0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>
        <f>IF(Q192="","",HYPERLINK("https://wa.me/52"&amp;C192&amp;"?text="&amp;_xlfn.ENCODEURL(Q192),"Enviar Bienvenida"))</f>
        <v/>
      </c>
      <c r="S192" s="10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>
        <f>IF(S192="","",HYPERLINK("https://wa.me/52"&amp;C192&amp;"?text="&amp;_xlfn.ENCODEURL(S192),"Enviar Seguimiento"))</f>
        <v/>
      </c>
      <c r="U192" s="10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>
        <f>IF(U192="","",HYPERLINK("https://wa.me/52"&amp;C192&amp;"?text="&amp;_xlfn.ENCODEURL(U192),"Enviar aviso de etapa"))</f>
        <v/>
      </c>
      <c r="W192" s="10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>
        <f>IF(W192="","",HYPERLINK("https://wa.me/52"&amp;C192&amp;"?text="&amp;_xlfn.ENCODEURL(W192),"Enviar felicitación"))</f>
        <v/>
      </c>
      <c r="Y192" s="10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>
        <f>IF(Y192="","",HYPERLINK("https://wa.me/52"&amp;C192&amp;"?text="&amp;_xlfn.ENCODEURL(Y192),"Enviar aniversario"))</f>
        <v/>
      </c>
      <c r="AA192" s="11" t="n"/>
      <c r="AB192" s="11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>
        <f>IFERROR(INDEX(Facturación!$Q:$Q,MATCH(B192,Facturación!$A:$A,0)),"")</f>
        <v/>
      </c>
    </row>
    <row r="193" ht="15" customHeight="1" s="1">
      <c r="A193" s="11">
        <f>IF(B193="","",ROW()-1)</f>
        <v/>
      </c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0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>
        <f>IF(Q193="","",HYPERLINK("https://wa.me/52"&amp;C193&amp;"?text="&amp;_xlfn.ENCODEURL(Q193),"Enviar Bienvenida"))</f>
        <v/>
      </c>
      <c r="S193" s="10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>
        <f>IF(S193="","",HYPERLINK("https://wa.me/52"&amp;C193&amp;"?text="&amp;_xlfn.ENCODEURL(S193),"Enviar Seguimiento"))</f>
        <v/>
      </c>
      <c r="U193" s="10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>
        <f>IF(U193="","",HYPERLINK("https://wa.me/52"&amp;C193&amp;"?text="&amp;_xlfn.ENCODEURL(U193),"Enviar aviso de etapa"))</f>
        <v/>
      </c>
      <c r="W193" s="10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>
        <f>IF(W193="","",HYPERLINK("https://wa.me/52"&amp;C193&amp;"?text="&amp;_xlfn.ENCODEURL(W193),"Enviar felicitación"))</f>
        <v/>
      </c>
      <c r="Y193" s="10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>
        <f>IF(Y193="","",HYPERLINK("https://wa.me/52"&amp;C193&amp;"?text="&amp;_xlfn.ENCODEURL(Y193),"Enviar aniversario"))</f>
        <v/>
      </c>
      <c r="AA193" s="11" t="n"/>
      <c r="AB193" s="11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>
        <f>IFERROR(INDEX(Facturación!$Q:$Q,MATCH(B193,Facturación!$A:$A,0)),"")</f>
        <v/>
      </c>
    </row>
    <row r="194" ht="15" customHeight="1" s="1">
      <c r="A194" s="11">
        <f>IF(B194="","",ROW()-1)</f>
        <v/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0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>
        <f>IF(Q194="","",HYPERLINK("https://wa.me/52"&amp;C194&amp;"?text="&amp;_xlfn.ENCODEURL(Q194),"Enviar Bienvenida"))</f>
        <v/>
      </c>
      <c r="S194" s="10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>
        <f>IF(S194="","",HYPERLINK("https://wa.me/52"&amp;C194&amp;"?text="&amp;_xlfn.ENCODEURL(S194),"Enviar Seguimiento"))</f>
        <v/>
      </c>
      <c r="U194" s="10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>
        <f>IF(U194="","",HYPERLINK("https://wa.me/52"&amp;C194&amp;"?text="&amp;_xlfn.ENCODEURL(U194),"Enviar aviso de etapa"))</f>
        <v/>
      </c>
      <c r="W194" s="10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>
        <f>IF(W194="","",HYPERLINK("https://wa.me/52"&amp;C194&amp;"?text="&amp;_xlfn.ENCODEURL(W194),"Enviar felicitación"))</f>
        <v/>
      </c>
      <c r="Y194" s="10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>
        <f>IF(Y194="","",HYPERLINK("https://wa.me/52"&amp;C194&amp;"?text="&amp;_xlfn.ENCODEURL(Y194),"Enviar aniversario"))</f>
        <v/>
      </c>
      <c r="AA194" s="11" t="n"/>
      <c r="AB194" s="11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>
        <f>IFERROR(INDEX(Facturación!$Q:$Q,MATCH(B194,Facturación!$A:$A,0)),"")</f>
        <v/>
      </c>
    </row>
    <row r="195" ht="15" customHeight="1" s="1">
      <c r="A195" s="11">
        <f>IF(B195="","",ROW()-1)</f>
        <v/>
      </c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0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>
        <f>IF(Q195="","",HYPERLINK("https://wa.me/52"&amp;C195&amp;"?text="&amp;_xlfn.ENCODEURL(Q195),"Enviar Bienvenida"))</f>
        <v/>
      </c>
      <c r="S195" s="10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>
        <f>IF(S195="","",HYPERLINK("https://wa.me/52"&amp;C195&amp;"?text="&amp;_xlfn.ENCODEURL(S195),"Enviar Seguimiento"))</f>
        <v/>
      </c>
      <c r="U195" s="10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>
        <f>IF(U195="","",HYPERLINK("https://wa.me/52"&amp;C195&amp;"?text="&amp;_xlfn.ENCODEURL(U195),"Enviar aviso de etapa"))</f>
        <v/>
      </c>
      <c r="W195" s="10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>
        <f>IF(W195="","",HYPERLINK("https://wa.me/52"&amp;C195&amp;"?text="&amp;_xlfn.ENCODEURL(W195),"Enviar felicitación"))</f>
        <v/>
      </c>
      <c r="Y195" s="10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>
        <f>IF(Y195="","",HYPERLINK("https://wa.me/52"&amp;C195&amp;"?text="&amp;_xlfn.ENCODEURL(Y195),"Enviar aniversario"))</f>
        <v/>
      </c>
      <c r="AA195" s="11" t="n"/>
      <c r="AB195" s="11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>
        <f>IFERROR(INDEX(Facturación!$Q:$Q,MATCH(B195,Facturación!$A:$A,0)),"")</f>
        <v/>
      </c>
    </row>
    <row r="196" ht="15" customHeight="1" s="1">
      <c r="A196" s="11">
        <f>IF(B196="","",ROW()-1)</f>
        <v/>
      </c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0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>
        <f>IF(Q196="","",HYPERLINK("https://wa.me/52"&amp;C196&amp;"?text="&amp;_xlfn.ENCODEURL(Q196),"Enviar Bienvenida"))</f>
        <v/>
      </c>
      <c r="S196" s="10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>
        <f>IF(S196="","",HYPERLINK("https://wa.me/52"&amp;C196&amp;"?text="&amp;_xlfn.ENCODEURL(S196),"Enviar Seguimiento"))</f>
        <v/>
      </c>
      <c r="U196" s="10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>
        <f>IF(U196="","",HYPERLINK("https://wa.me/52"&amp;C196&amp;"?text="&amp;_xlfn.ENCODEURL(U196),"Enviar aviso de etapa"))</f>
        <v/>
      </c>
      <c r="W196" s="10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>
        <f>IF(W196="","",HYPERLINK("https://wa.me/52"&amp;C196&amp;"?text="&amp;_xlfn.ENCODEURL(W196),"Enviar felicitación"))</f>
        <v/>
      </c>
      <c r="Y196" s="10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>
        <f>IF(Y196="","",HYPERLINK("https://wa.me/52"&amp;C196&amp;"?text="&amp;_xlfn.ENCODEURL(Y196),"Enviar aniversario"))</f>
        <v/>
      </c>
      <c r="AA196" s="11" t="n"/>
      <c r="AB196" s="11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>
        <f>IFERROR(INDEX(Facturación!$Q:$Q,MATCH(B196,Facturación!$A:$A,0)),"")</f>
        <v/>
      </c>
    </row>
    <row r="197" ht="15" customHeight="1" s="1">
      <c r="A197" s="11">
        <f>IF(B197="","",ROW()-1)</f>
        <v/>
      </c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0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>
        <f>IF(Q197="","",HYPERLINK("https://wa.me/52"&amp;C197&amp;"?text="&amp;_xlfn.ENCODEURL(Q197),"Enviar Bienvenida"))</f>
        <v/>
      </c>
      <c r="S197" s="10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>
        <f>IF(S197="","",HYPERLINK("https://wa.me/52"&amp;C197&amp;"?text="&amp;_xlfn.ENCODEURL(S197),"Enviar Seguimiento"))</f>
        <v/>
      </c>
      <c r="U197" s="10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>
        <f>IF(U197="","",HYPERLINK("https://wa.me/52"&amp;C197&amp;"?text="&amp;_xlfn.ENCODEURL(U197),"Enviar aviso de etapa"))</f>
        <v/>
      </c>
      <c r="W197" s="10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>
        <f>IF(W197="","",HYPERLINK("https://wa.me/52"&amp;C197&amp;"?text="&amp;_xlfn.ENCODEURL(W197),"Enviar felicitación"))</f>
        <v/>
      </c>
      <c r="Y197" s="10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>
        <f>IF(Y197="","",HYPERLINK("https://wa.me/52"&amp;C197&amp;"?text="&amp;_xlfn.ENCODEURL(Y197),"Enviar aniversario"))</f>
        <v/>
      </c>
      <c r="AA197" s="11" t="n"/>
      <c r="AB197" s="11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>
        <f>IFERROR(INDEX(Facturación!$Q:$Q,MATCH(B197,Facturación!$A:$A,0)),"")</f>
        <v/>
      </c>
    </row>
    <row r="198" ht="15" customHeight="1" s="1">
      <c r="A198" s="11">
        <f>IF(B198="","",ROW()-1)</f>
        <v/>
      </c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0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>
        <f>IF(Q198="","",HYPERLINK("https://wa.me/52"&amp;C198&amp;"?text="&amp;_xlfn.ENCODEURL(Q198),"Enviar Bienvenida"))</f>
        <v/>
      </c>
      <c r="S198" s="10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>
        <f>IF(S198="","",HYPERLINK("https://wa.me/52"&amp;C198&amp;"?text="&amp;_xlfn.ENCODEURL(S198),"Enviar Seguimiento"))</f>
        <v/>
      </c>
      <c r="U198" s="10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>
        <f>IF(U198="","",HYPERLINK("https://wa.me/52"&amp;C198&amp;"?text="&amp;_xlfn.ENCODEURL(U198),"Enviar aviso de etapa"))</f>
        <v/>
      </c>
      <c r="W198" s="10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>
        <f>IF(W198="","",HYPERLINK("https://wa.me/52"&amp;C198&amp;"?text="&amp;_xlfn.ENCODEURL(W198),"Enviar felicitación"))</f>
        <v/>
      </c>
      <c r="Y198" s="10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>
        <f>IF(Y198="","",HYPERLINK("https://wa.me/52"&amp;C198&amp;"?text="&amp;_xlfn.ENCODEURL(Y198),"Enviar aniversario"))</f>
        <v/>
      </c>
      <c r="AA198" s="11" t="n"/>
      <c r="AB198" s="11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>
        <f>IFERROR(INDEX(Facturación!$Q:$Q,MATCH(B198,Facturación!$A:$A,0)),"")</f>
        <v/>
      </c>
    </row>
    <row r="199" ht="15" customHeight="1" s="1">
      <c r="A199" s="11">
        <f>IF(B199="","",ROW()-1)</f>
        <v/>
      </c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0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>
        <f>IF(Q199="","",HYPERLINK("https://wa.me/52"&amp;C199&amp;"?text="&amp;_xlfn.ENCODEURL(Q199),"Enviar Bienvenida"))</f>
        <v/>
      </c>
      <c r="S199" s="10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>
        <f>IF(S199="","",HYPERLINK("https://wa.me/52"&amp;C199&amp;"?text="&amp;_xlfn.ENCODEURL(S199),"Enviar Seguimiento"))</f>
        <v/>
      </c>
      <c r="U199" s="10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>
        <f>IF(U199="","",HYPERLINK("https://wa.me/52"&amp;C199&amp;"?text="&amp;_xlfn.ENCODEURL(U199),"Enviar aviso de etapa"))</f>
        <v/>
      </c>
      <c r="W199" s="10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>
        <f>IF(W199="","",HYPERLINK("https://wa.me/52"&amp;C199&amp;"?text="&amp;_xlfn.ENCODEURL(W199),"Enviar felicitación"))</f>
        <v/>
      </c>
      <c r="Y199" s="10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>
        <f>IF(Y199="","",HYPERLINK("https://wa.me/52"&amp;C199&amp;"?text="&amp;_xlfn.ENCODEURL(Y199),"Enviar aniversario"))</f>
        <v/>
      </c>
      <c r="AA199" s="11" t="n"/>
      <c r="AB199" s="11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>
        <f>IFERROR(INDEX(Facturación!$Q:$Q,MATCH(B199,Facturación!$A:$A,0)),"")</f>
        <v/>
      </c>
    </row>
    <row r="200" ht="15" customHeight="1" s="1">
      <c r="A200" s="11">
        <f>IF(B200="","",ROW()-1)</f>
        <v/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0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>
        <f>IF(Q200="","",HYPERLINK("https://wa.me/52"&amp;C200&amp;"?text="&amp;_xlfn.ENCODEURL(Q200),"Enviar Bienvenida"))</f>
        <v/>
      </c>
      <c r="S200" s="10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>
        <f>IF(S200="","",HYPERLINK("https://wa.me/52"&amp;C200&amp;"?text="&amp;_xlfn.ENCODEURL(S200),"Enviar Seguimiento"))</f>
        <v/>
      </c>
      <c r="U200" s="10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>
        <f>IF(U200="","",HYPERLINK("https://wa.me/52"&amp;C200&amp;"?text="&amp;_xlfn.ENCODEURL(U200),"Enviar aviso de etapa"))</f>
        <v/>
      </c>
      <c r="W200" s="10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>
        <f>IF(W200="","",HYPERLINK("https://wa.me/52"&amp;C200&amp;"?text="&amp;_xlfn.ENCODEURL(W200),"Enviar felicitación"))</f>
        <v/>
      </c>
      <c r="Y200" s="10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>
        <f>IF(Y200="","",HYPERLINK("https://wa.me/52"&amp;C200&amp;"?text="&amp;_xlfn.ENCODEURL(Y200),"Enviar aniversario"))</f>
        <v/>
      </c>
      <c r="AA200" s="11" t="n"/>
      <c r="AB200" s="11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>
        <f>IFERROR(INDEX(Facturación!$Q:$Q,MATCH(B200,Facturación!$A:$A,0)),"")</f>
        <v/>
      </c>
    </row>
    <row r="201" ht="15" customHeight="1" s="1">
      <c r="A201" s="11">
        <f>IF(B201="","",ROW()-1)</f>
        <v/>
      </c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0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>
        <f>IF(Q201="","",HYPERLINK("https://wa.me/52"&amp;C201&amp;"?text="&amp;_xlfn.ENCODEURL(Q201),"Enviar Bienvenida"))</f>
        <v/>
      </c>
      <c r="S201" s="10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>
        <f>IF(S201="","",HYPERLINK("https://wa.me/52"&amp;C201&amp;"?text="&amp;_xlfn.ENCODEURL(S201),"Enviar Seguimiento"))</f>
        <v/>
      </c>
      <c r="U201" s="10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>
        <f>IF(U201="","",HYPERLINK("https://wa.me/52"&amp;C201&amp;"?text="&amp;_xlfn.ENCODEURL(U201),"Enviar aviso de etapa"))</f>
        <v/>
      </c>
      <c r="W201" s="10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>
        <f>IF(W201="","",HYPERLINK("https://wa.me/52"&amp;C201&amp;"?text="&amp;_xlfn.ENCODEURL(W201),"Enviar felicitación"))</f>
        <v/>
      </c>
      <c r="Y201" s="10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>
        <f>IF(Y201="","",HYPERLINK("https://wa.me/52"&amp;C201&amp;"?text="&amp;_xlfn.ENCODEURL(Y201),"Enviar aniversario"))</f>
        <v/>
      </c>
      <c r="AA201" s="11" t="n"/>
      <c r="AB201" s="11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>
        <f>IFERROR(INDEX(Facturación!$Q:$Q,MATCH(B201,Facturación!$A:$A,0)),"")</f>
        <v/>
      </c>
    </row>
  </sheetData>
  <conditionalFormatting sqref="A2:P201">
    <cfRule type="expression" priority="2" dxfId="13">
      <formula>$M2="Prospecto / Visita"</formula>
    </cfRule>
    <cfRule type="expression" priority="3" dxfId="12">
      <formula>$M2="Apartado"</formula>
    </cfRule>
    <cfRule type="expression" priority="4" dxfId="11">
      <formula>$M2="Toma de vehículo"</formula>
    </cfRule>
    <cfRule type="expression" priority="5" dxfId="10">
      <formula>$M2="Pago vehículo a cuenta"</formula>
    </cfRule>
    <cfRule type="expression" priority="6" dxfId="9">
      <formula>$M2="Firma de contrato"</formula>
    </cfRule>
    <cfRule type="expression" priority="7" dxfId="8">
      <formula>$M2="Facturación"</formula>
    </cfRule>
    <cfRule type="expression" priority="8" dxfId="7">
      <formula>$M2="Programación de entrega"</formula>
    </cfRule>
    <cfRule type="expression" priority="9" dxfId="3">
      <formula>$M2="Entregado"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baseColWidth="8" defaultColWidth="8.7421875" defaultRowHeight="15"/>
  <cols>
    <col width="4.9765625" customWidth="1" style="1" min="1" max="1"/>
    <col width="22.05859375" customWidth="1" style="1" min="2" max="2"/>
    <col width="13.046875" customWidth="1" style="1" min="3" max="3"/>
    <col width="18.0234375" customWidth="1" style="1" min="4" max="4"/>
    <col width="16.0078125" customWidth="1" style="1" min="5" max="5"/>
    <col width="13.046875" customWidth="1" style="1" min="6" max="6"/>
    <col width="25.9609375" customWidth="1" style="1" min="7" max="7"/>
    <col width="23.9453125" customWidth="1" style="1" min="8" max="8"/>
    <col width="13.98828125" customWidth="1" style="1" min="9" max="9"/>
    <col width="7.93359375" customWidth="1" style="1" min="10" max="10"/>
    <col width="9.01171875" customWidth="1" style="1" min="11" max="11"/>
    <col width="13.046875" customWidth="1" style="1" min="12" max="12"/>
    <col width="9.953125" customWidth="1" style="1" min="13" max="13"/>
    <col width="25.9609375" customWidth="1" style="1" min="14" max="14"/>
    <col width="41.96875" customWidth="1" style="1" min="15" max="15"/>
    <col width="16.0078125" customWidth="1" style="1" min="16" max="16"/>
    <col hidden="1" width="9.953125" customWidth="1" style="1" min="17" max="17"/>
  </cols>
  <sheetData>
    <row r="1" ht="33.75" customHeight="1" s="1">
      <c r="A1" s="12" t="inlineStr">
        <is>
          <t>No.</t>
        </is>
      </c>
      <c r="B1" s="12" t="inlineStr">
        <is>
          <t>Cliente</t>
        </is>
      </c>
      <c r="C1" s="12" t="inlineStr">
        <is>
          <t>Teléfono</t>
        </is>
      </c>
      <c r="D1" s="12" t="inlineStr">
        <is>
          <t>Vehículo de Interés</t>
        </is>
      </c>
      <c r="E1" s="12" t="inlineStr">
        <is>
          <t>Etapa Actual</t>
        </is>
      </c>
      <c r="F1" s="12" t="inlineStr">
        <is>
          <t>Método de Compra</t>
        </is>
      </c>
      <c r="G1" s="12" t="inlineStr">
        <is>
          <t>Tipo de Persona</t>
        </is>
      </c>
      <c r="H1" s="12" t="inlineStr">
        <is>
          <t>Tipo de Acción</t>
        </is>
      </c>
      <c r="I1" s="12" t="inlineStr">
        <is>
          <t>Fecha Programada</t>
        </is>
      </c>
      <c r="J1" s="12" t="inlineStr">
        <is>
          <t>Hora</t>
        </is>
      </c>
      <c r="K1" s="12" t="inlineStr">
        <is>
          <t>Prioridad</t>
        </is>
      </c>
      <c r="L1" s="12" t="inlineStr">
        <is>
          <t>Estatus</t>
        </is>
      </c>
      <c r="M1" s="12" t="inlineStr">
        <is>
          <t>Días Restantes</t>
        </is>
      </c>
      <c r="N1" s="12" t="inlineStr">
        <is>
          <t>Notas</t>
        </is>
      </c>
      <c r="O1" s="12" t="inlineStr">
        <is>
          <t>Mensaje Generado</t>
        </is>
      </c>
      <c r="P1" s="12" t="inlineStr">
        <is>
          <t>Enviar por WhatsApp</t>
        </is>
      </c>
      <c r="Q1" s="12" t="inlineStr">
        <is>
          <t>Orden Mes</t>
        </is>
      </c>
    </row>
    <row r="2" ht="15" customHeight="1" s="1">
      <c r="A2" s="13">
        <f>IF(B2="","",ROW()-1)</f>
        <v/>
      </c>
      <c r="B2" s="14" t="inlineStr">
        <is>
          <t>Fernando Velasco</t>
        </is>
      </c>
      <c r="C2" s="13">
        <f>IFERROR(INDEX(Clientes!$C:$C,MATCH(B2,Clientes!$B:$B,0)),"")</f>
        <v/>
      </c>
      <c r="D2" s="14">
        <f>IFERROR(INDEX(Clientes!$D:$D,MATCH(B2,Clientes!$B:$B,0)),"")</f>
        <v/>
      </c>
      <c r="E2" s="14">
        <f>IFERROR(INDEX(Clientes!$M:$M,MATCH(B2,Clientes!$B:$B,0)),"")</f>
        <v/>
      </c>
      <c r="F2" s="14">
        <f>IFERROR(INDEX(Clientes!$F:$F,MATCH(B2,Clientes!$B:$B,0)),"")</f>
        <v/>
      </c>
      <c r="G2" s="14">
        <f>IFERROR(INDEX(Clientes!$G:$G,MATCH(B2,Clientes!$B:$B,0)),"")</f>
        <v/>
      </c>
      <c r="H2" s="14" t="inlineStr">
        <is>
          <t>Primera Visita</t>
        </is>
      </c>
      <c r="I2" s="15" t="n">
        <v>46329</v>
      </c>
      <c r="J2" s="16" t="n"/>
      <c r="K2" s="14" t="inlineStr">
        <is>
          <t>Media</t>
        </is>
      </c>
      <c r="L2" s="14" t="inlineStr">
        <is>
          <t>Pendiente</t>
        </is>
      </c>
      <c r="M2" s="13">
        <f>IF(I2="","",I2-TODAY())</f>
        <v/>
      </c>
      <c r="N2" s="14" t="inlineStr">
        <is>
          <t>Regresa de viaje en esas fechas</t>
        </is>
      </c>
      <c r="O2" s="14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/>
      </c>
      <c r="P2" s="13">
        <f>IF(OR(O2="",C2=""),"",HYPERLINK("https://wa.me/52"&amp;C2&amp;"?text="&amp;_xlfn.ENCODEURL(O2),"Enviar mensaje"))</f>
        <v/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/>
      </c>
    </row>
    <row r="3" ht="15" customHeight="1" s="1">
      <c r="A3" s="13">
        <f>IF(B3="","",ROW()-1)</f>
        <v/>
      </c>
      <c r="B3" s="14" t="inlineStr">
        <is>
          <t>Adalberto Rusiles</t>
        </is>
      </c>
      <c r="C3" s="13">
        <f>IFERROR(INDEX(Clientes!$C:$C,MATCH(B3,Clientes!$B:$B,0)),"")</f>
        <v/>
      </c>
      <c r="D3" s="14">
        <f>IFERROR(INDEX(Clientes!$D:$D,MATCH(B3,Clientes!$B:$B,0)),"")</f>
        <v/>
      </c>
      <c r="E3" s="14">
        <f>IFERROR(INDEX(Clientes!$M:$M,MATCH(B3,Clientes!$B:$B,0)),"")</f>
        <v/>
      </c>
      <c r="F3" s="14">
        <f>IFERROR(INDEX(Clientes!$F:$F,MATCH(B3,Clientes!$B:$B,0)),"")</f>
        <v/>
      </c>
      <c r="G3" s="14">
        <f>IFERROR(INDEX(Clientes!$G:$G,MATCH(B3,Clientes!$B:$B,0)),"")</f>
        <v/>
      </c>
      <c r="H3" s="14" t="inlineStr">
        <is>
          <t>Seguimiento a Interés</t>
        </is>
      </c>
      <c r="I3" s="15" t="n">
        <v>46259</v>
      </c>
      <c r="J3" s="16" t="n"/>
      <c r="K3" s="14" t="inlineStr">
        <is>
          <t>Baja</t>
        </is>
      </c>
      <c r="L3" s="14" t="inlineStr">
        <is>
          <t>Pendiente</t>
        </is>
      </c>
      <c r="M3" s="13">
        <f>IF(I3="","",I3-TODAY())</f>
        <v/>
      </c>
      <c r="N3" s="14" t="inlineStr">
        <is>
          <t>Desea pickup mas pequeña</t>
        </is>
      </c>
      <c r="O3" s="14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/>
      </c>
      <c r="P3" s="13">
        <f>IF(OR(O3="",C3=""),"",HYPERLINK("https://wa.me/52"&amp;C3&amp;"?text="&amp;_xlfn.ENCODEURL(O3),"Enviar mensaje"))</f>
        <v/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/>
      </c>
    </row>
    <row r="4" ht="15" customHeight="1" s="1">
      <c r="A4" s="13">
        <f>IF(B4="","",ROW()-1)</f>
        <v/>
      </c>
      <c r="B4" s="14" t="inlineStr">
        <is>
          <t>Miguel Corona</t>
        </is>
      </c>
      <c r="C4" s="13">
        <f>IFERROR(INDEX(Clientes!$C:$C,MATCH(B4,Clientes!$B:$B,0)),"")</f>
        <v/>
      </c>
      <c r="D4" s="14">
        <f>IFERROR(INDEX(Clientes!$D:$D,MATCH(B4,Clientes!$B:$B,0)),"")</f>
        <v/>
      </c>
      <c r="E4" s="14">
        <f>IFERROR(INDEX(Clientes!$M:$M,MATCH(B4,Clientes!$B:$B,0)),"")</f>
        <v/>
      </c>
      <c r="F4" s="14">
        <f>IFERROR(INDEX(Clientes!$F:$F,MATCH(B4,Clientes!$B:$B,0)),"")</f>
        <v/>
      </c>
      <c r="G4" s="14">
        <f>IFERROR(INDEX(Clientes!$G:$G,MATCH(B4,Clientes!$B:$B,0)),"")</f>
        <v/>
      </c>
      <c r="H4" s="14" t="inlineStr">
        <is>
          <t>Felicitación por Apartado</t>
        </is>
      </c>
      <c r="I4" s="15" t="n">
        <v>46253</v>
      </c>
      <c r="J4" s="16" t="n"/>
      <c r="K4" s="14" t="inlineStr">
        <is>
          <t>Alta</t>
        </is>
      </c>
      <c r="L4" s="14" t="inlineStr">
        <is>
          <t>Realizado</t>
        </is>
      </c>
      <c r="M4" s="13">
        <f>IF(I4="","",I4-TODAY())</f>
        <v/>
      </c>
      <c r="N4" s="14" t="inlineStr">
        <is>
          <t>Realizo apartado de XLE</t>
        </is>
      </c>
      <c r="O4" s="14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>
        <f>IF(OR(O4="",C4=""),"",HYPERLINK("https://wa.me/52"&amp;C4&amp;"?text="&amp;_xlfn.ENCODEURL(O4),"Enviar mensaje"))</f>
        <v/>
      </c>
      <c r="Q4" s="13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ht="15" customHeight="1" s="1">
      <c r="A5" s="13">
        <f>IF(B5="","",ROW()-1)</f>
        <v/>
      </c>
      <c r="B5" s="14" t="inlineStr">
        <is>
          <t>Alejandra Arzate</t>
        </is>
      </c>
      <c r="C5" s="13">
        <f>IFERROR(INDEX(Clientes!$C:$C,MATCH(B5,Clientes!$B:$B,0)),"")</f>
        <v/>
      </c>
      <c r="D5" s="14">
        <f>IFERROR(INDEX(Clientes!$D:$D,MATCH(B5,Clientes!$B:$B,0)),"")</f>
        <v/>
      </c>
      <c r="E5" s="14">
        <f>IFERROR(INDEX(Clientes!$M:$M,MATCH(B5,Clientes!$B:$B,0)),"")</f>
        <v/>
      </c>
      <c r="F5" s="14">
        <f>IFERROR(INDEX(Clientes!$F:$F,MATCH(B5,Clientes!$B:$B,0)),"")</f>
        <v/>
      </c>
      <c r="G5" s="14">
        <f>IFERROR(INDEX(Clientes!$G:$G,MATCH(B5,Clientes!$B:$B,0)),"")</f>
        <v/>
      </c>
      <c r="H5" s="14" t="inlineStr">
        <is>
          <t>Primera Visita</t>
        </is>
      </c>
      <c r="I5" s="15" t="n">
        <v>46256</v>
      </c>
      <c r="J5" s="16" t="n"/>
      <c r="K5" s="14" t="inlineStr">
        <is>
          <t>Media</t>
        </is>
      </c>
      <c r="L5" s="14" t="inlineStr">
        <is>
          <t>Pendiente</t>
        </is>
      </c>
      <c r="M5" s="13">
        <f>IF(I5="","",I5-TODAY())</f>
        <v/>
      </c>
      <c r="N5" s="14" t="inlineStr">
        <is>
          <t>Vienen de Jalpan</t>
        </is>
      </c>
      <c r="O5" s="14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/>
      </c>
      <c r="P5" s="13">
        <f>IF(OR(O5="",C5=""),"",HYPERLINK("https://wa.me/52"&amp;C5&amp;"?text="&amp;_xlfn.ENCODEURL(O5),"Enviar mensaje"))</f>
        <v/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/>
      </c>
    </row>
    <row r="6" ht="15" customHeight="1" s="1">
      <c r="A6" s="13">
        <f>IF(B6="","",ROW()-1)</f>
        <v/>
      </c>
      <c r="B6" s="14" t="inlineStr">
        <is>
          <t>Arelis Aguilar</t>
        </is>
      </c>
      <c r="C6" s="13">
        <f>IFERROR(INDEX(Clientes!$C:$C,MATCH(B6,Clientes!$B:$B,0)),"")</f>
        <v/>
      </c>
      <c r="D6" s="14">
        <f>IFERROR(INDEX(Clientes!$D:$D,MATCH(B6,Clientes!$B:$B,0)),"")</f>
        <v/>
      </c>
      <c r="E6" s="14">
        <f>IFERROR(INDEX(Clientes!$M:$M,MATCH(B6,Clientes!$B:$B,0)),"")</f>
        <v/>
      </c>
      <c r="F6" s="14">
        <f>IFERROR(INDEX(Clientes!$F:$F,MATCH(B6,Clientes!$B:$B,0)),"")</f>
        <v/>
      </c>
      <c r="G6" s="14">
        <f>IFERROR(INDEX(Clientes!$G:$G,MATCH(B6,Clientes!$B:$B,0)),"")</f>
        <v/>
      </c>
      <c r="H6" s="14" t="inlineStr">
        <is>
          <t>Primera Visita</t>
        </is>
      </c>
      <c r="I6" s="15" t="n">
        <v>46256</v>
      </c>
      <c r="J6" s="16" t="n"/>
      <c r="K6" s="14" t="inlineStr">
        <is>
          <t>Media</t>
        </is>
      </c>
      <c r="L6" s="14" t="inlineStr">
        <is>
          <t>Pendiente</t>
        </is>
      </c>
      <c r="M6" s="13">
        <f>IF(I6="","",I6-TODAY())</f>
        <v/>
      </c>
      <c r="N6" s="14" t="inlineStr">
        <is>
          <t>Validando entre sienna y corolla cross</t>
        </is>
      </c>
      <c r="O6" s="14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/>
      </c>
    </row>
    <row r="7" ht="15" customHeight="1" s="1">
      <c r="A7" s="13">
        <f>IF(B7="","",ROW()-1)</f>
        <v/>
      </c>
      <c r="B7" s="14" t="inlineStr">
        <is>
          <t>Jesus Gonzalez</t>
        </is>
      </c>
      <c r="C7" s="13">
        <f>IFERROR(INDEX(Clientes!$C:$C,MATCH(B7,Clientes!$B:$B,0)),"")</f>
        <v/>
      </c>
      <c r="D7" s="14">
        <f>IFERROR(INDEX(Clientes!$D:$D,MATCH(B7,Clientes!$B:$B,0)),"")</f>
        <v/>
      </c>
      <c r="E7" s="14">
        <f>IFERROR(INDEX(Clientes!$M:$M,MATCH(B7,Clientes!$B:$B,0)),"")</f>
        <v/>
      </c>
      <c r="F7" s="14">
        <f>IFERROR(INDEX(Clientes!$F:$F,MATCH(B7,Clientes!$B:$B,0)),"")</f>
        <v/>
      </c>
      <c r="G7" s="14">
        <f>IFERROR(INDEX(Clientes!$G:$G,MATCH(B7,Clientes!$B:$B,0)),"")</f>
        <v/>
      </c>
      <c r="H7" s="14" t="inlineStr">
        <is>
          <t>Primera Visita</t>
        </is>
      </c>
      <c r="I7" s="15" t="n">
        <v>46256</v>
      </c>
      <c r="J7" s="16" t="n"/>
      <c r="K7" s="14" t="inlineStr">
        <is>
          <t>Baja</t>
        </is>
      </c>
      <c r="L7" s="14" t="inlineStr">
        <is>
          <t>Pendiente</t>
        </is>
      </c>
      <c r="M7" s="13">
        <f>IF(I7="","",I7-TODAY())</f>
        <v/>
      </c>
      <c r="N7" s="14" t="inlineStr">
        <is>
          <t>Seguimiento a su interes</t>
        </is>
      </c>
      <c r="O7" s="14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/>
      </c>
      <c r="P7" s="13">
        <f>IF(OR(O7="",C7=""),"",HYPERLINK("https://wa.me/52"&amp;C7&amp;"?text="&amp;_xlfn.ENCODEURL(O7),"Enviar mensaje"))</f>
        <v/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/>
      </c>
    </row>
    <row r="8" ht="15" customHeight="1" s="1">
      <c r="A8" s="13">
        <f>IF(B8="","",ROW()-1)</f>
        <v/>
      </c>
      <c r="B8" s="14" t="inlineStr">
        <is>
          <t>Elias Hernandez</t>
        </is>
      </c>
      <c r="C8" s="13">
        <f>IFERROR(INDEX(Clientes!$C:$C,MATCH(B8,Clientes!$B:$B,0)),"")</f>
        <v/>
      </c>
      <c r="D8" s="14">
        <f>IFERROR(INDEX(Clientes!$D:$D,MATCH(B8,Clientes!$B:$B,0)),"")</f>
        <v/>
      </c>
      <c r="E8" s="14">
        <f>IFERROR(INDEX(Clientes!$M:$M,MATCH(B8,Clientes!$B:$B,0)),"")</f>
        <v/>
      </c>
      <c r="F8" s="14">
        <f>IFERROR(INDEX(Clientes!$F:$F,MATCH(B8,Clientes!$B:$B,0)),"")</f>
        <v/>
      </c>
      <c r="G8" s="14">
        <f>IFERROR(INDEX(Clientes!$G:$G,MATCH(B8,Clientes!$B:$B,0)),"")</f>
        <v/>
      </c>
      <c r="H8" s="14" t="inlineStr">
        <is>
          <t>Requisitos (Crédito/Contado)</t>
        </is>
      </c>
      <c r="I8" s="15" t="n">
        <v>46254</v>
      </c>
      <c r="J8" s="16" t="n"/>
      <c r="K8" s="14" t="inlineStr">
        <is>
          <t>Alta</t>
        </is>
      </c>
      <c r="L8" s="14" t="inlineStr">
        <is>
          <t>Pendiente</t>
        </is>
      </c>
      <c r="M8" s="13">
        <f>IF(I8="","",I8-TODAY())</f>
        <v/>
      </c>
      <c r="N8" s="14" t="inlineStr">
        <is>
          <t>En espera de docmuentos</t>
        </is>
      </c>
      <c r="O8" s="14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/>
      </c>
      <c r="P8" s="13">
        <f>IF(OR(O8="",C8=""),"",HYPERLINK("https://wa.me/52"&amp;C8&amp;"?text="&amp;_xlfn.ENCODEURL(O8),"Enviar mensaje"))</f>
        <v/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/>
      </c>
    </row>
    <row r="9" ht="15" customHeight="1" s="1">
      <c r="A9" s="13">
        <f>IF(B9="","",ROW()-1)</f>
        <v/>
      </c>
      <c r="B9" s="14" t="n"/>
      <c r="C9" s="13">
        <f>IFERROR(INDEX(Clientes!$C:$C,MATCH(B9,Clientes!$B:$B,0)),"")</f>
        <v/>
      </c>
      <c r="D9" s="14">
        <f>IFERROR(INDEX(Clientes!$D:$D,MATCH(B9,Clientes!$B:$B,0)),"")</f>
        <v/>
      </c>
      <c r="E9" s="14">
        <f>IFERROR(INDEX(Clientes!$M:$M,MATCH(B9,Clientes!$B:$B,0)),"")</f>
        <v/>
      </c>
      <c r="F9" s="14">
        <f>IFERROR(INDEX(Clientes!$F:$F,MATCH(B9,Clientes!$B:$B,0)),"")</f>
        <v/>
      </c>
      <c r="G9" s="14">
        <f>IFERROR(INDEX(Clientes!$G:$G,MATCH(B9,Clientes!$B:$B,0)),"")</f>
        <v/>
      </c>
      <c r="H9" s="14" t="n"/>
      <c r="I9" s="15" t="n"/>
      <c r="J9" s="16" t="n"/>
      <c r="K9" s="14" t="n"/>
      <c r="L9" s="14" t="n"/>
      <c r="M9" s="13">
        <f>IF(I9="","",I9-TODAY())</f>
        <v/>
      </c>
      <c r="N9" s="14" t="n"/>
      <c r="O9" s="14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>
        <f>IF(OR(O9="",C9=""),"",HYPERLINK("https://wa.me/52"&amp;C9&amp;"?text="&amp;_xlfn.ENCODEURL(O9),"Enviar mensaje"))</f>
        <v/>
      </c>
      <c r="Q9" s="13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ht="15" customHeight="1" s="1">
      <c r="A10" s="13">
        <f>IF(B10="","",ROW()-1)</f>
        <v/>
      </c>
      <c r="B10" s="14" t="n"/>
      <c r="C10" s="13">
        <f>IFERROR(INDEX(Clientes!$C:$C,MATCH(B10,Clientes!$B:$B,0)),"")</f>
        <v/>
      </c>
      <c r="D10" s="14">
        <f>IFERROR(INDEX(Clientes!$D:$D,MATCH(B10,Clientes!$B:$B,0)),"")</f>
        <v/>
      </c>
      <c r="E10" s="14">
        <f>IFERROR(INDEX(Clientes!$M:$M,MATCH(B10,Clientes!$B:$B,0)),"")</f>
        <v/>
      </c>
      <c r="F10" s="14">
        <f>IFERROR(INDEX(Clientes!$F:$F,MATCH(B10,Clientes!$B:$B,0)),"")</f>
        <v/>
      </c>
      <c r="G10" s="14">
        <f>IFERROR(INDEX(Clientes!$G:$G,MATCH(B10,Clientes!$B:$B,0)),"")</f>
        <v/>
      </c>
      <c r="H10" s="14" t="n"/>
      <c r="I10" s="15" t="n"/>
      <c r="J10" s="16" t="n"/>
      <c r="K10" s="14" t="n"/>
      <c r="L10" s="14" t="n"/>
      <c r="M10" s="13">
        <f>IF(I10="","",I10-TODAY())</f>
        <v/>
      </c>
      <c r="N10" s="14" t="n"/>
      <c r="O10" s="14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>
        <f>IF(OR(O10="",C10=""),"",HYPERLINK("https://wa.me/52"&amp;C10&amp;"?text="&amp;_xlfn.ENCODEURL(O10),"Enviar mensaje"))</f>
        <v/>
      </c>
      <c r="Q10" s="13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ht="15" customHeight="1" s="1">
      <c r="A11" s="13">
        <f>IF(B11="","",ROW()-1)</f>
        <v/>
      </c>
      <c r="B11" s="14" t="n"/>
      <c r="C11" s="13">
        <f>IFERROR(INDEX(Clientes!$C:$C,MATCH(B11,Clientes!$B:$B,0)),"")</f>
        <v/>
      </c>
      <c r="D11" s="14">
        <f>IFERROR(INDEX(Clientes!$D:$D,MATCH(B11,Clientes!$B:$B,0)),"")</f>
        <v/>
      </c>
      <c r="E11" s="14">
        <f>IFERROR(INDEX(Clientes!$M:$M,MATCH(B11,Clientes!$B:$B,0)),"")</f>
        <v/>
      </c>
      <c r="F11" s="14">
        <f>IFERROR(INDEX(Clientes!$F:$F,MATCH(B11,Clientes!$B:$B,0)),"")</f>
        <v/>
      </c>
      <c r="G11" s="14">
        <f>IFERROR(INDEX(Clientes!$G:$G,MATCH(B11,Clientes!$B:$B,0)),"")</f>
        <v/>
      </c>
      <c r="H11" s="14" t="n"/>
      <c r="I11" s="15" t="n"/>
      <c r="J11" s="16" t="n"/>
      <c r="K11" s="14" t="n"/>
      <c r="L11" s="14" t="n"/>
      <c r="M11" s="13">
        <f>IF(I11="","",I11-TODAY())</f>
        <v/>
      </c>
      <c r="N11" s="14" t="n"/>
      <c r="O11" s="14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>
        <f>IF(OR(O11="",C11=""),"",HYPERLINK("https://wa.me/52"&amp;C11&amp;"?text="&amp;_xlfn.ENCODEURL(O11),"Enviar mensaje"))</f>
        <v/>
      </c>
      <c r="Q11" s="13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ht="15" customHeight="1" s="1">
      <c r="A12" s="13">
        <f>IF(B12="","",ROW()-1)</f>
        <v/>
      </c>
      <c r="B12" s="14" t="n"/>
      <c r="C12" s="13">
        <f>IFERROR(INDEX(Clientes!$C:$C,MATCH(B12,Clientes!$B:$B,0)),"")</f>
        <v/>
      </c>
      <c r="D12" s="14">
        <f>IFERROR(INDEX(Clientes!$D:$D,MATCH(B12,Clientes!$B:$B,0)),"")</f>
        <v/>
      </c>
      <c r="E12" s="14">
        <f>IFERROR(INDEX(Clientes!$M:$M,MATCH(B12,Clientes!$B:$B,0)),"")</f>
        <v/>
      </c>
      <c r="F12" s="14">
        <f>IFERROR(INDEX(Clientes!$F:$F,MATCH(B12,Clientes!$B:$B,0)),"")</f>
        <v/>
      </c>
      <c r="G12" s="14">
        <f>IFERROR(INDEX(Clientes!$G:$G,MATCH(B12,Clientes!$B:$B,0)),"")</f>
        <v/>
      </c>
      <c r="H12" s="14" t="n"/>
      <c r="I12" s="15" t="n"/>
      <c r="J12" s="16" t="n"/>
      <c r="K12" s="14" t="n"/>
      <c r="L12" s="14" t="n"/>
      <c r="M12" s="13">
        <f>IF(I12="","",I12-TODAY())</f>
        <v/>
      </c>
      <c r="N12" s="14" t="n"/>
      <c r="O12" s="14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>
        <f>IF(OR(O12="",C12=""),"",HYPERLINK("https://wa.me/52"&amp;C12&amp;"?text="&amp;_xlfn.ENCODEURL(O12),"Enviar mensaje"))</f>
        <v/>
      </c>
      <c r="Q12" s="13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ht="15" customHeight="1" s="1">
      <c r="A13" s="13">
        <f>IF(B13="","",ROW()-1)</f>
        <v/>
      </c>
      <c r="B13" s="14" t="n"/>
      <c r="C13" s="13">
        <f>IFERROR(INDEX(Clientes!$C:$C,MATCH(B13,Clientes!$B:$B,0)),"")</f>
        <v/>
      </c>
      <c r="D13" s="14">
        <f>IFERROR(INDEX(Clientes!$D:$D,MATCH(B13,Clientes!$B:$B,0)),"")</f>
        <v/>
      </c>
      <c r="E13" s="14">
        <f>IFERROR(INDEX(Clientes!$M:$M,MATCH(B13,Clientes!$B:$B,0)),"")</f>
        <v/>
      </c>
      <c r="F13" s="14">
        <f>IFERROR(INDEX(Clientes!$F:$F,MATCH(B13,Clientes!$B:$B,0)),"")</f>
        <v/>
      </c>
      <c r="G13" s="14">
        <f>IFERROR(INDEX(Clientes!$G:$G,MATCH(B13,Clientes!$B:$B,0)),"")</f>
        <v/>
      </c>
      <c r="H13" s="14" t="n"/>
      <c r="I13" s="15" t="n"/>
      <c r="J13" s="16" t="n"/>
      <c r="K13" s="14" t="n"/>
      <c r="L13" s="14" t="n"/>
      <c r="M13" s="13">
        <f>IF(I13="","",I13-TODAY())</f>
        <v/>
      </c>
      <c r="N13" s="14" t="n"/>
      <c r="O13" s="14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>
        <f>IF(OR(O13="",C13=""),"",HYPERLINK("https://wa.me/52"&amp;C13&amp;"?text="&amp;_xlfn.ENCODEURL(O13),"Enviar mensaje"))</f>
        <v/>
      </c>
      <c r="Q13" s="13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ht="15" customHeight="1" s="1">
      <c r="A14" s="13">
        <f>IF(B14="","",ROW()-1)</f>
        <v/>
      </c>
      <c r="B14" s="14" t="n"/>
      <c r="C14" s="13">
        <f>IFERROR(INDEX(Clientes!$C:$C,MATCH(B14,Clientes!$B:$B,0)),"")</f>
        <v/>
      </c>
      <c r="D14" s="14">
        <f>IFERROR(INDEX(Clientes!$D:$D,MATCH(B14,Clientes!$B:$B,0)),"")</f>
        <v/>
      </c>
      <c r="E14" s="14">
        <f>IFERROR(INDEX(Clientes!$M:$M,MATCH(B14,Clientes!$B:$B,0)),"")</f>
        <v/>
      </c>
      <c r="F14" s="14">
        <f>IFERROR(INDEX(Clientes!$F:$F,MATCH(B14,Clientes!$B:$B,0)),"")</f>
        <v/>
      </c>
      <c r="G14" s="14">
        <f>IFERROR(INDEX(Clientes!$G:$G,MATCH(B14,Clientes!$B:$B,0)),"")</f>
        <v/>
      </c>
      <c r="H14" s="14" t="n"/>
      <c r="I14" s="15" t="n"/>
      <c r="J14" s="16" t="n"/>
      <c r="K14" s="14" t="n"/>
      <c r="L14" s="14" t="n"/>
      <c r="M14" s="13">
        <f>IF(I14="","",I14-TODAY())</f>
        <v/>
      </c>
      <c r="N14" s="14" t="n"/>
      <c r="O14" s="14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>
        <f>IF(OR(O14="",C14=""),"",HYPERLINK("https://wa.me/52"&amp;C14&amp;"?text="&amp;_xlfn.ENCODEURL(O14),"Enviar mensaje"))</f>
        <v/>
      </c>
      <c r="Q14" s="13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ht="15" customHeight="1" s="1">
      <c r="A15" s="13">
        <f>IF(B15="","",ROW()-1)</f>
        <v/>
      </c>
      <c r="B15" s="14" t="n"/>
      <c r="C15" s="13">
        <f>IFERROR(INDEX(Clientes!$C:$C,MATCH(B15,Clientes!$B:$B,0)),"")</f>
        <v/>
      </c>
      <c r="D15" s="14">
        <f>IFERROR(INDEX(Clientes!$D:$D,MATCH(B15,Clientes!$B:$B,0)),"")</f>
        <v/>
      </c>
      <c r="E15" s="14">
        <f>IFERROR(INDEX(Clientes!$M:$M,MATCH(B15,Clientes!$B:$B,0)),"")</f>
        <v/>
      </c>
      <c r="F15" s="14">
        <f>IFERROR(INDEX(Clientes!$F:$F,MATCH(B15,Clientes!$B:$B,0)),"")</f>
        <v/>
      </c>
      <c r="G15" s="14">
        <f>IFERROR(INDEX(Clientes!$G:$G,MATCH(B15,Clientes!$B:$B,0)),"")</f>
        <v/>
      </c>
      <c r="H15" s="14" t="n"/>
      <c r="I15" s="15" t="n"/>
      <c r="J15" s="16" t="n"/>
      <c r="K15" s="14" t="n"/>
      <c r="L15" s="14" t="n"/>
      <c r="M15" s="13">
        <f>IF(I15="","",I15-TODAY())</f>
        <v/>
      </c>
      <c r="N15" s="14" t="n"/>
      <c r="O15" s="14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>
        <f>IF(OR(O15="",C15=""),"",HYPERLINK("https://wa.me/52"&amp;C15&amp;"?text="&amp;_xlfn.ENCODEURL(O15),"Enviar mensaje"))</f>
        <v/>
      </c>
      <c r="Q15" s="13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ht="15" customHeight="1" s="1">
      <c r="A16" s="13">
        <f>IF(B16="","",ROW()-1)</f>
        <v/>
      </c>
      <c r="B16" s="14" t="n"/>
      <c r="C16" s="13">
        <f>IFERROR(INDEX(Clientes!$C:$C,MATCH(B16,Clientes!$B:$B,0)),"")</f>
        <v/>
      </c>
      <c r="D16" s="14">
        <f>IFERROR(INDEX(Clientes!$D:$D,MATCH(B16,Clientes!$B:$B,0)),"")</f>
        <v/>
      </c>
      <c r="E16" s="14">
        <f>IFERROR(INDEX(Clientes!$M:$M,MATCH(B16,Clientes!$B:$B,0)),"")</f>
        <v/>
      </c>
      <c r="F16" s="14">
        <f>IFERROR(INDEX(Clientes!$F:$F,MATCH(B16,Clientes!$B:$B,0)),"")</f>
        <v/>
      </c>
      <c r="G16" s="14">
        <f>IFERROR(INDEX(Clientes!$G:$G,MATCH(B16,Clientes!$B:$B,0)),"")</f>
        <v/>
      </c>
      <c r="H16" s="14" t="n"/>
      <c r="I16" s="15" t="n"/>
      <c r="J16" s="16" t="n"/>
      <c r="K16" s="14" t="n"/>
      <c r="L16" s="14" t="n"/>
      <c r="M16" s="13">
        <f>IF(I16="","",I16-TODAY())</f>
        <v/>
      </c>
      <c r="N16" s="14" t="n"/>
      <c r="O16" s="14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>
        <f>IF(OR(O16="",C16=""),"",HYPERLINK("https://wa.me/52"&amp;C16&amp;"?text="&amp;_xlfn.ENCODEURL(O16),"Enviar mensaje"))</f>
        <v/>
      </c>
      <c r="Q16" s="13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ht="15" customHeight="1" s="1">
      <c r="A17" s="13">
        <f>IF(B17="","",ROW()-1)</f>
        <v/>
      </c>
      <c r="B17" s="14" t="n"/>
      <c r="C17" s="13">
        <f>IFERROR(INDEX(Clientes!$C:$C,MATCH(B17,Clientes!$B:$B,0)),"")</f>
        <v/>
      </c>
      <c r="D17" s="14">
        <f>IFERROR(INDEX(Clientes!$D:$D,MATCH(B17,Clientes!$B:$B,0)),"")</f>
        <v/>
      </c>
      <c r="E17" s="14">
        <f>IFERROR(INDEX(Clientes!$M:$M,MATCH(B17,Clientes!$B:$B,0)),"")</f>
        <v/>
      </c>
      <c r="F17" s="14">
        <f>IFERROR(INDEX(Clientes!$F:$F,MATCH(B17,Clientes!$B:$B,0)),"")</f>
        <v/>
      </c>
      <c r="G17" s="14">
        <f>IFERROR(INDEX(Clientes!$G:$G,MATCH(B17,Clientes!$B:$B,0)),"")</f>
        <v/>
      </c>
      <c r="H17" s="14" t="n"/>
      <c r="I17" s="15" t="n"/>
      <c r="J17" s="16" t="n"/>
      <c r="K17" s="14" t="n"/>
      <c r="L17" s="14" t="n"/>
      <c r="M17" s="13">
        <f>IF(I17="","",I17-TODAY())</f>
        <v/>
      </c>
      <c r="N17" s="14" t="n"/>
      <c r="O17" s="14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>
        <f>IF(OR(O17="",C17=""),"",HYPERLINK("https://wa.me/52"&amp;C17&amp;"?text="&amp;_xlfn.ENCODEURL(O17),"Enviar mensaje"))</f>
        <v/>
      </c>
      <c r="Q17" s="13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ht="15" customHeight="1" s="1">
      <c r="A18" s="13">
        <f>IF(B18="","",ROW()-1)</f>
        <v/>
      </c>
      <c r="B18" s="14" t="n"/>
      <c r="C18" s="13">
        <f>IFERROR(INDEX(Clientes!$C:$C,MATCH(B18,Clientes!$B:$B,0)),"")</f>
        <v/>
      </c>
      <c r="D18" s="14">
        <f>IFERROR(INDEX(Clientes!$D:$D,MATCH(B18,Clientes!$B:$B,0)),"")</f>
        <v/>
      </c>
      <c r="E18" s="14">
        <f>IFERROR(INDEX(Clientes!$M:$M,MATCH(B18,Clientes!$B:$B,0)),"")</f>
        <v/>
      </c>
      <c r="F18" s="14">
        <f>IFERROR(INDEX(Clientes!$F:$F,MATCH(B18,Clientes!$B:$B,0)),"")</f>
        <v/>
      </c>
      <c r="G18" s="14">
        <f>IFERROR(INDEX(Clientes!$G:$G,MATCH(B18,Clientes!$B:$B,0)),"")</f>
        <v/>
      </c>
      <c r="H18" s="14" t="n"/>
      <c r="I18" s="15" t="n"/>
      <c r="J18" s="16" t="n"/>
      <c r="K18" s="14" t="n"/>
      <c r="L18" s="14" t="n"/>
      <c r="M18" s="13">
        <f>IF(I18="","",I18-TODAY())</f>
        <v/>
      </c>
      <c r="N18" s="14" t="n"/>
      <c r="O18" s="14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>
        <f>IF(OR(O18="",C18=""),"",HYPERLINK("https://wa.me/52"&amp;C18&amp;"?text="&amp;_xlfn.ENCODEURL(O18),"Enviar mensaje"))</f>
        <v/>
      </c>
      <c r="Q18" s="13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ht="15" customHeight="1" s="1">
      <c r="A19" s="13">
        <f>IF(B19="","",ROW()-1)</f>
        <v/>
      </c>
      <c r="B19" s="14" t="n"/>
      <c r="C19" s="13">
        <f>IFERROR(INDEX(Clientes!$C:$C,MATCH(B19,Clientes!$B:$B,0)),"")</f>
        <v/>
      </c>
      <c r="D19" s="14">
        <f>IFERROR(INDEX(Clientes!$D:$D,MATCH(B19,Clientes!$B:$B,0)),"")</f>
        <v/>
      </c>
      <c r="E19" s="14">
        <f>IFERROR(INDEX(Clientes!$M:$M,MATCH(B19,Clientes!$B:$B,0)),"")</f>
        <v/>
      </c>
      <c r="F19" s="14">
        <f>IFERROR(INDEX(Clientes!$F:$F,MATCH(B19,Clientes!$B:$B,0)),"")</f>
        <v/>
      </c>
      <c r="G19" s="14">
        <f>IFERROR(INDEX(Clientes!$G:$G,MATCH(B19,Clientes!$B:$B,0)),"")</f>
        <v/>
      </c>
      <c r="H19" s="14" t="n"/>
      <c r="I19" s="15" t="n"/>
      <c r="J19" s="16" t="n"/>
      <c r="K19" s="14" t="n"/>
      <c r="L19" s="14" t="n"/>
      <c r="M19" s="13">
        <f>IF(I19="","",I19-TODAY())</f>
        <v/>
      </c>
      <c r="N19" s="14" t="n"/>
      <c r="O19" s="14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>
        <f>IF(OR(O19="",C19=""),"",HYPERLINK("https://wa.me/52"&amp;C19&amp;"?text="&amp;_xlfn.ENCODEURL(O19),"Enviar mensaje"))</f>
        <v/>
      </c>
      <c r="Q19" s="13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ht="15" customHeight="1" s="1">
      <c r="A20" s="13">
        <f>IF(B20="","",ROW()-1)</f>
        <v/>
      </c>
      <c r="B20" s="14" t="n"/>
      <c r="C20" s="13">
        <f>IFERROR(INDEX(Clientes!$C:$C,MATCH(B20,Clientes!$B:$B,0)),"")</f>
        <v/>
      </c>
      <c r="D20" s="14">
        <f>IFERROR(INDEX(Clientes!$D:$D,MATCH(B20,Clientes!$B:$B,0)),"")</f>
        <v/>
      </c>
      <c r="E20" s="14">
        <f>IFERROR(INDEX(Clientes!$M:$M,MATCH(B20,Clientes!$B:$B,0)),"")</f>
        <v/>
      </c>
      <c r="F20" s="14">
        <f>IFERROR(INDEX(Clientes!$F:$F,MATCH(B20,Clientes!$B:$B,0)),"")</f>
        <v/>
      </c>
      <c r="G20" s="14">
        <f>IFERROR(INDEX(Clientes!$G:$G,MATCH(B20,Clientes!$B:$B,0)),"")</f>
        <v/>
      </c>
      <c r="H20" s="14" t="n"/>
      <c r="I20" s="15" t="n"/>
      <c r="J20" s="16" t="n"/>
      <c r="K20" s="14" t="n"/>
      <c r="L20" s="14" t="n"/>
      <c r="M20" s="13">
        <f>IF(I20="","",I20-TODAY())</f>
        <v/>
      </c>
      <c r="N20" s="14" t="n"/>
      <c r="O20" s="14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>
        <f>IF(OR(O20="",C20=""),"",HYPERLINK("https://wa.me/52"&amp;C20&amp;"?text="&amp;_xlfn.ENCODEURL(O20),"Enviar mensaje"))</f>
        <v/>
      </c>
      <c r="Q20" s="13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ht="15" customHeight="1" s="1">
      <c r="A21" s="13">
        <f>IF(B21="","",ROW()-1)</f>
        <v/>
      </c>
      <c r="B21" s="14" t="n"/>
      <c r="C21" s="13">
        <f>IFERROR(INDEX(Clientes!$C:$C,MATCH(B21,Clientes!$B:$B,0)),"")</f>
        <v/>
      </c>
      <c r="D21" s="14">
        <f>IFERROR(INDEX(Clientes!$D:$D,MATCH(B21,Clientes!$B:$B,0)),"")</f>
        <v/>
      </c>
      <c r="E21" s="14">
        <f>IFERROR(INDEX(Clientes!$M:$M,MATCH(B21,Clientes!$B:$B,0)),"")</f>
        <v/>
      </c>
      <c r="F21" s="14">
        <f>IFERROR(INDEX(Clientes!$F:$F,MATCH(B21,Clientes!$B:$B,0)),"")</f>
        <v/>
      </c>
      <c r="G21" s="14">
        <f>IFERROR(INDEX(Clientes!$G:$G,MATCH(B21,Clientes!$B:$B,0)),"")</f>
        <v/>
      </c>
      <c r="H21" s="14" t="n"/>
      <c r="I21" s="15" t="n"/>
      <c r="J21" s="16" t="n"/>
      <c r="K21" s="14" t="n"/>
      <c r="L21" s="14" t="n"/>
      <c r="M21" s="13">
        <f>IF(I21="","",I21-TODAY())</f>
        <v/>
      </c>
      <c r="N21" s="14" t="n"/>
      <c r="O21" s="14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>
        <f>IF(OR(O21="",C21=""),"",HYPERLINK("https://wa.me/52"&amp;C21&amp;"?text="&amp;_xlfn.ENCODEURL(O21),"Enviar mensaje"))</f>
        <v/>
      </c>
      <c r="Q21" s="13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ht="15" customHeight="1" s="1">
      <c r="A22" s="13">
        <f>IF(B22="","",ROW()-1)</f>
        <v/>
      </c>
      <c r="B22" s="14" t="n"/>
      <c r="C22" s="13">
        <f>IFERROR(INDEX(Clientes!$C:$C,MATCH(B22,Clientes!$B:$B,0)),"")</f>
        <v/>
      </c>
      <c r="D22" s="14">
        <f>IFERROR(INDEX(Clientes!$D:$D,MATCH(B22,Clientes!$B:$B,0)),"")</f>
        <v/>
      </c>
      <c r="E22" s="14">
        <f>IFERROR(INDEX(Clientes!$M:$M,MATCH(B22,Clientes!$B:$B,0)),"")</f>
        <v/>
      </c>
      <c r="F22" s="14">
        <f>IFERROR(INDEX(Clientes!$F:$F,MATCH(B22,Clientes!$B:$B,0)),"")</f>
        <v/>
      </c>
      <c r="G22" s="14">
        <f>IFERROR(INDEX(Clientes!$G:$G,MATCH(B22,Clientes!$B:$B,0)),"")</f>
        <v/>
      </c>
      <c r="H22" s="14" t="n"/>
      <c r="I22" s="15" t="n"/>
      <c r="J22" s="16" t="n"/>
      <c r="K22" s="14" t="n"/>
      <c r="L22" s="14" t="n"/>
      <c r="M22" s="13">
        <f>IF(I22="","",I22-TODAY())</f>
        <v/>
      </c>
      <c r="N22" s="14" t="n"/>
      <c r="O22" s="14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>
        <f>IF(OR(O22="",C22=""),"",HYPERLINK("https://wa.me/52"&amp;C22&amp;"?text="&amp;_xlfn.ENCODEURL(O22),"Enviar mensaje"))</f>
        <v/>
      </c>
      <c r="Q22" s="13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ht="15" customHeight="1" s="1">
      <c r="A23" s="13">
        <f>IF(B23="","",ROW()-1)</f>
        <v/>
      </c>
      <c r="B23" s="14" t="n"/>
      <c r="C23" s="13">
        <f>IFERROR(INDEX(Clientes!$C:$C,MATCH(B23,Clientes!$B:$B,0)),"")</f>
        <v/>
      </c>
      <c r="D23" s="14">
        <f>IFERROR(INDEX(Clientes!$D:$D,MATCH(B23,Clientes!$B:$B,0)),"")</f>
        <v/>
      </c>
      <c r="E23" s="14">
        <f>IFERROR(INDEX(Clientes!$M:$M,MATCH(B23,Clientes!$B:$B,0)),"")</f>
        <v/>
      </c>
      <c r="F23" s="14">
        <f>IFERROR(INDEX(Clientes!$F:$F,MATCH(B23,Clientes!$B:$B,0)),"")</f>
        <v/>
      </c>
      <c r="G23" s="14">
        <f>IFERROR(INDEX(Clientes!$G:$G,MATCH(B23,Clientes!$B:$B,0)),"")</f>
        <v/>
      </c>
      <c r="H23" s="14" t="n"/>
      <c r="I23" s="15" t="n"/>
      <c r="J23" s="16" t="n"/>
      <c r="K23" s="14" t="n"/>
      <c r="L23" s="14" t="n"/>
      <c r="M23" s="13">
        <f>IF(I23="","",I23-TODAY())</f>
        <v/>
      </c>
      <c r="N23" s="14" t="n"/>
      <c r="O23" s="14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>
        <f>IF(OR(O23="",C23=""),"",HYPERLINK("https://wa.me/52"&amp;C23&amp;"?text="&amp;_xlfn.ENCODEURL(O23),"Enviar mensaje"))</f>
        <v/>
      </c>
      <c r="Q23" s="13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ht="15" customHeight="1" s="1">
      <c r="A24" s="13">
        <f>IF(B24="","",ROW()-1)</f>
        <v/>
      </c>
      <c r="B24" s="14" t="n"/>
      <c r="C24" s="13">
        <f>IFERROR(INDEX(Clientes!$C:$C,MATCH(B24,Clientes!$B:$B,0)),"")</f>
        <v/>
      </c>
      <c r="D24" s="14">
        <f>IFERROR(INDEX(Clientes!$D:$D,MATCH(B24,Clientes!$B:$B,0)),"")</f>
        <v/>
      </c>
      <c r="E24" s="14">
        <f>IFERROR(INDEX(Clientes!$M:$M,MATCH(B24,Clientes!$B:$B,0)),"")</f>
        <v/>
      </c>
      <c r="F24" s="14">
        <f>IFERROR(INDEX(Clientes!$F:$F,MATCH(B24,Clientes!$B:$B,0)),"")</f>
        <v/>
      </c>
      <c r="G24" s="14">
        <f>IFERROR(INDEX(Clientes!$G:$G,MATCH(B24,Clientes!$B:$B,0)),"")</f>
        <v/>
      </c>
      <c r="H24" s="14" t="n"/>
      <c r="I24" s="15" t="n"/>
      <c r="J24" s="16" t="n"/>
      <c r="K24" s="14" t="n"/>
      <c r="L24" s="14" t="n"/>
      <c r="M24" s="13">
        <f>IF(I24="","",I24-TODAY())</f>
        <v/>
      </c>
      <c r="N24" s="14" t="n"/>
      <c r="O24" s="14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>
        <f>IF(OR(O24="",C24=""),"",HYPERLINK("https://wa.me/52"&amp;C24&amp;"?text="&amp;_xlfn.ENCODEURL(O24),"Enviar mensaje"))</f>
        <v/>
      </c>
      <c r="Q24" s="13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ht="15" customHeight="1" s="1">
      <c r="A25" s="13">
        <f>IF(B25="","",ROW()-1)</f>
        <v/>
      </c>
      <c r="B25" s="14" t="n"/>
      <c r="C25" s="13">
        <f>IFERROR(INDEX(Clientes!$C:$C,MATCH(B25,Clientes!$B:$B,0)),"")</f>
        <v/>
      </c>
      <c r="D25" s="14">
        <f>IFERROR(INDEX(Clientes!$D:$D,MATCH(B25,Clientes!$B:$B,0)),"")</f>
        <v/>
      </c>
      <c r="E25" s="14">
        <f>IFERROR(INDEX(Clientes!$M:$M,MATCH(B25,Clientes!$B:$B,0)),"")</f>
        <v/>
      </c>
      <c r="F25" s="14">
        <f>IFERROR(INDEX(Clientes!$F:$F,MATCH(B25,Clientes!$B:$B,0)),"")</f>
        <v/>
      </c>
      <c r="G25" s="14">
        <f>IFERROR(INDEX(Clientes!$G:$G,MATCH(B25,Clientes!$B:$B,0)),"")</f>
        <v/>
      </c>
      <c r="H25" s="14" t="n"/>
      <c r="I25" s="15" t="n"/>
      <c r="J25" s="16" t="n"/>
      <c r="K25" s="14" t="n"/>
      <c r="L25" s="14" t="n"/>
      <c r="M25" s="13">
        <f>IF(I25="","",I25-TODAY())</f>
        <v/>
      </c>
      <c r="N25" s="14" t="n"/>
      <c r="O25" s="14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>
        <f>IF(OR(O25="",C25=""),"",HYPERLINK("https://wa.me/52"&amp;C25&amp;"?text="&amp;_xlfn.ENCODEURL(O25),"Enviar mensaje"))</f>
        <v/>
      </c>
      <c r="Q25" s="13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ht="15" customHeight="1" s="1">
      <c r="A26" s="13">
        <f>IF(B26="","",ROW()-1)</f>
        <v/>
      </c>
      <c r="B26" s="14" t="n"/>
      <c r="C26" s="13">
        <f>IFERROR(INDEX(Clientes!$C:$C,MATCH(B26,Clientes!$B:$B,0)),"")</f>
        <v/>
      </c>
      <c r="D26" s="14">
        <f>IFERROR(INDEX(Clientes!$D:$D,MATCH(B26,Clientes!$B:$B,0)),"")</f>
        <v/>
      </c>
      <c r="E26" s="14">
        <f>IFERROR(INDEX(Clientes!$M:$M,MATCH(B26,Clientes!$B:$B,0)),"")</f>
        <v/>
      </c>
      <c r="F26" s="14">
        <f>IFERROR(INDEX(Clientes!$F:$F,MATCH(B26,Clientes!$B:$B,0)),"")</f>
        <v/>
      </c>
      <c r="G26" s="14">
        <f>IFERROR(INDEX(Clientes!$G:$G,MATCH(B26,Clientes!$B:$B,0)),"")</f>
        <v/>
      </c>
      <c r="H26" s="14" t="n"/>
      <c r="I26" s="15" t="n"/>
      <c r="J26" s="16" t="n"/>
      <c r="K26" s="14" t="n"/>
      <c r="L26" s="14" t="n"/>
      <c r="M26" s="13">
        <f>IF(I26="","",I26-TODAY())</f>
        <v/>
      </c>
      <c r="N26" s="14" t="n"/>
      <c r="O26" s="14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>
        <f>IF(OR(O26="",C26=""),"",HYPERLINK("https://wa.me/52"&amp;C26&amp;"?text="&amp;_xlfn.ENCODEURL(O26),"Enviar mensaje"))</f>
        <v/>
      </c>
      <c r="Q26" s="13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ht="15" customHeight="1" s="1">
      <c r="A27" s="13">
        <f>IF(B27="","",ROW()-1)</f>
        <v/>
      </c>
      <c r="B27" s="14" t="n"/>
      <c r="C27" s="13">
        <f>IFERROR(INDEX(Clientes!$C:$C,MATCH(B27,Clientes!$B:$B,0)),"")</f>
        <v/>
      </c>
      <c r="D27" s="14">
        <f>IFERROR(INDEX(Clientes!$D:$D,MATCH(B27,Clientes!$B:$B,0)),"")</f>
        <v/>
      </c>
      <c r="E27" s="14">
        <f>IFERROR(INDEX(Clientes!$M:$M,MATCH(B27,Clientes!$B:$B,0)),"")</f>
        <v/>
      </c>
      <c r="F27" s="14">
        <f>IFERROR(INDEX(Clientes!$F:$F,MATCH(B27,Clientes!$B:$B,0)),"")</f>
        <v/>
      </c>
      <c r="G27" s="14">
        <f>IFERROR(INDEX(Clientes!$G:$G,MATCH(B27,Clientes!$B:$B,0)),"")</f>
        <v/>
      </c>
      <c r="H27" s="14" t="n"/>
      <c r="I27" s="15" t="n"/>
      <c r="J27" s="16" t="n"/>
      <c r="K27" s="14" t="n"/>
      <c r="L27" s="14" t="n"/>
      <c r="M27" s="13">
        <f>IF(I27="","",I27-TODAY())</f>
        <v/>
      </c>
      <c r="N27" s="14" t="n"/>
      <c r="O27" s="14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>
        <f>IF(OR(O27="",C27=""),"",HYPERLINK("https://wa.me/52"&amp;C27&amp;"?text="&amp;_xlfn.ENCODEURL(O27),"Enviar mensaje"))</f>
        <v/>
      </c>
      <c r="Q27" s="13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ht="15" customHeight="1" s="1">
      <c r="A28" s="13">
        <f>IF(B28="","",ROW()-1)</f>
        <v/>
      </c>
      <c r="B28" s="14" t="n"/>
      <c r="C28" s="13">
        <f>IFERROR(INDEX(Clientes!$C:$C,MATCH(B28,Clientes!$B:$B,0)),"")</f>
        <v/>
      </c>
      <c r="D28" s="14">
        <f>IFERROR(INDEX(Clientes!$D:$D,MATCH(B28,Clientes!$B:$B,0)),"")</f>
        <v/>
      </c>
      <c r="E28" s="14">
        <f>IFERROR(INDEX(Clientes!$M:$M,MATCH(B28,Clientes!$B:$B,0)),"")</f>
        <v/>
      </c>
      <c r="F28" s="14">
        <f>IFERROR(INDEX(Clientes!$F:$F,MATCH(B28,Clientes!$B:$B,0)),"")</f>
        <v/>
      </c>
      <c r="G28" s="14">
        <f>IFERROR(INDEX(Clientes!$G:$G,MATCH(B28,Clientes!$B:$B,0)),"")</f>
        <v/>
      </c>
      <c r="H28" s="14" t="n"/>
      <c r="I28" s="15" t="n"/>
      <c r="J28" s="16" t="n"/>
      <c r="K28" s="14" t="n"/>
      <c r="L28" s="14" t="n"/>
      <c r="M28" s="13">
        <f>IF(I28="","",I28-TODAY())</f>
        <v/>
      </c>
      <c r="N28" s="14" t="n"/>
      <c r="O28" s="14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>
        <f>IF(OR(O28="",C28=""),"",HYPERLINK("https://wa.me/52"&amp;C28&amp;"?text="&amp;_xlfn.ENCODEURL(O28),"Enviar mensaje"))</f>
        <v/>
      </c>
      <c r="Q28" s="13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ht="15" customHeight="1" s="1">
      <c r="A29" s="13">
        <f>IF(B29="","",ROW()-1)</f>
        <v/>
      </c>
      <c r="B29" s="14" t="n"/>
      <c r="C29" s="13">
        <f>IFERROR(INDEX(Clientes!$C:$C,MATCH(B29,Clientes!$B:$B,0)),"")</f>
        <v/>
      </c>
      <c r="D29" s="14">
        <f>IFERROR(INDEX(Clientes!$D:$D,MATCH(B29,Clientes!$B:$B,0)),"")</f>
        <v/>
      </c>
      <c r="E29" s="14">
        <f>IFERROR(INDEX(Clientes!$M:$M,MATCH(B29,Clientes!$B:$B,0)),"")</f>
        <v/>
      </c>
      <c r="F29" s="14">
        <f>IFERROR(INDEX(Clientes!$F:$F,MATCH(B29,Clientes!$B:$B,0)),"")</f>
        <v/>
      </c>
      <c r="G29" s="14">
        <f>IFERROR(INDEX(Clientes!$G:$G,MATCH(B29,Clientes!$B:$B,0)),"")</f>
        <v/>
      </c>
      <c r="H29" s="14" t="n"/>
      <c r="I29" s="15" t="n"/>
      <c r="J29" s="16" t="n"/>
      <c r="K29" s="14" t="n"/>
      <c r="L29" s="14" t="n"/>
      <c r="M29" s="13">
        <f>IF(I29="","",I29-TODAY())</f>
        <v/>
      </c>
      <c r="N29" s="14" t="n"/>
      <c r="O29" s="14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>
        <f>IF(OR(O29="",C29=""),"",HYPERLINK("https://wa.me/52"&amp;C29&amp;"?text="&amp;_xlfn.ENCODEURL(O29),"Enviar mensaje"))</f>
        <v/>
      </c>
      <c r="Q29" s="13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ht="15" customHeight="1" s="1">
      <c r="A30" s="13">
        <f>IF(B30="","",ROW()-1)</f>
        <v/>
      </c>
      <c r="B30" s="14" t="n"/>
      <c r="C30" s="13">
        <f>IFERROR(INDEX(Clientes!$C:$C,MATCH(B30,Clientes!$B:$B,0)),"")</f>
        <v/>
      </c>
      <c r="D30" s="14">
        <f>IFERROR(INDEX(Clientes!$D:$D,MATCH(B30,Clientes!$B:$B,0)),"")</f>
        <v/>
      </c>
      <c r="E30" s="14">
        <f>IFERROR(INDEX(Clientes!$M:$M,MATCH(B30,Clientes!$B:$B,0)),"")</f>
        <v/>
      </c>
      <c r="F30" s="14">
        <f>IFERROR(INDEX(Clientes!$F:$F,MATCH(B30,Clientes!$B:$B,0)),"")</f>
        <v/>
      </c>
      <c r="G30" s="14">
        <f>IFERROR(INDEX(Clientes!$G:$G,MATCH(B30,Clientes!$B:$B,0)),"")</f>
        <v/>
      </c>
      <c r="H30" s="14" t="n"/>
      <c r="I30" s="15" t="n"/>
      <c r="J30" s="16" t="n"/>
      <c r="K30" s="14" t="n"/>
      <c r="L30" s="14" t="n"/>
      <c r="M30" s="13">
        <f>IF(I30="","",I30-TODAY())</f>
        <v/>
      </c>
      <c r="N30" s="14" t="n"/>
      <c r="O30" s="14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>
        <f>IF(OR(O30="",C30=""),"",HYPERLINK("https://wa.me/52"&amp;C30&amp;"?text="&amp;_xlfn.ENCODEURL(O30),"Enviar mensaje"))</f>
        <v/>
      </c>
      <c r="Q30" s="13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ht="15" customHeight="1" s="1">
      <c r="A31" s="13">
        <f>IF(B31="","",ROW()-1)</f>
        <v/>
      </c>
      <c r="B31" s="14" t="n"/>
      <c r="C31" s="13">
        <f>IFERROR(INDEX(Clientes!$C:$C,MATCH(B31,Clientes!$B:$B,0)),"")</f>
        <v/>
      </c>
      <c r="D31" s="14">
        <f>IFERROR(INDEX(Clientes!$D:$D,MATCH(B31,Clientes!$B:$B,0)),"")</f>
        <v/>
      </c>
      <c r="E31" s="14">
        <f>IFERROR(INDEX(Clientes!$M:$M,MATCH(B31,Clientes!$B:$B,0)),"")</f>
        <v/>
      </c>
      <c r="F31" s="14">
        <f>IFERROR(INDEX(Clientes!$F:$F,MATCH(B31,Clientes!$B:$B,0)),"")</f>
        <v/>
      </c>
      <c r="G31" s="14">
        <f>IFERROR(INDEX(Clientes!$G:$G,MATCH(B31,Clientes!$B:$B,0)),"")</f>
        <v/>
      </c>
      <c r="H31" s="14" t="n"/>
      <c r="I31" s="15" t="n"/>
      <c r="J31" s="16" t="n"/>
      <c r="K31" s="14" t="n"/>
      <c r="L31" s="14" t="n"/>
      <c r="M31" s="13">
        <f>IF(I31="","",I31-TODAY())</f>
        <v/>
      </c>
      <c r="N31" s="14" t="n"/>
      <c r="O31" s="14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>
        <f>IF(OR(O31="",C31=""),"",HYPERLINK("https://wa.me/52"&amp;C31&amp;"?text="&amp;_xlfn.ENCODEURL(O31),"Enviar mensaje"))</f>
        <v/>
      </c>
      <c r="Q31" s="13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ht="15" customHeight="1" s="1">
      <c r="A32" s="13">
        <f>IF(B32="","",ROW()-1)</f>
        <v/>
      </c>
      <c r="B32" s="14" t="n"/>
      <c r="C32" s="13">
        <f>IFERROR(INDEX(Clientes!$C:$C,MATCH(B32,Clientes!$B:$B,0)),"")</f>
        <v/>
      </c>
      <c r="D32" s="14">
        <f>IFERROR(INDEX(Clientes!$D:$D,MATCH(B32,Clientes!$B:$B,0)),"")</f>
        <v/>
      </c>
      <c r="E32" s="14">
        <f>IFERROR(INDEX(Clientes!$M:$M,MATCH(B32,Clientes!$B:$B,0)),"")</f>
        <v/>
      </c>
      <c r="F32" s="14">
        <f>IFERROR(INDEX(Clientes!$F:$F,MATCH(B32,Clientes!$B:$B,0)),"")</f>
        <v/>
      </c>
      <c r="G32" s="14">
        <f>IFERROR(INDEX(Clientes!$G:$G,MATCH(B32,Clientes!$B:$B,0)),"")</f>
        <v/>
      </c>
      <c r="H32" s="14" t="n"/>
      <c r="I32" s="15" t="n"/>
      <c r="J32" s="16" t="n"/>
      <c r="K32" s="14" t="n"/>
      <c r="L32" s="14" t="n"/>
      <c r="M32" s="13">
        <f>IF(I32="","",I32-TODAY())</f>
        <v/>
      </c>
      <c r="N32" s="14" t="n"/>
      <c r="O32" s="14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>
        <f>IF(OR(O32="",C32=""),"",HYPERLINK("https://wa.me/52"&amp;C32&amp;"?text="&amp;_xlfn.ENCODEURL(O32),"Enviar mensaje"))</f>
        <v/>
      </c>
      <c r="Q32" s="13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ht="15" customHeight="1" s="1">
      <c r="A33" s="13">
        <f>IF(B33="","",ROW()-1)</f>
        <v/>
      </c>
      <c r="B33" s="14" t="n"/>
      <c r="C33" s="13">
        <f>IFERROR(INDEX(Clientes!$C:$C,MATCH(B33,Clientes!$B:$B,0)),"")</f>
        <v/>
      </c>
      <c r="D33" s="14">
        <f>IFERROR(INDEX(Clientes!$D:$D,MATCH(B33,Clientes!$B:$B,0)),"")</f>
        <v/>
      </c>
      <c r="E33" s="14">
        <f>IFERROR(INDEX(Clientes!$M:$M,MATCH(B33,Clientes!$B:$B,0)),"")</f>
        <v/>
      </c>
      <c r="F33" s="14">
        <f>IFERROR(INDEX(Clientes!$F:$F,MATCH(B33,Clientes!$B:$B,0)),"")</f>
        <v/>
      </c>
      <c r="G33" s="14">
        <f>IFERROR(INDEX(Clientes!$G:$G,MATCH(B33,Clientes!$B:$B,0)),"")</f>
        <v/>
      </c>
      <c r="H33" s="14" t="n"/>
      <c r="I33" s="15" t="n"/>
      <c r="J33" s="16" t="n"/>
      <c r="K33" s="14" t="n"/>
      <c r="L33" s="14" t="n"/>
      <c r="M33" s="13">
        <f>IF(I33="","",I33-TODAY())</f>
        <v/>
      </c>
      <c r="N33" s="14" t="n"/>
      <c r="O33" s="14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>
        <f>IF(OR(O33="",C33=""),"",HYPERLINK("https://wa.me/52"&amp;C33&amp;"?text="&amp;_xlfn.ENCODEURL(O33),"Enviar mensaje"))</f>
        <v/>
      </c>
      <c r="Q33" s="13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ht="15" customHeight="1" s="1">
      <c r="A34" s="13">
        <f>IF(B34="","",ROW()-1)</f>
        <v/>
      </c>
      <c r="B34" s="14" t="n"/>
      <c r="C34" s="13">
        <f>IFERROR(INDEX(Clientes!$C:$C,MATCH(B34,Clientes!$B:$B,0)),"")</f>
        <v/>
      </c>
      <c r="D34" s="14">
        <f>IFERROR(INDEX(Clientes!$D:$D,MATCH(B34,Clientes!$B:$B,0)),"")</f>
        <v/>
      </c>
      <c r="E34" s="14">
        <f>IFERROR(INDEX(Clientes!$M:$M,MATCH(B34,Clientes!$B:$B,0)),"")</f>
        <v/>
      </c>
      <c r="F34" s="14">
        <f>IFERROR(INDEX(Clientes!$F:$F,MATCH(B34,Clientes!$B:$B,0)),"")</f>
        <v/>
      </c>
      <c r="G34" s="14">
        <f>IFERROR(INDEX(Clientes!$G:$G,MATCH(B34,Clientes!$B:$B,0)),"")</f>
        <v/>
      </c>
      <c r="H34" s="14" t="n"/>
      <c r="I34" s="15" t="n"/>
      <c r="J34" s="16" t="n"/>
      <c r="K34" s="14" t="n"/>
      <c r="L34" s="14" t="n"/>
      <c r="M34" s="13">
        <f>IF(I34="","",I34-TODAY())</f>
        <v/>
      </c>
      <c r="N34" s="14" t="n"/>
      <c r="O34" s="14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>
        <f>IF(OR(O34="",C34=""),"",HYPERLINK("https://wa.me/52"&amp;C34&amp;"?text="&amp;_xlfn.ENCODEURL(O34),"Enviar mensaje"))</f>
        <v/>
      </c>
      <c r="Q34" s="13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ht="15" customHeight="1" s="1">
      <c r="A35" s="13">
        <f>IF(B35="","",ROW()-1)</f>
        <v/>
      </c>
      <c r="B35" s="14" t="n"/>
      <c r="C35" s="13">
        <f>IFERROR(INDEX(Clientes!$C:$C,MATCH(B35,Clientes!$B:$B,0)),"")</f>
        <v/>
      </c>
      <c r="D35" s="14">
        <f>IFERROR(INDEX(Clientes!$D:$D,MATCH(B35,Clientes!$B:$B,0)),"")</f>
        <v/>
      </c>
      <c r="E35" s="14">
        <f>IFERROR(INDEX(Clientes!$M:$M,MATCH(B35,Clientes!$B:$B,0)),"")</f>
        <v/>
      </c>
      <c r="F35" s="14">
        <f>IFERROR(INDEX(Clientes!$F:$F,MATCH(B35,Clientes!$B:$B,0)),"")</f>
        <v/>
      </c>
      <c r="G35" s="14">
        <f>IFERROR(INDEX(Clientes!$G:$G,MATCH(B35,Clientes!$B:$B,0)),"")</f>
        <v/>
      </c>
      <c r="H35" s="14" t="n"/>
      <c r="I35" s="15" t="n"/>
      <c r="J35" s="16" t="n"/>
      <c r="K35" s="14" t="n"/>
      <c r="L35" s="14" t="n"/>
      <c r="M35" s="13">
        <f>IF(I35="","",I35-TODAY())</f>
        <v/>
      </c>
      <c r="N35" s="14" t="n"/>
      <c r="O35" s="14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>
        <f>IF(OR(O35="",C35=""),"",HYPERLINK("https://wa.me/52"&amp;C35&amp;"?text="&amp;_xlfn.ENCODEURL(O35),"Enviar mensaje"))</f>
        <v/>
      </c>
      <c r="Q35" s="13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ht="15" customHeight="1" s="1">
      <c r="A36" s="13">
        <f>IF(B36="","",ROW()-1)</f>
        <v/>
      </c>
      <c r="B36" s="14" t="n"/>
      <c r="C36" s="13">
        <f>IFERROR(INDEX(Clientes!$C:$C,MATCH(B36,Clientes!$B:$B,0)),"")</f>
        <v/>
      </c>
      <c r="D36" s="14">
        <f>IFERROR(INDEX(Clientes!$D:$D,MATCH(B36,Clientes!$B:$B,0)),"")</f>
        <v/>
      </c>
      <c r="E36" s="14">
        <f>IFERROR(INDEX(Clientes!$M:$M,MATCH(B36,Clientes!$B:$B,0)),"")</f>
        <v/>
      </c>
      <c r="F36" s="14">
        <f>IFERROR(INDEX(Clientes!$F:$F,MATCH(B36,Clientes!$B:$B,0)),"")</f>
        <v/>
      </c>
      <c r="G36" s="14">
        <f>IFERROR(INDEX(Clientes!$G:$G,MATCH(B36,Clientes!$B:$B,0)),"")</f>
        <v/>
      </c>
      <c r="H36" s="14" t="n"/>
      <c r="I36" s="15" t="n"/>
      <c r="J36" s="16" t="n"/>
      <c r="K36" s="14" t="n"/>
      <c r="L36" s="14" t="n"/>
      <c r="M36" s="13">
        <f>IF(I36="","",I36-TODAY())</f>
        <v/>
      </c>
      <c r="N36" s="14" t="n"/>
      <c r="O36" s="14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>
        <f>IF(OR(O36="",C36=""),"",HYPERLINK("https://wa.me/52"&amp;C36&amp;"?text="&amp;_xlfn.ENCODEURL(O36),"Enviar mensaje"))</f>
        <v/>
      </c>
      <c r="Q36" s="13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ht="15" customHeight="1" s="1">
      <c r="A37" s="13">
        <f>IF(B37="","",ROW()-1)</f>
        <v/>
      </c>
      <c r="B37" s="14" t="n"/>
      <c r="C37" s="13">
        <f>IFERROR(INDEX(Clientes!$C:$C,MATCH(B37,Clientes!$B:$B,0)),"")</f>
        <v/>
      </c>
      <c r="D37" s="14">
        <f>IFERROR(INDEX(Clientes!$D:$D,MATCH(B37,Clientes!$B:$B,0)),"")</f>
        <v/>
      </c>
      <c r="E37" s="14">
        <f>IFERROR(INDEX(Clientes!$M:$M,MATCH(B37,Clientes!$B:$B,0)),"")</f>
        <v/>
      </c>
      <c r="F37" s="14">
        <f>IFERROR(INDEX(Clientes!$F:$F,MATCH(B37,Clientes!$B:$B,0)),"")</f>
        <v/>
      </c>
      <c r="G37" s="14">
        <f>IFERROR(INDEX(Clientes!$G:$G,MATCH(B37,Clientes!$B:$B,0)),"")</f>
        <v/>
      </c>
      <c r="H37" s="14" t="n"/>
      <c r="I37" s="15" t="n"/>
      <c r="J37" s="16" t="n"/>
      <c r="K37" s="14" t="n"/>
      <c r="L37" s="14" t="n"/>
      <c r="M37" s="13">
        <f>IF(I37="","",I37-TODAY())</f>
        <v/>
      </c>
      <c r="N37" s="14" t="n"/>
      <c r="O37" s="14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>
        <f>IF(OR(O37="",C37=""),"",HYPERLINK("https://wa.me/52"&amp;C37&amp;"?text="&amp;_xlfn.ENCODEURL(O37),"Enviar mensaje"))</f>
        <v/>
      </c>
      <c r="Q37" s="13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ht="15" customHeight="1" s="1">
      <c r="A38" s="13">
        <f>IF(B38="","",ROW()-1)</f>
        <v/>
      </c>
      <c r="B38" s="14" t="n"/>
      <c r="C38" s="13">
        <f>IFERROR(INDEX(Clientes!$C:$C,MATCH(B38,Clientes!$B:$B,0)),"")</f>
        <v/>
      </c>
      <c r="D38" s="14">
        <f>IFERROR(INDEX(Clientes!$D:$D,MATCH(B38,Clientes!$B:$B,0)),"")</f>
        <v/>
      </c>
      <c r="E38" s="14">
        <f>IFERROR(INDEX(Clientes!$M:$M,MATCH(B38,Clientes!$B:$B,0)),"")</f>
        <v/>
      </c>
      <c r="F38" s="14">
        <f>IFERROR(INDEX(Clientes!$F:$F,MATCH(B38,Clientes!$B:$B,0)),"")</f>
        <v/>
      </c>
      <c r="G38" s="14">
        <f>IFERROR(INDEX(Clientes!$G:$G,MATCH(B38,Clientes!$B:$B,0)),"")</f>
        <v/>
      </c>
      <c r="H38" s="14" t="n"/>
      <c r="I38" s="15" t="n"/>
      <c r="J38" s="16" t="n"/>
      <c r="K38" s="14" t="n"/>
      <c r="L38" s="14" t="n"/>
      <c r="M38" s="13">
        <f>IF(I38="","",I38-TODAY())</f>
        <v/>
      </c>
      <c r="N38" s="14" t="n"/>
      <c r="O38" s="14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>
        <f>IF(OR(O38="",C38=""),"",HYPERLINK("https://wa.me/52"&amp;C38&amp;"?text="&amp;_xlfn.ENCODEURL(O38),"Enviar mensaje"))</f>
        <v/>
      </c>
      <c r="Q38" s="13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ht="15" customHeight="1" s="1">
      <c r="A39" s="13">
        <f>IF(B39="","",ROW()-1)</f>
        <v/>
      </c>
      <c r="B39" s="14" t="n"/>
      <c r="C39" s="13">
        <f>IFERROR(INDEX(Clientes!$C:$C,MATCH(B39,Clientes!$B:$B,0)),"")</f>
        <v/>
      </c>
      <c r="D39" s="14">
        <f>IFERROR(INDEX(Clientes!$D:$D,MATCH(B39,Clientes!$B:$B,0)),"")</f>
        <v/>
      </c>
      <c r="E39" s="14">
        <f>IFERROR(INDEX(Clientes!$M:$M,MATCH(B39,Clientes!$B:$B,0)),"")</f>
        <v/>
      </c>
      <c r="F39" s="14">
        <f>IFERROR(INDEX(Clientes!$F:$F,MATCH(B39,Clientes!$B:$B,0)),"")</f>
        <v/>
      </c>
      <c r="G39" s="14">
        <f>IFERROR(INDEX(Clientes!$G:$G,MATCH(B39,Clientes!$B:$B,0)),"")</f>
        <v/>
      </c>
      <c r="H39" s="14" t="n"/>
      <c r="I39" s="15" t="n"/>
      <c r="J39" s="16" t="n"/>
      <c r="K39" s="14" t="n"/>
      <c r="L39" s="14" t="n"/>
      <c r="M39" s="13">
        <f>IF(I39="","",I39-TODAY())</f>
        <v/>
      </c>
      <c r="N39" s="14" t="n"/>
      <c r="O39" s="14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>
        <f>IF(OR(O39="",C39=""),"",HYPERLINK("https://wa.me/52"&amp;C39&amp;"?text="&amp;_xlfn.ENCODEURL(O39),"Enviar mensaje"))</f>
        <v/>
      </c>
      <c r="Q39" s="13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ht="15" customHeight="1" s="1">
      <c r="A40" s="13">
        <f>IF(B40="","",ROW()-1)</f>
        <v/>
      </c>
      <c r="B40" s="14" t="n"/>
      <c r="C40" s="13">
        <f>IFERROR(INDEX(Clientes!$C:$C,MATCH(B40,Clientes!$B:$B,0)),"")</f>
        <v/>
      </c>
      <c r="D40" s="14">
        <f>IFERROR(INDEX(Clientes!$D:$D,MATCH(B40,Clientes!$B:$B,0)),"")</f>
        <v/>
      </c>
      <c r="E40" s="14">
        <f>IFERROR(INDEX(Clientes!$M:$M,MATCH(B40,Clientes!$B:$B,0)),"")</f>
        <v/>
      </c>
      <c r="F40" s="14">
        <f>IFERROR(INDEX(Clientes!$F:$F,MATCH(B40,Clientes!$B:$B,0)),"")</f>
        <v/>
      </c>
      <c r="G40" s="14">
        <f>IFERROR(INDEX(Clientes!$G:$G,MATCH(B40,Clientes!$B:$B,0)),"")</f>
        <v/>
      </c>
      <c r="H40" s="14" t="n"/>
      <c r="I40" s="15" t="n"/>
      <c r="J40" s="16" t="n"/>
      <c r="K40" s="14" t="n"/>
      <c r="L40" s="14" t="n"/>
      <c r="M40" s="13">
        <f>IF(I40="","",I40-TODAY())</f>
        <v/>
      </c>
      <c r="N40" s="14" t="n"/>
      <c r="O40" s="14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>
        <f>IF(OR(O40="",C40=""),"",HYPERLINK("https://wa.me/52"&amp;C40&amp;"?text="&amp;_xlfn.ENCODEURL(O40),"Enviar mensaje"))</f>
        <v/>
      </c>
      <c r="Q40" s="13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ht="15" customHeight="1" s="1">
      <c r="A41" s="13">
        <f>IF(B41="","",ROW()-1)</f>
        <v/>
      </c>
      <c r="B41" s="14" t="n"/>
      <c r="C41" s="13">
        <f>IFERROR(INDEX(Clientes!$C:$C,MATCH(B41,Clientes!$B:$B,0)),"")</f>
        <v/>
      </c>
      <c r="D41" s="14">
        <f>IFERROR(INDEX(Clientes!$D:$D,MATCH(B41,Clientes!$B:$B,0)),"")</f>
        <v/>
      </c>
      <c r="E41" s="14">
        <f>IFERROR(INDEX(Clientes!$M:$M,MATCH(B41,Clientes!$B:$B,0)),"")</f>
        <v/>
      </c>
      <c r="F41" s="14">
        <f>IFERROR(INDEX(Clientes!$F:$F,MATCH(B41,Clientes!$B:$B,0)),"")</f>
        <v/>
      </c>
      <c r="G41" s="14">
        <f>IFERROR(INDEX(Clientes!$G:$G,MATCH(B41,Clientes!$B:$B,0)),"")</f>
        <v/>
      </c>
      <c r="H41" s="14" t="n"/>
      <c r="I41" s="15" t="n"/>
      <c r="J41" s="16" t="n"/>
      <c r="K41" s="14" t="n"/>
      <c r="L41" s="14" t="n"/>
      <c r="M41" s="13">
        <f>IF(I41="","",I41-TODAY())</f>
        <v/>
      </c>
      <c r="N41" s="14" t="n"/>
      <c r="O41" s="14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>
        <f>IF(OR(O41="",C41=""),"",HYPERLINK("https://wa.me/52"&amp;C41&amp;"?text="&amp;_xlfn.ENCODEURL(O41),"Enviar mensaje"))</f>
        <v/>
      </c>
      <c r="Q41" s="13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ht="15" customHeight="1" s="1">
      <c r="A42" s="13">
        <f>IF(B42="","",ROW()-1)</f>
        <v/>
      </c>
      <c r="B42" s="14" t="n"/>
      <c r="C42" s="13">
        <f>IFERROR(INDEX(Clientes!$C:$C,MATCH(B42,Clientes!$B:$B,0)),"")</f>
        <v/>
      </c>
      <c r="D42" s="14">
        <f>IFERROR(INDEX(Clientes!$D:$D,MATCH(B42,Clientes!$B:$B,0)),"")</f>
        <v/>
      </c>
      <c r="E42" s="14">
        <f>IFERROR(INDEX(Clientes!$M:$M,MATCH(B42,Clientes!$B:$B,0)),"")</f>
        <v/>
      </c>
      <c r="F42" s="14">
        <f>IFERROR(INDEX(Clientes!$F:$F,MATCH(B42,Clientes!$B:$B,0)),"")</f>
        <v/>
      </c>
      <c r="G42" s="14">
        <f>IFERROR(INDEX(Clientes!$G:$G,MATCH(B42,Clientes!$B:$B,0)),"")</f>
        <v/>
      </c>
      <c r="H42" s="14" t="n"/>
      <c r="I42" s="15" t="n"/>
      <c r="J42" s="16" t="n"/>
      <c r="K42" s="14" t="n"/>
      <c r="L42" s="14" t="n"/>
      <c r="M42" s="13">
        <f>IF(I42="","",I42-TODAY())</f>
        <v/>
      </c>
      <c r="N42" s="14" t="n"/>
      <c r="O42" s="14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>
        <f>IF(OR(O42="",C42=""),"",HYPERLINK("https://wa.me/52"&amp;C42&amp;"?text="&amp;_xlfn.ENCODEURL(O42),"Enviar mensaje"))</f>
        <v/>
      </c>
      <c r="Q42" s="13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ht="15" customHeight="1" s="1">
      <c r="A43" s="13">
        <f>IF(B43="","",ROW()-1)</f>
        <v/>
      </c>
      <c r="B43" s="14" t="n"/>
      <c r="C43" s="13">
        <f>IFERROR(INDEX(Clientes!$C:$C,MATCH(B43,Clientes!$B:$B,0)),"")</f>
        <v/>
      </c>
      <c r="D43" s="14">
        <f>IFERROR(INDEX(Clientes!$D:$D,MATCH(B43,Clientes!$B:$B,0)),"")</f>
        <v/>
      </c>
      <c r="E43" s="14">
        <f>IFERROR(INDEX(Clientes!$M:$M,MATCH(B43,Clientes!$B:$B,0)),"")</f>
        <v/>
      </c>
      <c r="F43" s="14">
        <f>IFERROR(INDEX(Clientes!$F:$F,MATCH(B43,Clientes!$B:$B,0)),"")</f>
        <v/>
      </c>
      <c r="G43" s="14">
        <f>IFERROR(INDEX(Clientes!$G:$G,MATCH(B43,Clientes!$B:$B,0)),"")</f>
        <v/>
      </c>
      <c r="H43" s="14" t="n"/>
      <c r="I43" s="15" t="n"/>
      <c r="J43" s="16" t="n"/>
      <c r="K43" s="14" t="n"/>
      <c r="L43" s="14" t="n"/>
      <c r="M43" s="13">
        <f>IF(I43="","",I43-TODAY())</f>
        <v/>
      </c>
      <c r="N43" s="14" t="n"/>
      <c r="O43" s="14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>
        <f>IF(OR(O43="",C43=""),"",HYPERLINK("https://wa.me/52"&amp;C43&amp;"?text="&amp;_xlfn.ENCODEURL(O43),"Enviar mensaje"))</f>
        <v/>
      </c>
      <c r="Q43" s="13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ht="15" customHeight="1" s="1">
      <c r="A44" s="13">
        <f>IF(B44="","",ROW()-1)</f>
        <v/>
      </c>
      <c r="B44" s="14" t="n"/>
      <c r="C44" s="13">
        <f>IFERROR(INDEX(Clientes!$C:$C,MATCH(B44,Clientes!$B:$B,0)),"")</f>
        <v/>
      </c>
      <c r="D44" s="14">
        <f>IFERROR(INDEX(Clientes!$D:$D,MATCH(B44,Clientes!$B:$B,0)),"")</f>
        <v/>
      </c>
      <c r="E44" s="14">
        <f>IFERROR(INDEX(Clientes!$M:$M,MATCH(B44,Clientes!$B:$B,0)),"")</f>
        <v/>
      </c>
      <c r="F44" s="14">
        <f>IFERROR(INDEX(Clientes!$F:$F,MATCH(B44,Clientes!$B:$B,0)),"")</f>
        <v/>
      </c>
      <c r="G44" s="14">
        <f>IFERROR(INDEX(Clientes!$G:$G,MATCH(B44,Clientes!$B:$B,0)),"")</f>
        <v/>
      </c>
      <c r="H44" s="14" t="n"/>
      <c r="I44" s="15" t="n"/>
      <c r="J44" s="16" t="n"/>
      <c r="K44" s="14" t="n"/>
      <c r="L44" s="14" t="n"/>
      <c r="M44" s="13">
        <f>IF(I44="","",I44-TODAY())</f>
        <v/>
      </c>
      <c r="N44" s="14" t="n"/>
      <c r="O44" s="14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>
        <f>IF(OR(O44="",C44=""),"",HYPERLINK("https://wa.me/52"&amp;C44&amp;"?text="&amp;_xlfn.ENCODEURL(O44),"Enviar mensaje"))</f>
        <v/>
      </c>
      <c r="Q44" s="13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ht="15" customHeight="1" s="1">
      <c r="A45" s="13">
        <f>IF(B45="","",ROW()-1)</f>
        <v/>
      </c>
      <c r="B45" s="14" t="n"/>
      <c r="C45" s="13">
        <f>IFERROR(INDEX(Clientes!$C:$C,MATCH(B45,Clientes!$B:$B,0)),"")</f>
        <v/>
      </c>
      <c r="D45" s="14">
        <f>IFERROR(INDEX(Clientes!$D:$D,MATCH(B45,Clientes!$B:$B,0)),"")</f>
        <v/>
      </c>
      <c r="E45" s="14">
        <f>IFERROR(INDEX(Clientes!$M:$M,MATCH(B45,Clientes!$B:$B,0)),"")</f>
        <v/>
      </c>
      <c r="F45" s="14">
        <f>IFERROR(INDEX(Clientes!$F:$F,MATCH(B45,Clientes!$B:$B,0)),"")</f>
        <v/>
      </c>
      <c r="G45" s="14">
        <f>IFERROR(INDEX(Clientes!$G:$G,MATCH(B45,Clientes!$B:$B,0)),"")</f>
        <v/>
      </c>
      <c r="H45" s="14" t="n"/>
      <c r="I45" s="15" t="n"/>
      <c r="J45" s="16" t="n"/>
      <c r="K45" s="14" t="n"/>
      <c r="L45" s="14" t="n"/>
      <c r="M45" s="13">
        <f>IF(I45="","",I45-TODAY())</f>
        <v/>
      </c>
      <c r="N45" s="14" t="n"/>
      <c r="O45" s="14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>
        <f>IF(OR(O45="",C45=""),"",HYPERLINK("https://wa.me/52"&amp;C45&amp;"?text="&amp;_xlfn.ENCODEURL(O45),"Enviar mensaje"))</f>
        <v/>
      </c>
      <c r="Q45" s="13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ht="15" customHeight="1" s="1">
      <c r="A46" s="13">
        <f>IF(B46="","",ROW()-1)</f>
        <v/>
      </c>
      <c r="B46" s="14" t="n"/>
      <c r="C46" s="13">
        <f>IFERROR(INDEX(Clientes!$C:$C,MATCH(B46,Clientes!$B:$B,0)),"")</f>
        <v/>
      </c>
      <c r="D46" s="14">
        <f>IFERROR(INDEX(Clientes!$D:$D,MATCH(B46,Clientes!$B:$B,0)),"")</f>
        <v/>
      </c>
      <c r="E46" s="14">
        <f>IFERROR(INDEX(Clientes!$M:$M,MATCH(B46,Clientes!$B:$B,0)),"")</f>
        <v/>
      </c>
      <c r="F46" s="14">
        <f>IFERROR(INDEX(Clientes!$F:$F,MATCH(B46,Clientes!$B:$B,0)),"")</f>
        <v/>
      </c>
      <c r="G46" s="14">
        <f>IFERROR(INDEX(Clientes!$G:$G,MATCH(B46,Clientes!$B:$B,0)),"")</f>
        <v/>
      </c>
      <c r="H46" s="14" t="n"/>
      <c r="I46" s="15" t="n"/>
      <c r="J46" s="16" t="n"/>
      <c r="K46" s="14" t="n"/>
      <c r="L46" s="14" t="n"/>
      <c r="M46" s="13">
        <f>IF(I46="","",I46-TODAY())</f>
        <v/>
      </c>
      <c r="N46" s="14" t="n"/>
      <c r="O46" s="14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>
        <f>IF(OR(O46="",C46=""),"",HYPERLINK("https://wa.me/52"&amp;C46&amp;"?text="&amp;_xlfn.ENCODEURL(O46),"Enviar mensaje"))</f>
        <v/>
      </c>
      <c r="Q46" s="13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ht="15" customHeight="1" s="1">
      <c r="A47" s="13">
        <f>IF(B47="","",ROW()-1)</f>
        <v/>
      </c>
      <c r="B47" s="14" t="n"/>
      <c r="C47" s="13">
        <f>IFERROR(INDEX(Clientes!$C:$C,MATCH(B47,Clientes!$B:$B,0)),"")</f>
        <v/>
      </c>
      <c r="D47" s="14">
        <f>IFERROR(INDEX(Clientes!$D:$D,MATCH(B47,Clientes!$B:$B,0)),"")</f>
        <v/>
      </c>
      <c r="E47" s="14">
        <f>IFERROR(INDEX(Clientes!$M:$M,MATCH(B47,Clientes!$B:$B,0)),"")</f>
        <v/>
      </c>
      <c r="F47" s="14">
        <f>IFERROR(INDEX(Clientes!$F:$F,MATCH(B47,Clientes!$B:$B,0)),"")</f>
        <v/>
      </c>
      <c r="G47" s="14">
        <f>IFERROR(INDEX(Clientes!$G:$G,MATCH(B47,Clientes!$B:$B,0)),"")</f>
        <v/>
      </c>
      <c r="H47" s="14" t="n"/>
      <c r="I47" s="15" t="n"/>
      <c r="J47" s="16" t="n"/>
      <c r="K47" s="14" t="n"/>
      <c r="L47" s="14" t="n"/>
      <c r="M47" s="13">
        <f>IF(I47="","",I47-TODAY())</f>
        <v/>
      </c>
      <c r="N47" s="14" t="n"/>
      <c r="O47" s="14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>
        <f>IF(OR(O47="",C47=""),"",HYPERLINK("https://wa.me/52"&amp;C47&amp;"?text="&amp;_xlfn.ENCODEURL(O47),"Enviar mensaje"))</f>
        <v/>
      </c>
      <c r="Q47" s="13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ht="15" customHeight="1" s="1">
      <c r="A48" s="13">
        <f>IF(B48="","",ROW()-1)</f>
        <v/>
      </c>
      <c r="B48" s="14" t="n"/>
      <c r="C48" s="13">
        <f>IFERROR(INDEX(Clientes!$C:$C,MATCH(B48,Clientes!$B:$B,0)),"")</f>
        <v/>
      </c>
      <c r="D48" s="14">
        <f>IFERROR(INDEX(Clientes!$D:$D,MATCH(B48,Clientes!$B:$B,0)),"")</f>
        <v/>
      </c>
      <c r="E48" s="14">
        <f>IFERROR(INDEX(Clientes!$M:$M,MATCH(B48,Clientes!$B:$B,0)),"")</f>
        <v/>
      </c>
      <c r="F48" s="14">
        <f>IFERROR(INDEX(Clientes!$F:$F,MATCH(B48,Clientes!$B:$B,0)),"")</f>
        <v/>
      </c>
      <c r="G48" s="14">
        <f>IFERROR(INDEX(Clientes!$G:$G,MATCH(B48,Clientes!$B:$B,0)),"")</f>
        <v/>
      </c>
      <c r="H48" s="14" t="n"/>
      <c r="I48" s="15" t="n"/>
      <c r="J48" s="16" t="n"/>
      <c r="K48" s="14" t="n"/>
      <c r="L48" s="14" t="n"/>
      <c r="M48" s="13">
        <f>IF(I48="","",I48-TODAY())</f>
        <v/>
      </c>
      <c r="N48" s="14" t="n"/>
      <c r="O48" s="14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>
        <f>IF(OR(O48="",C48=""),"",HYPERLINK("https://wa.me/52"&amp;C48&amp;"?text="&amp;_xlfn.ENCODEURL(O48),"Enviar mensaje"))</f>
        <v/>
      </c>
      <c r="Q48" s="13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ht="15" customHeight="1" s="1">
      <c r="A49" s="13">
        <f>IF(B49="","",ROW()-1)</f>
        <v/>
      </c>
      <c r="B49" s="14" t="n"/>
      <c r="C49" s="13">
        <f>IFERROR(INDEX(Clientes!$C:$C,MATCH(B49,Clientes!$B:$B,0)),"")</f>
        <v/>
      </c>
      <c r="D49" s="14">
        <f>IFERROR(INDEX(Clientes!$D:$D,MATCH(B49,Clientes!$B:$B,0)),"")</f>
        <v/>
      </c>
      <c r="E49" s="14">
        <f>IFERROR(INDEX(Clientes!$M:$M,MATCH(B49,Clientes!$B:$B,0)),"")</f>
        <v/>
      </c>
      <c r="F49" s="14">
        <f>IFERROR(INDEX(Clientes!$F:$F,MATCH(B49,Clientes!$B:$B,0)),"")</f>
        <v/>
      </c>
      <c r="G49" s="14">
        <f>IFERROR(INDEX(Clientes!$G:$G,MATCH(B49,Clientes!$B:$B,0)),"")</f>
        <v/>
      </c>
      <c r="H49" s="14" t="n"/>
      <c r="I49" s="15" t="n"/>
      <c r="J49" s="16" t="n"/>
      <c r="K49" s="14" t="n"/>
      <c r="L49" s="14" t="n"/>
      <c r="M49" s="13">
        <f>IF(I49="","",I49-TODAY())</f>
        <v/>
      </c>
      <c r="N49" s="14" t="n"/>
      <c r="O49" s="14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>
        <f>IF(OR(O49="",C49=""),"",HYPERLINK("https://wa.me/52"&amp;C49&amp;"?text="&amp;_xlfn.ENCODEURL(O49),"Enviar mensaje"))</f>
        <v/>
      </c>
      <c r="Q49" s="13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ht="15" customHeight="1" s="1">
      <c r="A50" s="13">
        <f>IF(B50="","",ROW()-1)</f>
        <v/>
      </c>
      <c r="B50" s="14" t="n"/>
      <c r="C50" s="13">
        <f>IFERROR(INDEX(Clientes!$C:$C,MATCH(B50,Clientes!$B:$B,0)),"")</f>
        <v/>
      </c>
      <c r="D50" s="14">
        <f>IFERROR(INDEX(Clientes!$D:$D,MATCH(B50,Clientes!$B:$B,0)),"")</f>
        <v/>
      </c>
      <c r="E50" s="14">
        <f>IFERROR(INDEX(Clientes!$M:$M,MATCH(B50,Clientes!$B:$B,0)),"")</f>
        <v/>
      </c>
      <c r="F50" s="14">
        <f>IFERROR(INDEX(Clientes!$F:$F,MATCH(B50,Clientes!$B:$B,0)),"")</f>
        <v/>
      </c>
      <c r="G50" s="14">
        <f>IFERROR(INDEX(Clientes!$G:$G,MATCH(B50,Clientes!$B:$B,0)),"")</f>
        <v/>
      </c>
      <c r="H50" s="14" t="n"/>
      <c r="I50" s="15" t="n"/>
      <c r="J50" s="16" t="n"/>
      <c r="K50" s="14" t="n"/>
      <c r="L50" s="14" t="n"/>
      <c r="M50" s="13">
        <f>IF(I50="","",I50-TODAY())</f>
        <v/>
      </c>
      <c r="N50" s="14" t="n"/>
      <c r="O50" s="14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>
        <f>IF(OR(O50="",C50=""),"",HYPERLINK("https://wa.me/52"&amp;C50&amp;"?text="&amp;_xlfn.ENCODEURL(O50),"Enviar mensaje"))</f>
        <v/>
      </c>
      <c r="Q50" s="13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ht="15" customHeight="1" s="1">
      <c r="A51" s="13">
        <f>IF(B51="","",ROW()-1)</f>
        <v/>
      </c>
      <c r="B51" s="14" t="n"/>
      <c r="C51" s="13">
        <f>IFERROR(INDEX(Clientes!$C:$C,MATCH(B51,Clientes!$B:$B,0)),"")</f>
        <v/>
      </c>
      <c r="D51" s="14">
        <f>IFERROR(INDEX(Clientes!$D:$D,MATCH(B51,Clientes!$B:$B,0)),"")</f>
        <v/>
      </c>
      <c r="E51" s="14">
        <f>IFERROR(INDEX(Clientes!$M:$M,MATCH(B51,Clientes!$B:$B,0)),"")</f>
        <v/>
      </c>
      <c r="F51" s="14">
        <f>IFERROR(INDEX(Clientes!$F:$F,MATCH(B51,Clientes!$B:$B,0)),"")</f>
        <v/>
      </c>
      <c r="G51" s="14">
        <f>IFERROR(INDEX(Clientes!$G:$G,MATCH(B51,Clientes!$B:$B,0)),"")</f>
        <v/>
      </c>
      <c r="H51" s="14" t="n"/>
      <c r="I51" s="15" t="n"/>
      <c r="J51" s="16" t="n"/>
      <c r="K51" s="14" t="n"/>
      <c r="L51" s="14" t="n"/>
      <c r="M51" s="13">
        <f>IF(I51="","",I51-TODAY())</f>
        <v/>
      </c>
      <c r="N51" s="14" t="n"/>
      <c r="O51" s="14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>
        <f>IF(OR(O51="",C51=""),"",HYPERLINK("https://wa.me/52"&amp;C51&amp;"?text="&amp;_xlfn.ENCODEURL(O51),"Enviar mensaje"))</f>
        <v/>
      </c>
      <c r="Q51" s="13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ht="15" customHeight="1" s="1">
      <c r="A52" s="13">
        <f>IF(B52="","",ROW()-1)</f>
        <v/>
      </c>
      <c r="B52" s="14" t="n"/>
      <c r="C52" s="13">
        <f>IFERROR(INDEX(Clientes!$C:$C,MATCH(B52,Clientes!$B:$B,0)),"")</f>
        <v/>
      </c>
      <c r="D52" s="14">
        <f>IFERROR(INDEX(Clientes!$D:$D,MATCH(B52,Clientes!$B:$B,0)),"")</f>
        <v/>
      </c>
      <c r="E52" s="14">
        <f>IFERROR(INDEX(Clientes!$M:$M,MATCH(B52,Clientes!$B:$B,0)),"")</f>
        <v/>
      </c>
      <c r="F52" s="14">
        <f>IFERROR(INDEX(Clientes!$F:$F,MATCH(B52,Clientes!$B:$B,0)),"")</f>
        <v/>
      </c>
      <c r="G52" s="14">
        <f>IFERROR(INDEX(Clientes!$G:$G,MATCH(B52,Clientes!$B:$B,0)),"")</f>
        <v/>
      </c>
      <c r="H52" s="14" t="n"/>
      <c r="I52" s="15" t="n"/>
      <c r="J52" s="16" t="n"/>
      <c r="K52" s="14" t="n"/>
      <c r="L52" s="14" t="n"/>
      <c r="M52" s="13">
        <f>IF(I52="","",I52-TODAY())</f>
        <v/>
      </c>
      <c r="N52" s="14" t="n"/>
      <c r="O52" s="14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>
        <f>IF(OR(O52="",C52=""),"",HYPERLINK("https://wa.me/52"&amp;C52&amp;"?text="&amp;_xlfn.ENCODEURL(O52),"Enviar mensaje"))</f>
        <v/>
      </c>
      <c r="Q52" s="13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ht="15" customHeight="1" s="1">
      <c r="A53" s="13">
        <f>IF(B53="","",ROW()-1)</f>
        <v/>
      </c>
      <c r="B53" s="14" t="n"/>
      <c r="C53" s="13">
        <f>IFERROR(INDEX(Clientes!$C:$C,MATCH(B53,Clientes!$B:$B,0)),"")</f>
        <v/>
      </c>
      <c r="D53" s="14">
        <f>IFERROR(INDEX(Clientes!$D:$D,MATCH(B53,Clientes!$B:$B,0)),"")</f>
        <v/>
      </c>
      <c r="E53" s="14">
        <f>IFERROR(INDEX(Clientes!$M:$M,MATCH(B53,Clientes!$B:$B,0)),"")</f>
        <v/>
      </c>
      <c r="F53" s="14">
        <f>IFERROR(INDEX(Clientes!$F:$F,MATCH(B53,Clientes!$B:$B,0)),"")</f>
        <v/>
      </c>
      <c r="G53" s="14">
        <f>IFERROR(INDEX(Clientes!$G:$G,MATCH(B53,Clientes!$B:$B,0)),"")</f>
        <v/>
      </c>
      <c r="H53" s="14" t="n"/>
      <c r="I53" s="15" t="n"/>
      <c r="J53" s="16" t="n"/>
      <c r="K53" s="14" t="n"/>
      <c r="L53" s="14" t="n"/>
      <c r="M53" s="13">
        <f>IF(I53="","",I53-TODAY())</f>
        <v/>
      </c>
      <c r="N53" s="14" t="n"/>
      <c r="O53" s="14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>
        <f>IF(OR(O53="",C53=""),"",HYPERLINK("https://wa.me/52"&amp;C53&amp;"?text="&amp;_xlfn.ENCODEURL(O53),"Enviar mensaje"))</f>
        <v/>
      </c>
      <c r="Q53" s="13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ht="15" customHeight="1" s="1">
      <c r="A54" s="13">
        <f>IF(B54="","",ROW()-1)</f>
        <v/>
      </c>
      <c r="B54" s="14" t="n"/>
      <c r="C54" s="13">
        <f>IFERROR(INDEX(Clientes!$C:$C,MATCH(B54,Clientes!$B:$B,0)),"")</f>
        <v/>
      </c>
      <c r="D54" s="14">
        <f>IFERROR(INDEX(Clientes!$D:$D,MATCH(B54,Clientes!$B:$B,0)),"")</f>
        <v/>
      </c>
      <c r="E54" s="14">
        <f>IFERROR(INDEX(Clientes!$M:$M,MATCH(B54,Clientes!$B:$B,0)),"")</f>
        <v/>
      </c>
      <c r="F54" s="14">
        <f>IFERROR(INDEX(Clientes!$F:$F,MATCH(B54,Clientes!$B:$B,0)),"")</f>
        <v/>
      </c>
      <c r="G54" s="14">
        <f>IFERROR(INDEX(Clientes!$G:$G,MATCH(B54,Clientes!$B:$B,0)),"")</f>
        <v/>
      </c>
      <c r="H54" s="14" t="n"/>
      <c r="I54" s="15" t="n"/>
      <c r="J54" s="16" t="n"/>
      <c r="K54" s="14" t="n"/>
      <c r="L54" s="14" t="n"/>
      <c r="M54" s="13">
        <f>IF(I54="","",I54-TODAY())</f>
        <v/>
      </c>
      <c r="N54" s="14" t="n"/>
      <c r="O54" s="14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>
        <f>IF(OR(O54="",C54=""),"",HYPERLINK("https://wa.me/52"&amp;C54&amp;"?text="&amp;_xlfn.ENCODEURL(O54),"Enviar mensaje"))</f>
        <v/>
      </c>
      <c r="Q54" s="13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ht="15" customHeight="1" s="1">
      <c r="A55" s="13">
        <f>IF(B55="","",ROW()-1)</f>
        <v/>
      </c>
      <c r="B55" s="14" t="n"/>
      <c r="C55" s="13">
        <f>IFERROR(INDEX(Clientes!$C:$C,MATCH(B55,Clientes!$B:$B,0)),"")</f>
        <v/>
      </c>
      <c r="D55" s="14">
        <f>IFERROR(INDEX(Clientes!$D:$D,MATCH(B55,Clientes!$B:$B,0)),"")</f>
        <v/>
      </c>
      <c r="E55" s="14">
        <f>IFERROR(INDEX(Clientes!$M:$M,MATCH(B55,Clientes!$B:$B,0)),"")</f>
        <v/>
      </c>
      <c r="F55" s="14">
        <f>IFERROR(INDEX(Clientes!$F:$F,MATCH(B55,Clientes!$B:$B,0)),"")</f>
        <v/>
      </c>
      <c r="G55" s="14">
        <f>IFERROR(INDEX(Clientes!$G:$G,MATCH(B55,Clientes!$B:$B,0)),"")</f>
        <v/>
      </c>
      <c r="H55" s="14" t="n"/>
      <c r="I55" s="15" t="n"/>
      <c r="J55" s="16" t="n"/>
      <c r="K55" s="14" t="n"/>
      <c r="L55" s="14" t="n"/>
      <c r="M55" s="13">
        <f>IF(I55="","",I55-TODAY())</f>
        <v/>
      </c>
      <c r="N55" s="14" t="n"/>
      <c r="O55" s="14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>
        <f>IF(OR(O55="",C55=""),"",HYPERLINK("https://wa.me/52"&amp;C55&amp;"?text="&amp;_xlfn.ENCODEURL(O55),"Enviar mensaje"))</f>
        <v/>
      </c>
      <c r="Q55" s="13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ht="15" customHeight="1" s="1">
      <c r="A56" s="13">
        <f>IF(B56="","",ROW()-1)</f>
        <v/>
      </c>
      <c r="B56" s="14" t="n"/>
      <c r="C56" s="13">
        <f>IFERROR(INDEX(Clientes!$C:$C,MATCH(B56,Clientes!$B:$B,0)),"")</f>
        <v/>
      </c>
      <c r="D56" s="14">
        <f>IFERROR(INDEX(Clientes!$D:$D,MATCH(B56,Clientes!$B:$B,0)),"")</f>
        <v/>
      </c>
      <c r="E56" s="14">
        <f>IFERROR(INDEX(Clientes!$M:$M,MATCH(B56,Clientes!$B:$B,0)),"")</f>
        <v/>
      </c>
      <c r="F56" s="14">
        <f>IFERROR(INDEX(Clientes!$F:$F,MATCH(B56,Clientes!$B:$B,0)),"")</f>
        <v/>
      </c>
      <c r="G56" s="14">
        <f>IFERROR(INDEX(Clientes!$G:$G,MATCH(B56,Clientes!$B:$B,0)),"")</f>
        <v/>
      </c>
      <c r="H56" s="14" t="n"/>
      <c r="I56" s="15" t="n"/>
      <c r="J56" s="16" t="n"/>
      <c r="K56" s="14" t="n"/>
      <c r="L56" s="14" t="n"/>
      <c r="M56" s="13">
        <f>IF(I56="","",I56-TODAY())</f>
        <v/>
      </c>
      <c r="N56" s="14" t="n"/>
      <c r="O56" s="14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>
        <f>IF(OR(O56="",C56=""),"",HYPERLINK("https://wa.me/52"&amp;C56&amp;"?text="&amp;_xlfn.ENCODEURL(O56),"Enviar mensaje"))</f>
        <v/>
      </c>
      <c r="Q56" s="13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ht="15" customHeight="1" s="1">
      <c r="A57" s="13">
        <f>IF(B57="","",ROW()-1)</f>
        <v/>
      </c>
      <c r="B57" s="14" t="n"/>
      <c r="C57" s="13">
        <f>IFERROR(INDEX(Clientes!$C:$C,MATCH(B57,Clientes!$B:$B,0)),"")</f>
        <v/>
      </c>
      <c r="D57" s="14">
        <f>IFERROR(INDEX(Clientes!$D:$D,MATCH(B57,Clientes!$B:$B,0)),"")</f>
        <v/>
      </c>
      <c r="E57" s="14">
        <f>IFERROR(INDEX(Clientes!$M:$M,MATCH(B57,Clientes!$B:$B,0)),"")</f>
        <v/>
      </c>
      <c r="F57" s="14">
        <f>IFERROR(INDEX(Clientes!$F:$F,MATCH(B57,Clientes!$B:$B,0)),"")</f>
        <v/>
      </c>
      <c r="G57" s="14">
        <f>IFERROR(INDEX(Clientes!$G:$G,MATCH(B57,Clientes!$B:$B,0)),"")</f>
        <v/>
      </c>
      <c r="H57" s="14" t="n"/>
      <c r="I57" s="15" t="n"/>
      <c r="J57" s="16" t="n"/>
      <c r="K57" s="14" t="n"/>
      <c r="L57" s="14" t="n"/>
      <c r="M57" s="13">
        <f>IF(I57="","",I57-TODAY())</f>
        <v/>
      </c>
      <c r="N57" s="14" t="n"/>
      <c r="O57" s="14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>
        <f>IF(OR(O57="",C57=""),"",HYPERLINK("https://wa.me/52"&amp;C57&amp;"?text="&amp;_xlfn.ENCODEURL(O57),"Enviar mensaje"))</f>
        <v/>
      </c>
      <c r="Q57" s="13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ht="15" customHeight="1" s="1">
      <c r="A58" s="13">
        <f>IF(B58="","",ROW()-1)</f>
        <v/>
      </c>
      <c r="B58" s="14" t="n"/>
      <c r="C58" s="13">
        <f>IFERROR(INDEX(Clientes!$C:$C,MATCH(B58,Clientes!$B:$B,0)),"")</f>
        <v/>
      </c>
      <c r="D58" s="14">
        <f>IFERROR(INDEX(Clientes!$D:$D,MATCH(B58,Clientes!$B:$B,0)),"")</f>
        <v/>
      </c>
      <c r="E58" s="14">
        <f>IFERROR(INDEX(Clientes!$M:$M,MATCH(B58,Clientes!$B:$B,0)),"")</f>
        <v/>
      </c>
      <c r="F58" s="14">
        <f>IFERROR(INDEX(Clientes!$F:$F,MATCH(B58,Clientes!$B:$B,0)),"")</f>
        <v/>
      </c>
      <c r="G58" s="14">
        <f>IFERROR(INDEX(Clientes!$G:$G,MATCH(B58,Clientes!$B:$B,0)),"")</f>
        <v/>
      </c>
      <c r="H58" s="14" t="n"/>
      <c r="I58" s="15" t="n"/>
      <c r="J58" s="16" t="n"/>
      <c r="K58" s="14" t="n"/>
      <c r="L58" s="14" t="n"/>
      <c r="M58" s="13">
        <f>IF(I58="","",I58-TODAY())</f>
        <v/>
      </c>
      <c r="N58" s="14" t="n"/>
      <c r="O58" s="14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>
        <f>IF(OR(O58="",C58=""),"",HYPERLINK("https://wa.me/52"&amp;C58&amp;"?text="&amp;_xlfn.ENCODEURL(O58),"Enviar mensaje"))</f>
        <v/>
      </c>
      <c r="Q58" s="13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ht="15" customHeight="1" s="1">
      <c r="A59" s="13">
        <f>IF(B59="","",ROW()-1)</f>
        <v/>
      </c>
      <c r="B59" s="14" t="n"/>
      <c r="C59" s="13">
        <f>IFERROR(INDEX(Clientes!$C:$C,MATCH(B59,Clientes!$B:$B,0)),"")</f>
        <v/>
      </c>
      <c r="D59" s="14">
        <f>IFERROR(INDEX(Clientes!$D:$D,MATCH(B59,Clientes!$B:$B,0)),"")</f>
        <v/>
      </c>
      <c r="E59" s="14">
        <f>IFERROR(INDEX(Clientes!$M:$M,MATCH(B59,Clientes!$B:$B,0)),"")</f>
        <v/>
      </c>
      <c r="F59" s="14">
        <f>IFERROR(INDEX(Clientes!$F:$F,MATCH(B59,Clientes!$B:$B,0)),"")</f>
        <v/>
      </c>
      <c r="G59" s="14">
        <f>IFERROR(INDEX(Clientes!$G:$G,MATCH(B59,Clientes!$B:$B,0)),"")</f>
        <v/>
      </c>
      <c r="H59" s="14" t="n"/>
      <c r="I59" s="15" t="n"/>
      <c r="J59" s="16" t="n"/>
      <c r="K59" s="14" t="n"/>
      <c r="L59" s="14" t="n"/>
      <c r="M59" s="13">
        <f>IF(I59="","",I59-TODAY())</f>
        <v/>
      </c>
      <c r="N59" s="14" t="n"/>
      <c r="O59" s="14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>
        <f>IF(OR(O59="",C59=""),"",HYPERLINK("https://wa.me/52"&amp;C59&amp;"?text="&amp;_xlfn.ENCODEURL(O59),"Enviar mensaje"))</f>
        <v/>
      </c>
      <c r="Q59" s="13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ht="15" customHeight="1" s="1">
      <c r="A60" s="13">
        <f>IF(B60="","",ROW()-1)</f>
        <v/>
      </c>
      <c r="B60" s="14" t="n"/>
      <c r="C60" s="13">
        <f>IFERROR(INDEX(Clientes!$C:$C,MATCH(B60,Clientes!$B:$B,0)),"")</f>
        <v/>
      </c>
      <c r="D60" s="14">
        <f>IFERROR(INDEX(Clientes!$D:$D,MATCH(B60,Clientes!$B:$B,0)),"")</f>
        <v/>
      </c>
      <c r="E60" s="14">
        <f>IFERROR(INDEX(Clientes!$M:$M,MATCH(B60,Clientes!$B:$B,0)),"")</f>
        <v/>
      </c>
      <c r="F60" s="14">
        <f>IFERROR(INDEX(Clientes!$F:$F,MATCH(B60,Clientes!$B:$B,0)),"")</f>
        <v/>
      </c>
      <c r="G60" s="14">
        <f>IFERROR(INDEX(Clientes!$G:$G,MATCH(B60,Clientes!$B:$B,0)),"")</f>
        <v/>
      </c>
      <c r="H60" s="14" t="n"/>
      <c r="I60" s="15" t="n"/>
      <c r="J60" s="16" t="n"/>
      <c r="K60" s="14" t="n"/>
      <c r="L60" s="14" t="n"/>
      <c r="M60" s="13">
        <f>IF(I60="","",I60-TODAY())</f>
        <v/>
      </c>
      <c r="N60" s="14" t="n"/>
      <c r="O60" s="14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>
        <f>IF(OR(O60="",C60=""),"",HYPERLINK("https://wa.me/52"&amp;C60&amp;"?text="&amp;_xlfn.ENCODEURL(O60),"Enviar mensaje"))</f>
        <v/>
      </c>
      <c r="Q60" s="13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ht="15" customHeight="1" s="1">
      <c r="A61" s="13">
        <f>IF(B61="","",ROW()-1)</f>
        <v/>
      </c>
      <c r="B61" s="14" t="n"/>
      <c r="C61" s="13">
        <f>IFERROR(INDEX(Clientes!$C:$C,MATCH(B61,Clientes!$B:$B,0)),"")</f>
        <v/>
      </c>
      <c r="D61" s="14">
        <f>IFERROR(INDEX(Clientes!$D:$D,MATCH(B61,Clientes!$B:$B,0)),"")</f>
        <v/>
      </c>
      <c r="E61" s="14">
        <f>IFERROR(INDEX(Clientes!$M:$M,MATCH(B61,Clientes!$B:$B,0)),"")</f>
        <v/>
      </c>
      <c r="F61" s="14">
        <f>IFERROR(INDEX(Clientes!$F:$F,MATCH(B61,Clientes!$B:$B,0)),"")</f>
        <v/>
      </c>
      <c r="G61" s="14">
        <f>IFERROR(INDEX(Clientes!$G:$G,MATCH(B61,Clientes!$B:$B,0)),"")</f>
        <v/>
      </c>
      <c r="H61" s="14" t="n"/>
      <c r="I61" s="15" t="n"/>
      <c r="J61" s="16" t="n"/>
      <c r="K61" s="14" t="n"/>
      <c r="L61" s="14" t="n"/>
      <c r="M61" s="13">
        <f>IF(I61="","",I61-TODAY())</f>
        <v/>
      </c>
      <c r="N61" s="14" t="n"/>
      <c r="O61" s="14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>
        <f>IF(OR(O61="",C61=""),"",HYPERLINK("https://wa.me/52"&amp;C61&amp;"?text="&amp;_xlfn.ENCODEURL(O61),"Enviar mensaje"))</f>
        <v/>
      </c>
      <c r="Q61" s="13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ht="15" customHeight="1" s="1">
      <c r="A62" s="13">
        <f>IF(B62="","",ROW()-1)</f>
        <v/>
      </c>
      <c r="B62" s="14" t="n"/>
      <c r="C62" s="13">
        <f>IFERROR(INDEX(Clientes!$C:$C,MATCH(B62,Clientes!$B:$B,0)),"")</f>
        <v/>
      </c>
      <c r="D62" s="14">
        <f>IFERROR(INDEX(Clientes!$D:$D,MATCH(B62,Clientes!$B:$B,0)),"")</f>
        <v/>
      </c>
      <c r="E62" s="14">
        <f>IFERROR(INDEX(Clientes!$M:$M,MATCH(B62,Clientes!$B:$B,0)),"")</f>
        <v/>
      </c>
      <c r="F62" s="14">
        <f>IFERROR(INDEX(Clientes!$F:$F,MATCH(B62,Clientes!$B:$B,0)),"")</f>
        <v/>
      </c>
      <c r="G62" s="14">
        <f>IFERROR(INDEX(Clientes!$G:$G,MATCH(B62,Clientes!$B:$B,0)),"")</f>
        <v/>
      </c>
      <c r="H62" s="14" t="n"/>
      <c r="I62" s="15" t="n"/>
      <c r="J62" s="16" t="n"/>
      <c r="K62" s="14" t="n"/>
      <c r="L62" s="14" t="n"/>
      <c r="M62" s="13">
        <f>IF(I62="","",I62-TODAY())</f>
        <v/>
      </c>
      <c r="N62" s="14" t="n"/>
      <c r="O62" s="14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>
        <f>IF(OR(O62="",C62=""),"",HYPERLINK("https://wa.me/52"&amp;C62&amp;"?text="&amp;_xlfn.ENCODEURL(O62),"Enviar mensaje"))</f>
        <v/>
      </c>
      <c r="Q62" s="13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ht="15" customHeight="1" s="1">
      <c r="A63" s="13">
        <f>IF(B63="","",ROW()-1)</f>
        <v/>
      </c>
      <c r="B63" s="14" t="n"/>
      <c r="C63" s="13">
        <f>IFERROR(INDEX(Clientes!$C:$C,MATCH(B63,Clientes!$B:$B,0)),"")</f>
        <v/>
      </c>
      <c r="D63" s="14">
        <f>IFERROR(INDEX(Clientes!$D:$D,MATCH(B63,Clientes!$B:$B,0)),"")</f>
        <v/>
      </c>
      <c r="E63" s="14">
        <f>IFERROR(INDEX(Clientes!$M:$M,MATCH(B63,Clientes!$B:$B,0)),"")</f>
        <v/>
      </c>
      <c r="F63" s="14">
        <f>IFERROR(INDEX(Clientes!$F:$F,MATCH(B63,Clientes!$B:$B,0)),"")</f>
        <v/>
      </c>
      <c r="G63" s="14">
        <f>IFERROR(INDEX(Clientes!$G:$G,MATCH(B63,Clientes!$B:$B,0)),"")</f>
        <v/>
      </c>
      <c r="H63" s="14" t="n"/>
      <c r="I63" s="15" t="n"/>
      <c r="J63" s="16" t="n"/>
      <c r="K63" s="14" t="n"/>
      <c r="L63" s="14" t="n"/>
      <c r="M63" s="13">
        <f>IF(I63="","",I63-TODAY())</f>
        <v/>
      </c>
      <c r="N63" s="14" t="n"/>
      <c r="O63" s="14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>
        <f>IF(OR(O63="",C63=""),"",HYPERLINK("https://wa.me/52"&amp;C63&amp;"?text="&amp;_xlfn.ENCODEURL(O63),"Enviar mensaje"))</f>
        <v/>
      </c>
      <c r="Q63" s="13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ht="15" customHeight="1" s="1">
      <c r="A64" s="13">
        <f>IF(B64="","",ROW()-1)</f>
        <v/>
      </c>
      <c r="B64" s="14" t="n"/>
      <c r="C64" s="13">
        <f>IFERROR(INDEX(Clientes!$C:$C,MATCH(B64,Clientes!$B:$B,0)),"")</f>
        <v/>
      </c>
      <c r="D64" s="14">
        <f>IFERROR(INDEX(Clientes!$D:$D,MATCH(B64,Clientes!$B:$B,0)),"")</f>
        <v/>
      </c>
      <c r="E64" s="14">
        <f>IFERROR(INDEX(Clientes!$M:$M,MATCH(B64,Clientes!$B:$B,0)),"")</f>
        <v/>
      </c>
      <c r="F64" s="14">
        <f>IFERROR(INDEX(Clientes!$F:$F,MATCH(B64,Clientes!$B:$B,0)),"")</f>
        <v/>
      </c>
      <c r="G64" s="14">
        <f>IFERROR(INDEX(Clientes!$G:$G,MATCH(B64,Clientes!$B:$B,0)),"")</f>
        <v/>
      </c>
      <c r="H64" s="14" t="n"/>
      <c r="I64" s="15" t="n"/>
      <c r="J64" s="16" t="n"/>
      <c r="K64" s="14" t="n"/>
      <c r="L64" s="14" t="n"/>
      <c r="M64" s="13">
        <f>IF(I64="","",I64-TODAY())</f>
        <v/>
      </c>
      <c r="N64" s="14" t="n"/>
      <c r="O64" s="14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>
        <f>IF(OR(O64="",C64=""),"",HYPERLINK("https://wa.me/52"&amp;C64&amp;"?text="&amp;_xlfn.ENCODEURL(O64),"Enviar mensaje"))</f>
        <v/>
      </c>
      <c r="Q64" s="13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ht="15" customHeight="1" s="1">
      <c r="A65" s="13">
        <f>IF(B65="","",ROW()-1)</f>
        <v/>
      </c>
      <c r="B65" s="14" t="n"/>
      <c r="C65" s="13">
        <f>IFERROR(INDEX(Clientes!$C:$C,MATCH(B65,Clientes!$B:$B,0)),"")</f>
        <v/>
      </c>
      <c r="D65" s="14">
        <f>IFERROR(INDEX(Clientes!$D:$D,MATCH(B65,Clientes!$B:$B,0)),"")</f>
        <v/>
      </c>
      <c r="E65" s="14">
        <f>IFERROR(INDEX(Clientes!$M:$M,MATCH(B65,Clientes!$B:$B,0)),"")</f>
        <v/>
      </c>
      <c r="F65" s="14">
        <f>IFERROR(INDEX(Clientes!$F:$F,MATCH(B65,Clientes!$B:$B,0)),"")</f>
        <v/>
      </c>
      <c r="G65" s="14">
        <f>IFERROR(INDEX(Clientes!$G:$G,MATCH(B65,Clientes!$B:$B,0)),"")</f>
        <v/>
      </c>
      <c r="H65" s="14" t="n"/>
      <c r="I65" s="15" t="n"/>
      <c r="J65" s="16" t="n"/>
      <c r="K65" s="14" t="n"/>
      <c r="L65" s="14" t="n"/>
      <c r="M65" s="13">
        <f>IF(I65="","",I65-TODAY())</f>
        <v/>
      </c>
      <c r="N65" s="14" t="n"/>
      <c r="O65" s="14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>
        <f>IF(OR(O65="",C65=""),"",HYPERLINK("https://wa.me/52"&amp;C65&amp;"?text="&amp;_xlfn.ENCODEURL(O65),"Enviar mensaje"))</f>
        <v/>
      </c>
      <c r="Q65" s="13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ht="15" customHeight="1" s="1">
      <c r="A66" s="13">
        <f>IF(B66="","",ROW()-1)</f>
        <v/>
      </c>
      <c r="B66" s="14" t="n"/>
      <c r="C66" s="13">
        <f>IFERROR(INDEX(Clientes!$C:$C,MATCH(B66,Clientes!$B:$B,0)),"")</f>
        <v/>
      </c>
      <c r="D66" s="14">
        <f>IFERROR(INDEX(Clientes!$D:$D,MATCH(B66,Clientes!$B:$B,0)),"")</f>
        <v/>
      </c>
      <c r="E66" s="14">
        <f>IFERROR(INDEX(Clientes!$M:$M,MATCH(B66,Clientes!$B:$B,0)),"")</f>
        <v/>
      </c>
      <c r="F66" s="14">
        <f>IFERROR(INDEX(Clientes!$F:$F,MATCH(B66,Clientes!$B:$B,0)),"")</f>
        <v/>
      </c>
      <c r="G66" s="14">
        <f>IFERROR(INDEX(Clientes!$G:$G,MATCH(B66,Clientes!$B:$B,0)),"")</f>
        <v/>
      </c>
      <c r="H66" s="14" t="n"/>
      <c r="I66" s="15" t="n"/>
      <c r="J66" s="16" t="n"/>
      <c r="K66" s="14" t="n"/>
      <c r="L66" s="14" t="n"/>
      <c r="M66" s="13">
        <f>IF(I66="","",I66-TODAY())</f>
        <v/>
      </c>
      <c r="N66" s="14" t="n"/>
      <c r="O66" s="14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>
        <f>IF(OR(O66="",C66=""),"",HYPERLINK("https://wa.me/52"&amp;C66&amp;"?text="&amp;_xlfn.ENCODEURL(O66),"Enviar mensaje"))</f>
        <v/>
      </c>
      <c r="Q66" s="13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ht="15" customHeight="1" s="1">
      <c r="A67" s="13">
        <f>IF(B67="","",ROW()-1)</f>
        <v/>
      </c>
      <c r="B67" s="14" t="n"/>
      <c r="C67" s="13">
        <f>IFERROR(INDEX(Clientes!$C:$C,MATCH(B67,Clientes!$B:$B,0)),"")</f>
        <v/>
      </c>
      <c r="D67" s="14">
        <f>IFERROR(INDEX(Clientes!$D:$D,MATCH(B67,Clientes!$B:$B,0)),"")</f>
        <v/>
      </c>
      <c r="E67" s="14">
        <f>IFERROR(INDEX(Clientes!$M:$M,MATCH(B67,Clientes!$B:$B,0)),"")</f>
        <v/>
      </c>
      <c r="F67" s="14">
        <f>IFERROR(INDEX(Clientes!$F:$F,MATCH(B67,Clientes!$B:$B,0)),"")</f>
        <v/>
      </c>
      <c r="G67" s="14">
        <f>IFERROR(INDEX(Clientes!$G:$G,MATCH(B67,Clientes!$B:$B,0)),"")</f>
        <v/>
      </c>
      <c r="H67" s="14" t="n"/>
      <c r="I67" s="15" t="n"/>
      <c r="J67" s="16" t="n"/>
      <c r="K67" s="14" t="n"/>
      <c r="L67" s="14" t="n"/>
      <c r="M67" s="13">
        <f>IF(I67="","",I67-TODAY())</f>
        <v/>
      </c>
      <c r="N67" s="14" t="n"/>
      <c r="O67" s="14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>
        <f>IF(OR(O67="",C67=""),"",HYPERLINK("https://wa.me/52"&amp;C67&amp;"?text="&amp;_xlfn.ENCODEURL(O67),"Enviar mensaje"))</f>
        <v/>
      </c>
      <c r="Q67" s="13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ht="15" customHeight="1" s="1">
      <c r="A68" s="13">
        <f>IF(B68="","",ROW()-1)</f>
        <v/>
      </c>
      <c r="B68" s="14" t="n"/>
      <c r="C68" s="13">
        <f>IFERROR(INDEX(Clientes!$C:$C,MATCH(B68,Clientes!$B:$B,0)),"")</f>
        <v/>
      </c>
      <c r="D68" s="14">
        <f>IFERROR(INDEX(Clientes!$D:$D,MATCH(B68,Clientes!$B:$B,0)),"")</f>
        <v/>
      </c>
      <c r="E68" s="14">
        <f>IFERROR(INDEX(Clientes!$M:$M,MATCH(B68,Clientes!$B:$B,0)),"")</f>
        <v/>
      </c>
      <c r="F68" s="14">
        <f>IFERROR(INDEX(Clientes!$F:$F,MATCH(B68,Clientes!$B:$B,0)),"")</f>
        <v/>
      </c>
      <c r="G68" s="14">
        <f>IFERROR(INDEX(Clientes!$G:$G,MATCH(B68,Clientes!$B:$B,0)),"")</f>
        <v/>
      </c>
      <c r="H68" s="14" t="n"/>
      <c r="I68" s="15" t="n"/>
      <c r="J68" s="16" t="n"/>
      <c r="K68" s="14" t="n"/>
      <c r="L68" s="14" t="n"/>
      <c r="M68" s="13">
        <f>IF(I68="","",I68-TODAY())</f>
        <v/>
      </c>
      <c r="N68" s="14" t="n"/>
      <c r="O68" s="14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>
        <f>IF(OR(O68="",C68=""),"",HYPERLINK("https://wa.me/52"&amp;C68&amp;"?text="&amp;_xlfn.ENCODEURL(O68),"Enviar mensaje"))</f>
        <v/>
      </c>
      <c r="Q68" s="13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ht="15" customHeight="1" s="1">
      <c r="A69" s="13">
        <f>IF(B69="","",ROW()-1)</f>
        <v/>
      </c>
      <c r="B69" s="14" t="n"/>
      <c r="C69" s="13">
        <f>IFERROR(INDEX(Clientes!$C:$C,MATCH(B69,Clientes!$B:$B,0)),"")</f>
        <v/>
      </c>
      <c r="D69" s="14">
        <f>IFERROR(INDEX(Clientes!$D:$D,MATCH(B69,Clientes!$B:$B,0)),"")</f>
        <v/>
      </c>
      <c r="E69" s="14">
        <f>IFERROR(INDEX(Clientes!$M:$M,MATCH(B69,Clientes!$B:$B,0)),"")</f>
        <v/>
      </c>
      <c r="F69" s="14">
        <f>IFERROR(INDEX(Clientes!$F:$F,MATCH(B69,Clientes!$B:$B,0)),"")</f>
        <v/>
      </c>
      <c r="G69" s="14">
        <f>IFERROR(INDEX(Clientes!$G:$G,MATCH(B69,Clientes!$B:$B,0)),"")</f>
        <v/>
      </c>
      <c r="H69" s="14" t="n"/>
      <c r="I69" s="15" t="n"/>
      <c r="J69" s="16" t="n"/>
      <c r="K69" s="14" t="n"/>
      <c r="L69" s="14" t="n"/>
      <c r="M69" s="13">
        <f>IF(I69="","",I69-TODAY())</f>
        <v/>
      </c>
      <c r="N69" s="14" t="n"/>
      <c r="O69" s="14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>
        <f>IF(OR(O69="",C69=""),"",HYPERLINK("https://wa.me/52"&amp;C69&amp;"?text="&amp;_xlfn.ENCODEURL(O69),"Enviar mensaje"))</f>
        <v/>
      </c>
      <c r="Q69" s="13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ht="15" customHeight="1" s="1">
      <c r="A70" s="13">
        <f>IF(B70="","",ROW()-1)</f>
        <v/>
      </c>
      <c r="B70" s="14" t="n"/>
      <c r="C70" s="13">
        <f>IFERROR(INDEX(Clientes!$C:$C,MATCH(B70,Clientes!$B:$B,0)),"")</f>
        <v/>
      </c>
      <c r="D70" s="14">
        <f>IFERROR(INDEX(Clientes!$D:$D,MATCH(B70,Clientes!$B:$B,0)),"")</f>
        <v/>
      </c>
      <c r="E70" s="14">
        <f>IFERROR(INDEX(Clientes!$M:$M,MATCH(B70,Clientes!$B:$B,0)),"")</f>
        <v/>
      </c>
      <c r="F70" s="14">
        <f>IFERROR(INDEX(Clientes!$F:$F,MATCH(B70,Clientes!$B:$B,0)),"")</f>
        <v/>
      </c>
      <c r="G70" s="14">
        <f>IFERROR(INDEX(Clientes!$G:$G,MATCH(B70,Clientes!$B:$B,0)),"")</f>
        <v/>
      </c>
      <c r="H70" s="14" t="n"/>
      <c r="I70" s="15" t="n"/>
      <c r="J70" s="16" t="n"/>
      <c r="K70" s="14" t="n"/>
      <c r="L70" s="14" t="n"/>
      <c r="M70" s="13">
        <f>IF(I70="","",I70-TODAY())</f>
        <v/>
      </c>
      <c r="N70" s="14" t="n"/>
      <c r="O70" s="14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>
        <f>IF(OR(O70="",C70=""),"",HYPERLINK("https://wa.me/52"&amp;C70&amp;"?text="&amp;_xlfn.ENCODEURL(O70),"Enviar mensaje"))</f>
        <v/>
      </c>
      <c r="Q70" s="13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ht="15" customHeight="1" s="1">
      <c r="A71" s="13">
        <f>IF(B71="","",ROW()-1)</f>
        <v/>
      </c>
      <c r="B71" s="14" t="n"/>
      <c r="C71" s="13">
        <f>IFERROR(INDEX(Clientes!$C:$C,MATCH(B71,Clientes!$B:$B,0)),"")</f>
        <v/>
      </c>
      <c r="D71" s="14">
        <f>IFERROR(INDEX(Clientes!$D:$D,MATCH(B71,Clientes!$B:$B,0)),"")</f>
        <v/>
      </c>
      <c r="E71" s="14">
        <f>IFERROR(INDEX(Clientes!$M:$M,MATCH(B71,Clientes!$B:$B,0)),"")</f>
        <v/>
      </c>
      <c r="F71" s="14">
        <f>IFERROR(INDEX(Clientes!$F:$F,MATCH(B71,Clientes!$B:$B,0)),"")</f>
        <v/>
      </c>
      <c r="G71" s="14">
        <f>IFERROR(INDEX(Clientes!$G:$G,MATCH(B71,Clientes!$B:$B,0)),"")</f>
        <v/>
      </c>
      <c r="H71" s="14" t="n"/>
      <c r="I71" s="15" t="n"/>
      <c r="J71" s="16" t="n"/>
      <c r="K71" s="14" t="n"/>
      <c r="L71" s="14" t="n"/>
      <c r="M71" s="13">
        <f>IF(I71="","",I71-TODAY())</f>
        <v/>
      </c>
      <c r="N71" s="14" t="n"/>
      <c r="O71" s="14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>
        <f>IF(OR(O71="",C71=""),"",HYPERLINK("https://wa.me/52"&amp;C71&amp;"?text="&amp;_xlfn.ENCODEURL(O71),"Enviar mensaje"))</f>
        <v/>
      </c>
      <c r="Q71" s="13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ht="15" customHeight="1" s="1">
      <c r="A72" s="13">
        <f>IF(B72="","",ROW()-1)</f>
        <v/>
      </c>
      <c r="B72" s="14" t="n"/>
      <c r="C72" s="13">
        <f>IFERROR(INDEX(Clientes!$C:$C,MATCH(B72,Clientes!$B:$B,0)),"")</f>
        <v/>
      </c>
      <c r="D72" s="14">
        <f>IFERROR(INDEX(Clientes!$D:$D,MATCH(B72,Clientes!$B:$B,0)),"")</f>
        <v/>
      </c>
      <c r="E72" s="14">
        <f>IFERROR(INDEX(Clientes!$M:$M,MATCH(B72,Clientes!$B:$B,0)),"")</f>
        <v/>
      </c>
      <c r="F72" s="14">
        <f>IFERROR(INDEX(Clientes!$F:$F,MATCH(B72,Clientes!$B:$B,0)),"")</f>
        <v/>
      </c>
      <c r="G72" s="14">
        <f>IFERROR(INDEX(Clientes!$G:$G,MATCH(B72,Clientes!$B:$B,0)),"")</f>
        <v/>
      </c>
      <c r="H72" s="14" t="n"/>
      <c r="I72" s="15" t="n"/>
      <c r="J72" s="16" t="n"/>
      <c r="K72" s="14" t="n"/>
      <c r="L72" s="14" t="n"/>
      <c r="M72" s="13">
        <f>IF(I72="","",I72-TODAY())</f>
        <v/>
      </c>
      <c r="N72" s="14" t="n"/>
      <c r="O72" s="14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>
        <f>IF(OR(O72="",C72=""),"",HYPERLINK("https://wa.me/52"&amp;C72&amp;"?text="&amp;_xlfn.ENCODEURL(O72),"Enviar mensaje"))</f>
        <v/>
      </c>
      <c r="Q72" s="13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ht="15" customHeight="1" s="1">
      <c r="A73" s="13">
        <f>IF(B73="","",ROW()-1)</f>
        <v/>
      </c>
      <c r="B73" s="14" t="n"/>
      <c r="C73" s="13">
        <f>IFERROR(INDEX(Clientes!$C:$C,MATCH(B73,Clientes!$B:$B,0)),"")</f>
        <v/>
      </c>
      <c r="D73" s="14">
        <f>IFERROR(INDEX(Clientes!$D:$D,MATCH(B73,Clientes!$B:$B,0)),"")</f>
        <v/>
      </c>
      <c r="E73" s="14">
        <f>IFERROR(INDEX(Clientes!$M:$M,MATCH(B73,Clientes!$B:$B,0)),"")</f>
        <v/>
      </c>
      <c r="F73" s="14">
        <f>IFERROR(INDEX(Clientes!$F:$F,MATCH(B73,Clientes!$B:$B,0)),"")</f>
        <v/>
      </c>
      <c r="G73" s="14">
        <f>IFERROR(INDEX(Clientes!$G:$G,MATCH(B73,Clientes!$B:$B,0)),"")</f>
        <v/>
      </c>
      <c r="H73" s="14" t="n"/>
      <c r="I73" s="15" t="n"/>
      <c r="J73" s="16" t="n"/>
      <c r="K73" s="14" t="n"/>
      <c r="L73" s="14" t="n"/>
      <c r="M73" s="13">
        <f>IF(I73="","",I73-TODAY())</f>
        <v/>
      </c>
      <c r="N73" s="14" t="n"/>
      <c r="O73" s="14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>
        <f>IF(OR(O73="",C73=""),"",HYPERLINK("https://wa.me/52"&amp;C73&amp;"?text="&amp;_xlfn.ENCODEURL(O73),"Enviar mensaje"))</f>
        <v/>
      </c>
      <c r="Q73" s="13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ht="15" customHeight="1" s="1">
      <c r="A74" s="13">
        <f>IF(B74="","",ROW()-1)</f>
        <v/>
      </c>
      <c r="B74" s="14" t="n"/>
      <c r="C74" s="13">
        <f>IFERROR(INDEX(Clientes!$C:$C,MATCH(B74,Clientes!$B:$B,0)),"")</f>
        <v/>
      </c>
      <c r="D74" s="14">
        <f>IFERROR(INDEX(Clientes!$D:$D,MATCH(B74,Clientes!$B:$B,0)),"")</f>
        <v/>
      </c>
      <c r="E74" s="14">
        <f>IFERROR(INDEX(Clientes!$M:$M,MATCH(B74,Clientes!$B:$B,0)),"")</f>
        <v/>
      </c>
      <c r="F74" s="14">
        <f>IFERROR(INDEX(Clientes!$F:$F,MATCH(B74,Clientes!$B:$B,0)),"")</f>
        <v/>
      </c>
      <c r="G74" s="14">
        <f>IFERROR(INDEX(Clientes!$G:$G,MATCH(B74,Clientes!$B:$B,0)),"")</f>
        <v/>
      </c>
      <c r="H74" s="14" t="n"/>
      <c r="I74" s="15" t="n"/>
      <c r="J74" s="16" t="n"/>
      <c r="K74" s="14" t="n"/>
      <c r="L74" s="14" t="n"/>
      <c r="M74" s="13">
        <f>IF(I74="","",I74-TODAY())</f>
        <v/>
      </c>
      <c r="N74" s="14" t="n"/>
      <c r="O74" s="14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>
        <f>IF(OR(O74="",C74=""),"",HYPERLINK("https://wa.me/52"&amp;C74&amp;"?text="&amp;_xlfn.ENCODEURL(O74),"Enviar mensaje"))</f>
        <v/>
      </c>
      <c r="Q74" s="13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ht="15" customHeight="1" s="1">
      <c r="A75" s="13">
        <f>IF(B75="","",ROW()-1)</f>
        <v/>
      </c>
      <c r="B75" s="14" t="n"/>
      <c r="C75" s="13">
        <f>IFERROR(INDEX(Clientes!$C:$C,MATCH(B75,Clientes!$B:$B,0)),"")</f>
        <v/>
      </c>
      <c r="D75" s="14">
        <f>IFERROR(INDEX(Clientes!$D:$D,MATCH(B75,Clientes!$B:$B,0)),"")</f>
        <v/>
      </c>
      <c r="E75" s="14">
        <f>IFERROR(INDEX(Clientes!$M:$M,MATCH(B75,Clientes!$B:$B,0)),"")</f>
        <v/>
      </c>
      <c r="F75" s="14">
        <f>IFERROR(INDEX(Clientes!$F:$F,MATCH(B75,Clientes!$B:$B,0)),"")</f>
        <v/>
      </c>
      <c r="G75" s="14">
        <f>IFERROR(INDEX(Clientes!$G:$G,MATCH(B75,Clientes!$B:$B,0)),"")</f>
        <v/>
      </c>
      <c r="H75" s="14" t="n"/>
      <c r="I75" s="15" t="n"/>
      <c r="J75" s="16" t="n"/>
      <c r="K75" s="14" t="n"/>
      <c r="L75" s="14" t="n"/>
      <c r="M75" s="13">
        <f>IF(I75="","",I75-TODAY())</f>
        <v/>
      </c>
      <c r="N75" s="14" t="n"/>
      <c r="O75" s="14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>
        <f>IF(OR(O75="",C75=""),"",HYPERLINK("https://wa.me/52"&amp;C75&amp;"?text="&amp;_xlfn.ENCODEURL(O75),"Enviar mensaje"))</f>
        <v/>
      </c>
      <c r="Q75" s="13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ht="15" customHeight="1" s="1">
      <c r="A76" s="13">
        <f>IF(B76="","",ROW()-1)</f>
        <v/>
      </c>
      <c r="B76" s="14" t="n"/>
      <c r="C76" s="13">
        <f>IFERROR(INDEX(Clientes!$C:$C,MATCH(B76,Clientes!$B:$B,0)),"")</f>
        <v/>
      </c>
      <c r="D76" s="14">
        <f>IFERROR(INDEX(Clientes!$D:$D,MATCH(B76,Clientes!$B:$B,0)),"")</f>
        <v/>
      </c>
      <c r="E76" s="14">
        <f>IFERROR(INDEX(Clientes!$M:$M,MATCH(B76,Clientes!$B:$B,0)),"")</f>
        <v/>
      </c>
      <c r="F76" s="14">
        <f>IFERROR(INDEX(Clientes!$F:$F,MATCH(B76,Clientes!$B:$B,0)),"")</f>
        <v/>
      </c>
      <c r="G76" s="14">
        <f>IFERROR(INDEX(Clientes!$G:$G,MATCH(B76,Clientes!$B:$B,0)),"")</f>
        <v/>
      </c>
      <c r="H76" s="14" t="n"/>
      <c r="I76" s="15" t="n"/>
      <c r="J76" s="16" t="n"/>
      <c r="K76" s="14" t="n"/>
      <c r="L76" s="14" t="n"/>
      <c r="M76" s="13">
        <f>IF(I76="","",I76-TODAY())</f>
        <v/>
      </c>
      <c r="N76" s="14" t="n"/>
      <c r="O76" s="14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>
        <f>IF(OR(O76="",C76=""),"",HYPERLINK("https://wa.me/52"&amp;C76&amp;"?text="&amp;_xlfn.ENCODEURL(O76),"Enviar mensaje"))</f>
        <v/>
      </c>
      <c r="Q76" s="13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ht="15" customHeight="1" s="1">
      <c r="A77" s="13">
        <f>IF(B77="","",ROW()-1)</f>
        <v/>
      </c>
      <c r="B77" s="14" t="n"/>
      <c r="C77" s="13">
        <f>IFERROR(INDEX(Clientes!$C:$C,MATCH(B77,Clientes!$B:$B,0)),"")</f>
        <v/>
      </c>
      <c r="D77" s="14">
        <f>IFERROR(INDEX(Clientes!$D:$D,MATCH(B77,Clientes!$B:$B,0)),"")</f>
        <v/>
      </c>
      <c r="E77" s="14">
        <f>IFERROR(INDEX(Clientes!$M:$M,MATCH(B77,Clientes!$B:$B,0)),"")</f>
        <v/>
      </c>
      <c r="F77" s="14">
        <f>IFERROR(INDEX(Clientes!$F:$F,MATCH(B77,Clientes!$B:$B,0)),"")</f>
        <v/>
      </c>
      <c r="G77" s="14">
        <f>IFERROR(INDEX(Clientes!$G:$G,MATCH(B77,Clientes!$B:$B,0)),"")</f>
        <v/>
      </c>
      <c r="H77" s="14" t="n"/>
      <c r="I77" s="15" t="n"/>
      <c r="J77" s="16" t="n"/>
      <c r="K77" s="14" t="n"/>
      <c r="L77" s="14" t="n"/>
      <c r="M77" s="13">
        <f>IF(I77="","",I77-TODAY())</f>
        <v/>
      </c>
      <c r="N77" s="14" t="n"/>
      <c r="O77" s="14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>
        <f>IF(OR(O77="",C77=""),"",HYPERLINK("https://wa.me/52"&amp;C77&amp;"?text="&amp;_xlfn.ENCODEURL(O77),"Enviar mensaje"))</f>
        <v/>
      </c>
      <c r="Q77" s="13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ht="15" customHeight="1" s="1">
      <c r="A78" s="13">
        <f>IF(B78="","",ROW()-1)</f>
        <v/>
      </c>
      <c r="B78" s="14" t="n"/>
      <c r="C78" s="13">
        <f>IFERROR(INDEX(Clientes!$C:$C,MATCH(B78,Clientes!$B:$B,0)),"")</f>
        <v/>
      </c>
      <c r="D78" s="14">
        <f>IFERROR(INDEX(Clientes!$D:$D,MATCH(B78,Clientes!$B:$B,0)),"")</f>
        <v/>
      </c>
      <c r="E78" s="14">
        <f>IFERROR(INDEX(Clientes!$M:$M,MATCH(B78,Clientes!$B:$B,0)),"")</f>
        <v/>
      </c>
      <c r="F78" s="14">
        <f>IFERROR(INDEX(Clientes!$F:$F,MATCH(B78,Clientes!$B:$B,0)),"")</f>
        <v/>
      </c>
      <c r="G78" s="14">
        <f>IFERROR(INDEX(Clientes!$G:$G,MATCH(B78,Clientes!$B:$B,0)),"")</f>
        <v/>
      </c>
      <c r="H78" s="14" t="n"/>
      <c r="I78" s="15" t="n"/>
      <c r="J78" s="16" t="n"/>
      <c r="K78" s="14" t="n"/>
      <c r="L78" s="14" t="n"/>
      <c r="M78" s="13">
        <f>IF(I78="","",I78-TODAY())</f>
        <v/>
      </c>
      <c r="N78" s="14" t="n"/>
      <c r="O78" s="14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>
        <f>IF(OR(O78="",C78=""),"",HYPERLINK("https://wa.me/52"&amp;C78&amp;"?text="&amp;_xlfn.ENCODEURL(O78),"Enviar mensaje"))</f>
        <v/>
      </c>
      <c r="Q78" s="13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ht="15" customHeight="1" s="1">
      <c r="A79" s="13">
        <f>IF(B79="","",ROW()-1)</f>
        <v/>
      </c>
      <c r="B79" s="14" t="n"/>
      <c r="C79" s="13">
        <f>IFERROR(INDEX(Clientes!$C:$C,MATCH(B79,Clientes!$B:$B,0)),"")</f>
        <v/>
      </c>
      <c r="D79" s="14">
        <f>IFERROR(INDEX(Clientes!$D:$D,MATCH(B79,Clientes!$B:$B,0)),"")</f>
        <v/>
      </c>
      <c r="E79" s="14">
        <f>IFERROR(INDEX(Clientes!$M:$M,MATCH(B79,Clientes!$B:$B,0)),"")</f>
        <v/>
      </c>
      <c r="F79" s="14">
        <f>IFERROR(INDEX(Clientes!$F:$F,MATCH(B79,Clientes!$B:$B,0)),"")</f>
        <v/>
      </c>
      <c r="G79" s="14">
        <f>IFERROR(INDEX(Clientes!$G:$G,MATCH(B79,Clientes!$B:$B,0)),"")</f>
        <v/>
      </c>
      <c r="H79" s="14" t="n"/>
      <c r="I79" s="15" t="n"/>
      <c r="J79" s="16" t="n"/>
      <c r="K79" s="14" t="n"/>
      <c r="L79" s="14" t="n"/>
      <c r="M79" s="13">
        <f>IF(I79="","",I79-TODAY())</f>
        <v/>
      </c>
      <c r="N79" s="14" t="n"/>
      <c r="O79" s="14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>
        <f>IF(OR(O79="",C79=""),"",HYPERLINK("https://wa.me/52"&amp;C79&amp;"?text="&amp;_xlfn.ENCODEURL(O79),"Enviar mensaje"))</f>
        <v/>
      </c>
      <c r="Q79" s="13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ht="15" customHeight="1" s="1">
      <c r="A80" s="13">
        <f>IF(B80="","",ROW()-1)</f>
        <v/>
      </c>
      <c r="B80" s="14" t="n"/>
      <c r="C80" s="13">
        <f>IFERROR(INDEX(Clientes!$C:$C,MATCH(B80,Clientes!$B:$B,0)),"")</f>
        <v/>
      </c>
      <c r="D80" s="14">
        <f>IFERROR(INDEX(Clientes!$D:$D,MATCH(B80,Clientes!$B:$B,0)),"")</f>
        <v/>
      </c>
      <c r="E80" s="14">
        <f>IFERROR(INDEX(Clientes!$M:$M,MATCH(B80,Clientes!$B:$B,0)),"")</f>
        <v/>
      </c>
      <c r="F80" s="14">
        <f>IFERROR(INDEX(Clientes!$F:$F,MATCH(B80,Clientes!$B:$B,0)),"")</f>
        <v/>
      </c>
      <c r="G80" s="14">
        <f>IFERROR(INDEX(Clientes!$G:$G,MATCH(B80,Clientes!$B:$B,0)),"")</f>
        <v/>
      </c>
      <c r="H80" s="14" t="n"/>
      <c r="I80" s="15" t="n"/>
      <c r="J80" s="16" t="n"/>
      <c r="K80" s="14" t="n"/>
      <c r="L80" s="14" t="n"/>
      <c r="M80" s="13">
        <f>IF(I80="","",I80-TODAY())</f>
        <v/>
      </c>
      <c r="N80" s="14" t="n"/>
      <c r="O80" s="14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>
        <f>IF(OR(O80="",C80=""),"",HYPERLINK("https://wa.me/52"&amp;C80&amp;"?text="&amp;_xlfn.ENCODEURL(O80),"Enviar mensaje"))</f>
        <v/>
      </c>
      <c r="Q80" s="13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ht="15" customHeight="1" s="1">
      <c r="A81" s="13">
        <f>IF(B81="","",ROW()-1)</f>
        <v/>
      </c>
      <c r="B81" s="14" t="n"/>
      <c r="C81" s="13">
        <f>IFERROR(INDEX(Clientes!$C:$C,MATCH(B81,Clientes!$B:$B,0)),"")</f>
        <v/>
      </c>
      <c r="D81" s="14">
        <f>IFERROR(INDEX(Clientes!$D:$D,MATCH(B81,Clientes!$B:$B,0)),"")</f>
        <v/>
      </c>
      <c r="E81" s="14">
        <f>IFERROR(INDEX(Clientes!$M:$M,MATCH(B81,Clientes!$B:$B,0)),"")</f>
        <v/>
      </c>
      <c r="F81" s="14">
        <f>IFERROR(INDEX(Clientes!$F:$F,MATCH(B81,Clientes!$B:$B,0)),"")</f>
        <v/>
      </c>
      <c r="G81" s="14">
        <f>IFERROR(INDEX(Clientes!$G:$G,MATCH(B81,Clientes!$B:$B,0)),"")</f>
        <v/>
      </c>
      <c r="H81" s="14" t="n"/>
      <c r="I81" s="15" t="n"/>
      <c r="J81" s="16" t="n"/>
      <c r="K81" s="14" t="n"/>
      <c r="L81" s="14" t="n"/>
      <c r="M81" s="13">
        <f>IF(I81="","",I81-TODAY())</f>
        <v/>
      </c>
      <c r="N81" s="14" t="n"/>
      <c r="O81" s="14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>
        <f>IF(OR(O81="",C81=""),"",HYPERLINK("https://wa.me/52"&amp;C81&amp;"?text="&amp;_xlfn.ENCODEURL(O81),"Enviar mensaje"))</f>
        <v/>
      </c>
      <c r="Q81" s="13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ht="15" customHeight="1" s="1">
      <c r="A82" s="13">
        <f>IF(B82="","",ROW()-1)</f>
        <v/>
      </c>
      <c r="B82" s="14" t="n"/>
      <c r="C82" s="13">
        <f>IFERROR(INDEX(Clientes!$C:$C,MATCH(B82,Clientes!$B:$B,0)),"")</f>
        <v/>
      </c>
      <c r="D82" s="14">
        <f>IFERROR(INDEX(Clientes!$D:$D,MATCH(B82,Clientes!$B:$B,0)),"")</f>
        <v/>
      </c>
      <c r="E82" s="14">
        <f>IFERROR(INDEX(Clientes!$M:$M,MATCH(B82,Clientes!$B:$B,0)),"")</f>
        <v/>
      </c>
      <c r="F82" s="14">
        <f>IFERROR(INDEX(Clientes!$F:$F,MATCH(B82,Clientes!$B:$B,0)),"")</f>
        <v/>
      </c>
      <c r="G82" s="14">
        <f>IFERROR(INDEX(Clientes!$G:$G,MATCH(B82,Clientes!$B:$B,0)),"")</f>
        <v/>
      </c>
      <c r="H82" s="14" t="n"/>
      <c r="I82" s="15" t="n"/>
      <c r="J82" s="16" t="n"/>
      <c r="K82" s="14" t="n"/>
      <c r="L82" s="14" t="n"/>
      <c r="M82" s="13">
        <f>IF(I82="","",I82-TODAY())</f>
        <v/>
      </c>
      <c r="N82" s="14" t="n"/>
      <c r="O82" s="14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>
        <f>IF(OR(O82="",C82=""),"",HYPERLINK("https://wa.me/52"&amp;C82&amp;"?text="&amp;_xlfn.ENCODEURL(O82),"Enviar mensaje"))</f>
        <v/>
      </c>
      <c r="Q82" s="13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ht="15" customHeight="1" s="1">
      <c r="A83" s="13">
        <f>IF(B83="","",ROW()-1)</f>
        <v/>
      </c>
      <c r="B83" s="14" t="n"/>
      <c r="C83" s="13">
        <f>IFERROR(INDEX(Clientes!$C:$C,MATCH(B83,Clientes!$B:$B,0)),"")</f>
        <v/>
      </c>
      <c r="D83" s="14">
        <f>IFERROR(INDEX(Clientes!$D:$D,MATCH(B83,Clientes!$B:$B,0)),"")</f>
        <v/>
      </c>
      <c r="E83" s="14">
        <f>IFERROR(INDEX(Clientes!$M:$M,MATCH(B83,Clientes!$B:$B,0)),"")</f>
        <v/>
      </c>
      <c r="F83" s="14">
        <f>IFERROR(INDEX(Clientes!$F:$F,MATCH(B83,Clientes!$B:$B,0)),"")</f>
        <v/>
      </c>
      <c r="G83" s="14">
        <f>IFERROR(INDEX(Clientes!$G:$G,MATCH(B83,Clientes!$B:$B,0)),"")</f>
        <v/>
      </c>
      <c r="H83" s="14" t="n"/>
      <c r="I83" s="15" t="n"/>
      <c r="J83" s="16" t="n"/>
      <c r="K83" s="14" t="n"/>
      <c r="L83" s="14" t="n"/>
      <c r="M83" s="13">
        <f>IF(I83="","",I83-TODAY())</f>
        <v/>
      </c>
      <c r="N83" s="14" t="n"/>
      <c r="O83" s="14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>
        <f>IF(OR(O83="",C83=""),"",HYPERLINK("https://wa.me/52"&amp;C83&amp;"?text="&amp;_xlfn.ENCODEURL(O83),"Enviar mensaje"))</f>
        <v/>
      </c>
      <c r="Q83" s="13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ht="15" customHeight="1" s="1">
      <c r="A84" s="13">
        <f>IF(B84="","",ROW()-1)</f>
        <v/>
      </c>
      <c r="B84" s="14" t="n"/>
      <c r="C84" s="13">
        <f>IFERROR(INDEX(Clientes!$C:$C,MATCH(B84,Clientes!$B:$B,0)),"")</f>
        <v/>
      </c>
      <c r="D84" s="14">
        <f>IFERROR(INDEX(Clientes!$D:$D,MATCH(B84,Clientes!$B:$B,0)),"")</f>
        <v/>
      </c>
      <c r="E84" s="14">
        <f>IFERROR(INDEX(Clientes!$M:$M,MATCH(B84,Clientes!$B:$B,0)),"")</f>
        <v/>
      </c>
      <c r="F84" s="14">
        <f>IFERROR(INDEX(Clientes!$F:$F,MATCH(B84,Clientes!$B:$B,0)),"")</f>
        <v/>
      </c>
      <c r="G84" s="14">
        <f>IFERROR(INDEX(Clientes!$G:$G,MATCH(B84,Clientes!$B:$B,0)),"")</f>
        <v/>
      </c>
      <c r="H84" s="14" t="n"/>
      <c r="I84" s="15" t="n"/>
      <c r="J84" s="16" t="n"/>
      <c r="K84" s="14" t="n"/>
      <c r="L84" s="14" t="n"/>
      <c r="M84" s="13">
        <f>IF(I84="","",I84-TODAY())</f>
        <v/>
      </c>
      <c r="N84" s="14" t="n"/>
      <c r="O84" s="14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>
        <f>IF(OR(O84="",C84=""),"",HYPERLINK("https://wa.me/52"&amp;C84&amp;"?text="&amp;_xlfn.ENCODEURL(O84),"Enviar mensaje"))</f>
        <v/>
      </c>
      <c r="Q84" s="13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ht="15" customHeight="1" s="1">
      <c r="A85" s="13">
        <f>IF(B85="","",ROW()-1)</f>
        <v/>
      </c>
      <c r="B85" s="14" t="n"/>
      <c r="C85" s="13">
        <f>IFERROR(INDEX(Clientes!$C:$C,MATCH(B85,Clientes!$B:$B,0)),"")</f>
        <v/>
      </c>
      <c r="D85" s="14">
        <f>IFERROR(INDEX(Clientes!$D:$D,MATCH(B85,Clientes!$B:$B,0)),"")</f>
        <v/>
      </c>
      <c r="E85" s="14">
        <f>IFERROR(INDEX(Clientes!$M:$M,MATCH(B85,Clientes!$B:$B,0)),"")</f>
        <v/>
      </c>
      <c r="F85" s="14">
        <f>IFERROR(INDEX(Clientes!$F:$F,MATCH(B85,Clientes!$B:$B,0)),"")</f>
        <v/>
      </c>
      <c r="G85" s="14">
        <f>IFERROR(INDEX(Clientes!$G:$G,MATCH(B85,Clientes!$B:$B,0)),"")</f>
        <v/>
      </c>
      <c r="H85" s="14" t="n"/>
      <c r="I85" s="15" t="n"/>
      <c r="J85" s="16" t="n"/>
      <c r="K85" s="14" t="n"/>
      <c r="L85" s="14" t="n"/>
      <c r="M85" s="13">
        <f>IF(I85="","",I85-TODAY())</f>
        <v/>
      </c>
      <c r="N85" s="14" t="n"/>
      <c r="O85" s="14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>
        <f>IF(OR(O85="",C85=""),"",HYPERLINK("https://wa.me/52"&amp;C85&amp;"?text="&amp;_xlfn.ENCODEURL(O85),"Enviar mensaje"))</f>
        <v/>
      </c>
      <c r="Q85" s="13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ht="15" customHeight="1" s="1">
      <c r="A86" s="13">
        <f>IF(B86="","",ROW()-1)</f>
        <v/>
      </c>
      <c r="B86" s="14" t="n"/>
      <c r="C86" s="13">
        <f>IFERROR(INDEX(Clientes!$C:$C,MATCH(B86,Clientes!$B:$B,0)),"")</f>
        <v/>
      </c>
      <c r="D86" s="14">
        <f>IFERROR(INDEX(Clientes!$D:$D,MATCH(B86,Clientes!$B:$B,0)),"")</f>
        <v/>
      </c>
      <c r="E86" s="14">
        <f>IFERROR(INDEX(Clientes!$M:$M,MATCH(B86,Clientes!$B:$B,0)),"")</f>
        <v/>
      </c>
      <c r="F86" s="14">
        <f>IFERROR(INDEX(Clientes!$F:$F,MATCH(B86,Clientes!$B:$B,0)),"")</f>
        <v/>
      </c>
      <c r="G86" s="14">
        <f>IFERROR(INDEX(Clientes!$G:$G,MATCH(B86,Clientes!$B:$B,0)),"")</f>
        <v/>
      </c>
      <c r="H86" s="14" t="n"/>
      <c r="I86" s="15" t="n"/>
      <c r="J86" s="16" t="n"/>
      <c r="K86" s="14" t="n"/>
      <c r="L86" s="14" t="n"/>
      <c r="M86" s="13">
        <f>IF(I86="","",I86-TODAY())</f>
        <v/>
      </c>
      <c r="N86" s="14" t="n"/>
      <c r="O86" s="14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>
        <f>IF(OR(O86="",C86=""),"",HYPERLINK("https://wa.me/52"&amp;C86&amp;"?text="&amp;_xlfn.ENCODEURL(O86),"Enviar mensaje"))</f>
        <v/>
      </c>
      <c r="Q86" s="13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ht="15" customHeight="1" s="1">
      <c r="A87" s="13">
        <f>IF(B87="","",ROW()-1)</f>
        <v/>
      </c>
      <c r="B87" s="14" t="n"/>
      <c r="C87" s="13">
        <f>IFERROR(INDEX(Clientes!$C:$C,MATCH(B87,Clientes!$B:$B,0)),"")</f>
        <v/>
      </c>
      <c r="D87" s="14">
        <f>IFERROR(INDEX(Clientes!$D:$D,MATCH(B87,Clientes!$B:$B,0)),"")</f>
        <v/>
      </c>
      <c r="E87" s="14">
        <f>IFERROR(INDEX(Clientes!$M:$M,MATCH(B87,Clientes!$B:$B,0)),"")</f>
        <v/>
      </c>
      <c r="F87" s="14">
        <f>IFERROR(INDEX(Clientes!$F:$F,MATCH(B87,Clientes!$B:$B,0)),"")</f>
        <v/>
      </c>
      <c r="G87" s="14">
        <f>IFERROR(INDEX(Clientes!$G:$G,MATCH(B87,Clientes!$B:$B,0)),"")</f>
        <v/>
      </c>
      <c r="H87" s="14" t="n"/>
      <c r="I87" s="15" t="n"/>
      <c r="J87" s="16" t="n"/>
      <c r="K87" s="14" t="n"/>
      <c r="L87" s="14" t="n"/>
      <c r="M87" s="13">
        <f>IF(I87="","",I87-TODAY())</f>
        <v/>
      </c>
      <c r="N87" s="14" t="n"/>
      <c r="O87" s="14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>
        <f>IF(OR(O87="",C87=""),"",HYPERLINK("https://wa.me/52"&amp;C87&amp;"?text="&amp;_xlfn.ENCODEURL(O87),"Enviar mensaje"))</f>
        <v/>
      </c>
      <c r="Q87" s="13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ht="15" customHeight="1" s="1">
      <c r="A88" s="13">
        <f>IF(B88="","",ROW()-1)</f>
        <v/>
      </c>
      <c r="B88" s="14" t="n"/>
      <c r="C88" s="13">
        <f>IFERROR(INDEX(Clientes!$C:$C,MATCH(B88,Clientes!$B:$B,0)),"")</f>
        <v/>
      </c>
      <c r="D88" s="14">
        <f>IFERROR(INDEX(Clientes!$D:$D,MATCH(B88,Clientes!$B:$B,0)),"")</f>
        <v/>
      </c>
      <c r="E88" s="14">
        <f>IFERROR(INDEX(Clientes!$M:$M,MATCH(B88,Clientes!$B:$B,0)),"")</f>
        <v/>
      </c>
      <c r="F88" s="14">
        <f>IFERROR(INDEX(Clientes!$F:$F,MATCH(B88,Clientes!$B:$B,0)),"")</f>
        <v/>
      </c>
      <c r="G88" s="14">
        <f>IFERROR(INDEX(Clientes!$G:$G,MATCH(B88,Clientes!$B:$B,0)),"")</f>
        <v/>
      </c>
      <c r="H88" s="14" t="n"/>
      <c r="I88" s="15" t="n"/>
      <c r="J88" s="16" t="n"/>
      <c r="K88" s="14" t="n"/>
      <c r="L88" s="14" t="n"/>
      <c r="M88" s="13">
        <f>IF(I88="","",I88-TODAY())</f>
        <v/>
      </c>
      <c r="N88" s="14" t="n"/>
      <c r="O88" s="14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>
        <f>IF(OR(O88="",C88=""),"",HYPERLINK("https://wa.me/52"&amp;C88&amp;"?text="&amp;_xlfn.ENCODEURL(O88),"Enviar mensaje"))</f>
        <v/>
      </c>
      <c r="Q88" s="13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ht="15" customHeight="1" s="1">
      <c r="A89" s="13">
        <f>IF(B89="","",ROW()-1)</f>
        <v/>
      </c>
      <c r="B89" s="14" t="n"/>
      <c r="C89" s="13">
        <f>IFERROR(INDEX(Clientes!$C:$C,MATCH(B89,Clientes!$B:$B,0)),"")</f>
        <v/>
      </c>
      <c r="D89" s="14">
        <f>IFERROR(INDEX(Clientes!$D:$D,MATCH(B89,Clientes!$B:$B,0)),"")</f>
        <v/>
      </c>
      <c r="E89" s="14">
        <f>IFERROR(INDEX(Clientes!$M:$M,MATCH(B89,Clientes!$B:$B,0)),"")</f>
        <v/>
      </c>
      <c r="F89" s="14">
        <f>IFERROR(INDEX(Clientes!$F:$F,MATCH(B89,Clientes!$B:$B,0)),"")</f>
        <v/>
      </c>
      <c r="G89" s="14">
        <f>IFERROR(INDEX(Clientes!$G:$G,MATCH(B89,Clientes!$B:$B,0)),"")</f>
        <v/>
      </c>
      <c r="H89" s="14" t="n"/>
      <c r="I89" s="15" t="n"/>
      <c r="J89" s="16" t="n"/>
      <c r="K89" s="14" t="n"/>
      <c r="L89" s="14" t="n"/>
      <c r="M89" s="13">
        <f>IF(I89="","",I89-TODAY())</f>
        <v/>
      </c>
      <c r="N89" s="14" t="n"/>
      <c r="O89" s="14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>
        <f>IF(OR(O89="",C89=""),"",HYPERLINK("https://wa.me/52"&amp;C89&amp;"?text="&amp;_xlfn.ENCODEURL(O89),"Enviar mensaje"))</f>
        <v/>
      </c>
      <c r="Q89" s="13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ht="15" customHeight="1" s="1">
      <c r="A90" s="13">
        <f>IF(B90="","",ROW()-1)</f>
        <v/>
      </c>
      <c r="B90" s="14" t="n"/>
      <c r="C90" s="13">
        <f>IFERROR(INDEX(Clientes!$C:$C,MATCH(B90,Clientes!$B:$B,0)),"")</f>
        <v/>
      </c>
      <c r="D90" s="14">
        <f>IFERROR(INDEX(Clientes!$D:$D,MATCH(B90,Clientes!$B:$B,0)),"")</f>
        <v/>
      </c>
      <c r="E90" s="14">
        <f>IFERROR(INDEX(Clientes!$M:$M,MATCH(B90,Clientes!$B:$B,0)),"")</f>
        <v/>
      </c>
      <c r="F90" s="14">
        <f>IFERROR(INDEX(Clientes!$F:$F,MATCH(B90,Clientes!$B:$B,0)),"")</f>
        <v/>
      </c>
      <c r="G90" s="14">
        <f>IFERROR(INDEX(Clientes!$G:$G,MATCH(B90,Clientes!$B:$B,0)),"")</f>
        <v/>
      </c>
      <c r="H90" s="14" t="n"/>
      <c r="I90" s="15" t="n"/>
      <c r="J90" s="16" t="n"/>
      <c r="K90" s="14" t="n"/>
      <c r="L90" s="14" t="n"/>
      <c r="M90" s="13">
        <f>IF(I90="","",I90-TODAY())</f>
        <v/>
      </c>
      <c r="N90" s="14" t="n"/>
      <c r="O90" s="14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>
        <f>IF(OR(O90="",C90=""),"",HYPERLINK("https://wa.me/52"&amp;C90&amp;"?text="&amp;_xlfn.ENCODEURL(O90),"Enviar mensaje"))</f>
        <v/>
      </c>
      <c r="Q90" s="13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ht="15" customHeight="1" s="1">
      <c r="A91" s="13">
        <f>IF(B91="","",ROW()-1)</f>
        <v/>
      </c>
      <c r="B91" s="14" t="n"/>
      <c r="C91" s="13">
        <f>IFERROR(INDEX(Clientes!$C:$C,MATCH(B91,Clientes!$B:$B,0)),"")</f>
        <v/>
      </c>
      <c r="D91" s="14">
        <f>IFERROR(INDEX(Clientes!$D:$D,MATCH(B91,Clientes!$B:$B,0)),"")</f>
        <v/>
      </c>
      <c r="E91" s="14">
        <f>IFERROR(INDEX(Clientes!$M:$M,MATCH(B91,Clientes!$B:$B,0)),"")</f>
        <v/>
      </c>
      <c r="F91" s="14">
        <f>IFERROR(INDEX(Clientes!$F:$F,MATCH(B91,Clientes!$B:$B,0)),"")</f>
        <v/>
      </c>
      <c r="G91" s="14">
        <f>IFERROR(INDEX(Clientes!$G:$G,MATCH(B91,Clientes!$B:$B,0)),"")</f>
        <v/>
      </c>
      <c r="H91" s="14" t="n"/>
      <c r="I91" s="15" t="n"/>
      <c r="J91" s="16" t="n"/>
      <c r="K91" s="14" t="n"/>
      <c r="L91" s="14" t="n"/>
      <c r="M91" s="13">
        <f>IF(I91="","",I91-TODAY())</f>
        <v/>
      </c>
      <c r="N91" s="14" t="n"/>
      <c r="O91" s="14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>
        <f>IF(OR(O91="",C91=""),"",HYPERLINK("https://wa.me/52"&amp;C91&amp;"?text="&amp;_xlfn.ENCODEURL(O91),"Enviar mensaje"))</f>
        <v/>
      </c>
      <c r="Q91" s="13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ht="15" customHeight="1" s="1">
      <c r="A92" s="13">
        <f>IF(B92="","",ROW()-1)</f>
        <v/>
      </c>
      <c r="B92" s="14" t="n"/>
      <c r="C92" s="13">
        <f>IFERROR(INDEX(Clientes!$C:$C,MATCH(B92,Clientes!$B:$B,0)),"")</f>
        <v/>
      </c>
      <c r="D92" s="14">
        <f>IFERROR(INDEX(Clientes!$D:$D,MATCH(B92,Clientes!$B:$B,0)),"")</f>
        <v/>
      </c>
      <c r="E92" s="14">
        <f>IFERROR(INDEX(Clientes!$M:$M,MATCH(B92,Clientes!$B:$B,0)),"")</f>
        <v/>
      </c>
      <c r="F92" s="14">
        <f>IFERROR(INDEX(Clientes!$F:$F,MATCH(B92,Clientes!$B:$B,0)),"")</f>
        <v/>
      </c>
      <c r="G92" s="14">
        <f>IFERROR(INDEX(Clientes!$G:$G,MATCH(B92,Clientes!$B:$B,0)),"")</f>
        <v/>
      </c>
      <c r="H92" s="14" t="n"/>
      <c r="I92" s="15" t="n"/>
      <c r="J92" s="16" t="n"/>
      <c r="K92" s="14" t="n"/>
      <c r="L92" s="14" t="n"/>
      <c r="M92" s="13">
        <f>IF(I92="","",I92-TODAY())</f>
        <v/>
      </c>
      <c r="N92" s="14" t="n"/>
      <c r="O92" s="14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>
        <f>IF(OR(O92="",C92=""),"",HYPERLINK("https://wa.me/52"&amp;C92&amp;"?text="&amp;_xlfn.ENCODEURL(O92),"Enviar mensaje"))</f>
        <v/>
      </c>
      <c r="Q92" s="13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ht="15" customHeight="1" s="1">
      <c r="A93" s="13">
        <f>IF(B93="","",ROW()-1)</f>
        <v/>
      </c>
      <c r="B93" s="14" t="n"/>
      <c r="C93" s="13">
        <f>IFERROR(INDEX(Clientes!$C:$C,MATCH(B93,Clientes!$B:$B,0)),"")</f>
        <v/>
      </c>
      <c r="D93" s="14">
        <f>IFERROR(INDEX(Clientes!$D:$D,MATCH(B93,Clientes!$B:$B,0)),"")</f>
        <v/>
      </c>
      <c r="E93" s="14">
        <f>IFERROR(INDEX(Clientes!$M:$M,MATCH(B93,Clientes!$B:$B,0)),"")</f>
        <v/>
      </c>
      <c r="F93" s="14">
        <f>IFERROR(INDEX(Clientes!$F:$F,MATCH(B93,Clientes!$B:$B,0)),"")</f>
        <v/>
      </c>
      <c r="G93" s="14">
        <f>IFERROR(INDEX(Clientes!$G:$G,MATCH(B93,Clientes!$B:$B,0)),"")</f>
        <v/>
      </c>
      <c r="H93" s="14" t="n"/>
      <c r="I93" s="15" t="n"/>
      <c r="J93" s="16" t="n"/>
      <c r="K93" s="14" t="n"/>
      <c r="L93" s="14" t="n"/>
      <c r="M93" s="13">
        <f>IF(I93="","",I93-TODAY())</f>
        <v/>
      </c>
      <c r="N93" s="14" t="n"/>
      <c r="O93" s="14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>
        <f>IF(OR(O93="",C93=""),"",HYPERLINK("https://wa.me/52"&amp;C93&amp;"?text="&amp;_xlfn.ENCODEURL(O93),"Enviar mensaje"))</f>
        <v/>
      </c>
      <c r="Q93" s="13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ht="15" customHeight="1" s="1">
      <c r="A94" s="13">
        <f>IF(B94="","",ROW()-1)</f>
        <v/>
      </c>
      <c r="B94" s="14" t="n"/>
      <c r="C94" s="13">
        <f>IFERROR(INDEX(Clientes!$C:$C,MATCH(B94,Clientes!$B:$B,0)),"")</f>
        <v/>
      </c>
      <c r="D94" s="14">
        <f>IFERROR(INDEX(Clientes!$D:$D,MATCH(B94,Clientes!$B:$B,0)),"")</f>
        <v/>
      </c>
      <c r="E94" s="14">
        <f>IFERROR(INDEX(Clientes!$M:$M,MATCH(B94,Clientes!$B:$B,0)),"")</f>
        <v/>
      </c>
      <c r="F94" s="14">
        <f>IFERROR(INDEX(Clientes!$F:$F,MATCH(B94,Clientes!$B:$B,0)),"")</f>
        <v/>
      </c>
      <c r="G94" s="14">
        <f>IFERROR(INDEX(Clientes!$G:$G,MATCH(B94,Clientes!$B:$B,0)),"")</f>
        <v/>
      </c>
      <c r="H94" s="14" t="n"/>
      <c r="I94" s="15" t="n"/>
      <c r="J94" s="16" t="n"/>
      <c r="K94" s="14" t="n"/>
      <c r="L94" s="14" t="n"/>
      <c r="M94" s="13">
        <f>IF(I94="","",I94-TODAY())</f>
        <v/>
      </c>
      <c r="N94" s="14" t="n"/>
      <c r="O94" s="14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>
        <f>IF(OR(O94="",C94=""),"",HYPERLINK("https://wa.me/52"&amp;C94&amp;"?text="&amp;_xlfn.ENCODEURL(O94),"Enviar mensaje"))</f>
        <v/>
      </c>
      <c r="Q94" s="13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ht="15" customHeight="1" s="1">
      <c r="A95" s="13">
        <f>IF(B95="","",ROW()-1)</f>
        <v/>
      </c>
      <c r="B95" s="14" t="n"/>
      <c r="C95" s="13">
        <f>IFERROR(INDEX(Clientes!$C:$C,MATCH(B95,Clientes!$B:$B,0)),"")</f>
        <v/>
      </c>
      <c r="D95" s="14">
        <f>IFERROR(INDEX(Clientes!$D:$D,MATCH(B95,Clientes!$B:$B,0)),"")</f>
        <v/>
      </c>
      <c r="E95" s="14">
        <f>IFERROR(INDEX(Clientes!$M:$M,MATCH(B95,Clientes!$B:$B,0)),"")</f>
        <v/>
      </c>
      <c r="F95" s="14">
        <f>IFERROR(INDEX(Clientes!$F:$F,MATCH(B95,Clientes!$B:$B,0)),"")</f>
        <v/>
      </c>
      <c r="G95" s="14">
        <f>IFERROR(INDEX(Clientes!$G:$G,MATCH(B95,Clientes!$B:$B,0)),"")</f>
        <v/>
      </c>
      <c r="H95" s="14" t="n"/>
      <c r="I95" s="15" t="n"/>
      <c r="J95" s="16" t="n"/>
      <c r="K95" s="14" t="n"/>
      <c r="L95" s="14" t="n"/>
      <c r="M95" s="13">
        <f>IF(I95="","",I95-TODAY())</f>
        <v/>
      </c>
      <c r="N95" s="14" t="n"/>
      <c r="O95" s="14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>
        <f>IF(OR(O95="",C95=""),"",HYPERLINK("https://wa.me/52"&amp;C95&amp;"?text="&amp;_xlfn.ENCODEURL(O95),"Enviar mensaje"))</f>
        <v/>
      </c>
      <c r="Q95" s="13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ht="15" customHeight="1" s="1">
      <c r="A96" s="13">
        <f>IF(B96="","",ROW()-1)</f>
        <v/>
      </c>
      <c r="B96" s="14" t="n"/>
      <c r="C96" s="13">
        <f>IFERROR(INDEX(Clientes!$C:$C,MATCH(B96,Clientes!$B:$B,0)),"")</f>
        <v/>
      </c>
      <c r="D96" s="14">
        <f>IFERROR(INDEX(Clientes!$D:$D,MATCH(B96,Clientes!$B:$B,0)),"")</f>
        <v/>
      </c>
      <c r="E96" s="14">
        <f>IFERROR(INDEX(Clientes!$M:$M,MATCH(B96,Clientes!$B:$B,0)),"")</f>
        <v/>
      </c>
      <c r="F96" s="14">
        <f>IFERROR(INDEX(Clientes!$F:$F,MATCH(B96,Clientes!$B:$B,0)),"")</f>
        <v/>
      </c>
      <c r="G96" s="14">
        <f>IFERROR(INDEX(Clientes!$G:$G,MATCH(B96,Clientes!$B:$B,0)),"")</f>
        <v/>
      </c>
      <c r="H96" s="14" t="n"/>
      <c r="I96" s="15" t="n"/>
      <c r="J96" s="16" t="n"/>
      <c r="K96" s="14" t="n"/>
      <c r="L96" s="14" t="n"/>
      <c r="M96" s="13">
        <f>IF(I96="","",I96-TODAY())</f>
        <v/>
      </c>
      <c r="N96" s="14" t="n"/>
      <c r="O96" s="14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>
        <f>IF(OR(O96="",C96=""),"",HYPERLINK("https://wa.me/52"&amp;C96&amp;"?text="&amp;_xlfn.ENCODEURL(O96),"Enviar mensaje"))</f>
        <v/>
      </c>
      <c r="Q96" s="13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ht="15" customHeight="1" s="1">
      <c r="A97" s="13">
        <f>IF(B97="","",ROW()-1)</f>
        <v/>
      </c>
      <c r="B97" s="14" t="n"/>
      <c r="C97" s="13">
        <f>IFERROR(INDEX(Clientes!$C:$C,MATCH(B97,Clientes!$B:$B,0)),"")</f>
        <v/>
      </c>
      <c r="D97" s="14">
        <f>IFERROR(INDEX(Clientes!$D:$D,MATCH(B97,Clientes!$B:$B,0)),"")</f>
        <v/>
      </c>
      <c r="E97" s="14">
        <f>IFERROR(INDEX(Clientes!$M:$M,MATCH(B97,Clientes!$B:$B,0)),"")</f>
        <v/>
      </c>
      <c r="F97" s="14">
        <f>IFERROR(INDEX(Clientes!$F:$F,MATCH(B97,Clientes!$B:$B,0)),"")</f>
        <v/>
      </c>
      <c r="G97" s="14">
        <f>IFERROR(INDEX(Clientes!$G:$G,MATCH(B97,Clientes!$B:$B,0)),"")</f>
        <v/>
      </c>
      <c r="H97" s="14" t="n"/>
      <c r="I97" s="15" t="n"/>
      <c r="J97" s="16" t="n"/>
      <c r="K97" s="14" t="n"/>
      <c r="L97" s="14" t="n"/>
      <c r="M97" s="13">
        <f>IF(I97="","",I97-TODAY())</f>
        <v/>
      </c>
      <c r="N97" s="14" t="n"/>
      <c r="O97" s="14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>
        <f>IF(OR(O97="",C97=""),"",HYPERLINK("https://wa.me/52"&amp;C97&amp;"?text="&amp;_xlfn.ENCODEURL(O97),"Enviar mensaje"))</f>
        <v/>
      </c>
      <c r="Q97" s="13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ht="15" customHeight="1" s="1">
      <c r="A98" s="13">
        <f>IF(B98="","",ROW()-1)</f>
        <v/>
      </c>
      <c r="B98" s="14" t="n"/>
      <c r="C98" s="13">
        <f>IFERROR(INDEX(Clientes!$C:$C,MATCH(B98,Clientes!$B:$B,0)),"")</f>
        <v/>
      </c>
      <c r="D98" s="14">
        <f>IFERROR(INDEX(Clientes!$D:$D,MATCH(B98,Clientes!$B:$B,0)),"")</f>
        <v/>
      </c>
      <c r="E98" s="14">
        <f>IFERROR(INDEX(Clientes!$M:$M,MATCH(B98,Clientes!$B:$B,0)),"")</f>
        <v/>
      </c>
      <c r="F98" s="14">
        <f>IFERROR(INDEX(Clientes!$F:$F,MATCH(B98,Clientes!$B:$B,0)),"")</f>
        <v/>
      </c>
      <c r="G98" s="14">
        <f>IFERROR(INDEX(Clientes!$G:$G,MATCH(B98,Clientes!$B:$B,0)),"")</f>
        <v/>
      </c>
      <c r="H98" s="14" t="n"/>
      <c r="I98" s="15" t="n"/>
      <c r="J98" s="16" t="n"/>
      <c r="K98" s="14" t="n"/>
      <c r="L98" s="14" t="n"/>
      <c r="M98" s="13">
        <f>IF(I98="","",I98-TODAY())</f>
        <v/>
      </c>
      <c r="N98" s="14" t="n"/>
      <c r="O98" s="14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>
        <f>IF(OR(O98="",C98=""),"",HYPERLINK("https://wa.me/52"&amp;C98&amp;"?text="&amp;_xlfn.ENCODEURL(O98),"Enviar mensaje"))</f>
        <v/>
      </c>
      <c r="Q98" s="13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ht="15" customHeight="1" s="1">
      <c r="A99" s="13">
        <f>IF(B99="","",ROW()-1)</f>
        <v/>
      </c>
      <c r="B99" s="14" t="n"/>
      <c r="C99" s="13">
        <f>IFERROR(INDEX(Clientes!$C:$C,MATCH(B99,Clientes!$B:$B,0)),"")</f>
        <v/>
      </c>
      <c r="D99" s="14">
        <f>IFERROR(INDEX(Clientes!$D:$D,MATCH(B99,Clientes!$B:$B,0)),"")</f>
        <v/>
      </c>
      <c r="E99" s="14">
        <f>IFERROR(INDEX(Clientes!$M:$M,MATCH(B99,Clientes!$B:$B,0)),"")</f>
        <v/>
      </c>
      <c r="F99" s="14">
        <f>IFERROR(INDEX(Clientes!$F:$F,MATCH(B99,Clientes!$B:$B,0)),"")</f>
        <v/>
      </c>
      <c r="G99" s="14">
        <f>IFERROR(INDEX(Clientes!$G:$G,MATCH(B99,Clientes!$B:$B,0)),"")</f>
        <v/>
      </c>
      <c r="H99" s="14" t="n"/>
      <c r="I99" s="15" t="n"/>
      <c r="J99" s="16" t="n"/>
      <c r="K99" s="14" t="n"/>
      <c r="L99" s="14" t="n"/>
      <c r="M99" s="13">
        <f>IF(I99="","",I99-TODAY())</f>
        <v/>
      </c>
      <c r="N99" s="14" t="n"/>
      <c r="O99" s="14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>
        <f>IF(OR(O99="",C99=""),"",HYPERLINK("https://wa.me/52"&amp;C99&amp;"?text="&amp;_xlfn.ENCODEURL(O99),"Enviar mensaje"))</f>
        <v/>
      </c>
      <c r="Q99" s="13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ht="15" customHeight="1" s="1">
      <c r="A100" s="13">
        <f>IF(B100="","",ROW()-1)</f>
        <v/>
      </c>
      <c r="B100" s="14" t="n"/>
      <c r="C100" s="13">
        <f>IFERROR(INDEX(Clientes!$C:$C,MATCH(B100,Clientes!$B:$B,0)),"")</f>
        <v/>
      </c>
      <c r="D100" s="14">
        <f>IFERROR(INDEX(Clientes!$D:$D,MATCH(B100,Clientes!$B:$B,0)),"")</f>
        <v/>
      </c>
      <c r="E100" s="14">
        <f>IFERROR(INDEX(Clientes!$M:$M,MATCH(B100,Clientes!$B:$B,0)),"")</f>
        <v/>
      </c>
      <c r="F100" s="14">
        <f>IFERROR(INDEX(Clientes!$F:$F,MATCH(B100,Clientes!$B:$B,0)),"")</f>
        <v/>
      </c>
      <c r="G100" s="14">
        <f>IFERROR(INDEX(Clientes!$G:$G,MATCH(B100,Clientes!$B:$B,0)),"")</f>
        <v/>
      </c>
      <c r="H100" s="14" t="n"/>
      <c r="I100" s="15" t="n"/>
      <c r="J100" s="16" t="n"/>
      <c r="K100" s="14" t="n"/>
      <c r="L100" s="14" t="n"/>
      <c r="M100" s="13">
        <f>IF(I100="","",I100-TODAY())</f>
        <v/>
      </c>
      <c r="N100" s="14" t="n"/>
      <c r="O100" s="14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>
        <f>IF(OR(O100="",C100=""),"",HYPERLINK("https://wa.me/52"&amp;C100&amp;"?text="&amp;_xlfn.ENCODEURL(O100),"Enviar mensaje"))</f>
        <v/>
      </c>
      <c r="Q100" s="13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ht="15" customHeight="1" s="1">
      <c r="A101" s="13">
        <f>IF(B101="","",ROW()-1)</f>
        <v/>
      </c>
      <c r="B101" s="14" t="n"/>
      <c r="C101" s="13">
        <f>IFERROR(INDEX(Clientes!$C:$C,MATCH(B101,Clientes!$B:$B,0)),"")</f>
        <v/>
      </c>
      <c r="D101" s="14">
        <f>IFERROR(INDEX(Clientes!$D:$D,MATCH(B101,Clientes!$B:$B,0)),"")</f>
        <v/>
      </c>
      <c r="E101" s="14">
        <f>IFERROR(INDEX(Clientes!$M:$M,MATCH(B101,Clientes!$B:$B,0)),"")</f>
        <v/>
      </c>
      <c r="F101" s="14">
        <f>IFERROR(INDEX(Clientes!$F:$F,MATCH(B101,Clientes!$B:$B,0)),"")</f>
        <v/>
      </c>
      <c r="G101" s="14">
        <f>IFERROR(INDEX(Clientes!$G:$G,MATCH(B101,Clientes!$B:$B,0)),"")</f>
        <v/>
      </c>
      <c r="H101" s="14" t="n"/>
      <c r="I101" s="15" t="n"/>
      <c r="J101" s="16" t="n"/>
      <c r="K101" s="14" t="n"/>
      <c r="L101" s="14" t="n"/>
      <c r="M101" s="13">
        <f>IF(I101="","",I101-TODAY())</f>
        <v/>
      </c>
      <c r="N101" s="14" t="n"/>
      <c r="O101" s="14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>
        <f>IF(OR(O101="",C101=""),"",HYPERLINK("https://wa.me/52"&amp;C101&amp;"?text="&amp;_xlfn.ENCODEURL(O101),"Enviar mensaje"))</f>
        <v/>
      </c>
      <c r="Q101" s="13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ht="15" customHeight="1" s="1">
      <c r="A102" s="13">
        <f>IF(B102="","",ROW()-1)</f>
        <v/>
      </c>
      <c r="B102" s="14" t="n"/>
      <c r="C102" s="13">
        <f>IFERROR(INDEX(Clientes!$C:$C,MATCH(B102,Clientes!$B:$B,0)),"")</f>
        <v/>
      </c>
      <c r="D102" s="14">
        <f>IFERROR(INDEX(Clientes!$D:$D,MATCH(B102,Clientes!$B:$B,0)),"")</f>
        <v/>
      </c>
      <c r="E102" s="14">
        <f>IFERROR(INDEX(Clientes!$M:$M,MATCH(B102,Clientes!$B:$B,0)),"")</f>
        <v/>
      </c>
      <c r="F102" s="14">
        <f>IFERROR(INDEX(Clientes!$F:$F,MATCH(B102,Clientes!$B:$B,0)),"")</f>
        <v/>
      </c>
      <c r="G102" s="14">
        <f>IFERROR(INDEX(Clientes!$G:$G,MATCH(B102,Clientes!$B:$B,0)),"")</f>
        <v/>
      </c>
      <c r="H102" s="14" t="n"/>
      <c r="I102" s="15" t="n"/>
      <c r="J102" s="16" t="n"/>
      <c r="K102" s="14" t="n"/>
      <c r="L102" s="14" t="n"/>
      <c r="M102" s="13">
        <f>IF(I102="","",I102-TODAY())</f>
        <v/>
      </c>
      <c r="N102" s="14" t="n"/>
      <c r="O102" s="14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>
        <f>IF(OR(O102="",C102=""),"",HYPERLINK("https://wa.me/52"&amp;C102&amp;"?text="&amp;_xlfn.ENCODEURL(O102),"Enviar mensaje"))</f>
        <v/>
      </c>
      <c r="Q102" s="13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ht="15" customHeight="1" s="1">
      <c r="A103" s="13">
        <f>IF(B103="","",ROW()-1)</f>
        <v/>
      </c>
      <c r="B103" s="14" t="n"/>
      <c r="C103" s="13">
        <f>IFERROR(INDEX(Clientes!$C:$C,MATCH(B103,Clientes!$B:$B,0)),"")</f>
        <v/>
      </c>
      <c r="D103" s="14">
        <f>IFERROR(INDEX(Clientes!$D:$D,MATCH(B103,Clientes!$B:$B,0)),"")</f>
        <v/>
      </c>
      <c r="E103" s="14">
        <f>IFERROR(INDEX(Clientes!$M:$M,MATCH(B103,Clientes!$B:$B,0)),"")</f>
        <v/>
      </c>
      <c r="F103" s="14">
        <f>IFERROR(INDEX(Clientes!$F:$F,MATCH(B103,Clientes!$B:$B,0)),"")</f>
        <v/>
      </c>
      <c r="G103" s="14">
        <f>IFERROR(INDEX(Clientes!$G:$G,MATCH(B103,Clientes!$B:$B,0)),"")</f>
        <v/>
      </c>
      <c r="H103" s="14" t="n"/>
      <c r="I103" s="15" t="n"/>
      <c r="J103" s="16" t="n"/>
      <c r="K103" s="14" t="n"/>
      <c r="L103" s="14" t="n"/>
      <c r="M103" s="13">
        <f>IF(I103="","",I103-TODAY())</f>
        <v/>
      </c>
      <c r="N103" s="14" t="n"/>
      <c r="O103" s="14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>
        <f>IF(OR(O103="",C103=""),"",HYPERLINK("https://wa.me/52"&amp;C103&amp;"?text="&amp;_xlfn.ENCODEURL(O103),"Enviar mensaje"))</f>
        <v/>
      </c>
      <c r="Q103" s="13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ht="15" customHeight="1" s="1">
      <c r="A104" s="13">
        <f>IF(B104="","",ROW()-1)</f>
        <v/>
      </c>
      <c r="B104" s="14" t="n"/>
      <c r="C104" s="13">
        <f>IFERROR(INDEX(Clientes!$C:$C,MATCH(B104,Clientes!$B:$B,0)),"")</f>
        <v/>
      </c>
      <c r="D104" s="14">
        <f>IFERROR(INDEX(Clientes!$D:$D,MATCH(B104,Clientes!$B:$B,0)),"")</f>
        <v/>
      </c>
      <c r="E104" s="14">
        <f>IFERROR(INDEX(Clientes!$M:$M,MATCH(B104,Clientes!$B:$B,0)),"")</f>
        <v/>
      </c>
      <c r="F104" s="14">
        <f>IFERROR(INDEX(Clientes!$F:$F,MATCH(B104,Clientes!$B:$B,0)),"")</f>
        <v/>
      </c>
      <c r="G104" s="14">
        <f>IFERROR(INDEX(Clientes!$G:$G,MATCH(B104,Clientes!$B:$B,0)),"")</f>
        <v/>
      </c>
      <c r="H104" s="14" t="n"/>
      <c r="I104" s="15" t="n"/>
      <c r="J104" s="16" t="n"/>
      <c r="K104" s="14" t="n"/>
      <c r="L104" s="14" t="n"/>
      <c r="M104" s="13">
        <f>IF(I104="","",I104-TODAY())</f>
        <v/>
      </c>
      <c r="N104" s="14" t="n"/>
      <c r="O104" s="14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>
        <f>IF(OR(O104="",C104=""),"",HYPERLINK("https://wa.me/52"&amp;C104&amp;"?text="&amp;_xlfn.ENCODEURL(O104),"Enviar mensaje"))</f>
        <v/>
      </c>
      <c r="Q104" s="13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ht="15" customHeight="1" s="1">
      <c r="A105" s="13">
        <f>IF(B105="","",ROW()-1)</f>
        <v/>
      </c>
      <c r="B105" s="14" t="n"/>
      <c r="C105" s="13">
        <f>IFERROR(INDEX(Clientes!$C:$C,MATCH(B105,Clientes!$B:$B,0)),"")</f>
        <v/>
      </c>
      <c r="D105" s="14">
        <f>IFERROR(INDEX(Clientes!$D:$D,MATCH(B105,Clientes!$B:$B,0)),"")</f>
        <v/>
      </c>
      <c r="E105" s="14">
        <f>IFERROR(INDEX(Clientes!$M:$M,MATCH(B105,Clientes!$B:$B,0)),"")</f>
        <v/>
      </c>
      <c r="F105" s="14">
        <f>IFERROR(INDEX(Clientes!$F:$F,MATCH(B105,Clientes!$B:$B,0)),"")</f>
        <v/>
      </c>
      <c r="G105" s="14">
        <f>IFERROR(INDEX(Clientes!$G:$G,MATCH(B105,Clientes!$B:$B,0)),"")</f>
        <v/>
      </c>
      <c r="H105" s="14" t="n"/>
      <c r="I105" s="15" t="n"/>
      <c r="J105" s="16" t="n"/>
      <c r="K105" s="14" t="n"/>
      <c r="L105" s="14" t="n"/>
      <c r="M105" s="13">
        <f>IF(I105="","",I105-TODAY())</f>
        <v/>
      </c>
      <c r="N105" s="14" t="n"/>
      <c r="O105" s="14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>
        <f>IF(OR(O105="",C105=""),"",HYPERLINK("https://wa.me/52"&amp;C105&amp;"?text="&amp;_xlfn.ENCODEURL(O105),"Enviar mensaje"))</f>
        <v/>
      </c>
      <c r="Q105" s="13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ht="15" customHeight="1" s="1">
      <c r="A106" s="13">
        <f>IF(B106="","",ROW()-1)</f>
        <v/>
      </c>
      <c r="B106" s="14" t="n"/>
      <c r="C106" s="13">
        <f>IFERROR(INDEX(Clientes!$C:$C,MATCH(B106,Clientes!$B:$B,0)),"")</f>
        <v/>
      </c>
      <c r="D106" s="14">
        <f>IFERROR(INDEX(Clientes!$D:$D,MATCH(B106,Clientes!$B:$B,0)),"")</f>
        <v/>
      </c>
      <c r="E106" s="14">
        <f>IFERROR(INDEX(Clientes!$M:$M,MATCH(B106,Clientes!$B:$B,0)),"")</f>
        <v/>
      </c>
      <c r="F106" s="14">
        <f>IFERROR(INDEX(Clientes!$F:$F,MATCH(B106,Clientes!$B:$B,0)),"")</f>
        <v/>
      </c>
      <c r="G106" s="14">
        <f>IFERROR(INDEX(Clientes!$G:$G,MATCH(B106,Clientes!$B:$B,0)),"")</f>
        <v/>
      </c>
      <c r="H106" s="14" t="n"/>
      <c r="I106" s="15" t="n"/>
      <c r="J106" s="16" t="n"/>
      <c r="K106" s="14" t="n"/>
      <c r="L106" s="14" t="n"/>
      <c r="M106" s="13">
        <f>IF(I106="","",I106-TODAY())</f>
        <v/>
      </c>
      <c r="N106" s="14" t="n"/>
      <c r="O106" s="14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>
        <f>IF(OR(O106="",C106=""),"",HYPERLINK("https://wa.me/52"&amp;C106&amp;"?text="&amp;_xlfn.ENCODEURL(O106),"Enviar mensaje"))</f>
        <v/>
      </c>
      <c r="Q106" s="13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ht="15" customHeight="1" s="1">
      <c r="A107" s="13">
        <f>IF(B107="","",ROW()-1)</f>
        <v/>
      </c>
      <c r="B107" s="14" t="n"/>
      <c r="C107" s="13">
        <f>IFERROR(INDEX(Clientes!$C:$C,MATCH(B107,Clientes!$B:$B,0)),"")</f>
        <v/>
      </c>
      <c r="D107" s="14">
        <f>IFERROR(INDEX(Clientes!$D:$D,MATCH(B107,Clientes!$B:$B,0)),"")</f>
        <v/>
      </c>
      <c r="E107" s="14">
        <f>IFERROR(INDEX(Clientes!$M:$M,MATCH(B107,Clientes!$B:$B,0)),"")</f>
        <v/>
      </c>
      <c r="F107" s="14">
        <f>IFERROR(INDEX(Clientes!$F:$F,MATCH(B107,Clientes!$B:$B,0)),"")</f>
        <v/>
      </c>
      <c r="G107" s="14">
        <f>IFERROR(INDEX(Clientes!$G:$G,MATCH(B107,Clientes!$B:$B,0)),"")</f>
        <v/>
      </c>
      <c r="H107" s="14" t="n"/>
      <c r="I107" s="15" t="n"/>
      <c r="J107" s="16" t="n"/>
      <c r="K107" s="14" t="n"/>
      <c r="L107" s="14" t="n"/>
      <c r="M107" s="13">
        <f>IF(I107="","",I107-TODAY())</f>
        <v/>
      </c>
      <c r="N107" s="14" t="n"/>
      <c r="O107" s="14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>
        <f>IF(OR(O107="",C107=""),"",HYPERLINK("https://wa.me/52"&amp;C107&amp;"?text="&amp;_xlfn.ENCODEURL(O107),"Enviar mensaje"))</f>
        <v/>
      </c>
      <c r="Q107" s="13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ht="15" customHeight="1" s="1">
      <c r="A108" s="13">
        <f>IF(B108="","",ROW()-1)</f>
        <v/>
      </c>
      <c r="B108" s="14" t="n"/>
      <c r="C108" s="13">
        <f>IFERROR(INDEX(Clientes!$C:$C,MATCH(B108,Clientes!$B:$B,0)),"")</f>
        <v/>
      </c>
      <c r="D108" s="14">
        <f>IFERROR(INDEX(Clientes!$D:$D,MATCH(B108,Clientes!$B:$B,0)),"")</f>
        <v/>
      </c>
      <c r="E108" s="14">
        <f>IFERROR(INDEX(Clientes!$M:$M,MATCH(B108,Clientes!$B:$B,0)),"")</f>
        <v/>
      </c>
      <c r="F108" s="14">
        <f>IFERROR(INDEX(Clientes!$F:$F,MATCH(B108,Clientes!$B:$B,0)),"")</f>
        <v/>
      </c>
      <c r="G108" s="14">
        <f>IFERROR(INDEX(Clientes!$G:$G,MATCH(B108,Clientes!$B:$B,0)),"")</f>
        <v/>
      </c>
      <c r="H108" s="14" t="n"/>
      <c r="I108" s="15" t="n"/>
      <c r="J108" s="16" t="n"/>
      <c r="K108" s="14" t="n"/>
      <c r="L108" s="14" t="n"/>
      <c r="M108" s="13">
        <f>IF(I108="","",I108-TODAY())</f>
        <v/>
      </c>
      <c r="N108" s="14" t="n"/>
      <c r="O108" s="14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>
        <f>IF(OR(O108="",C108=""),"",HYPERLINK("https://wa.me/52"&amp;C108&amp;"?text="&amp;_xlfn.ENCODEURL(O108),"Enviar mensaje"))</f>
        <v/>
      </c>
      <c r="Q108" s="13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ht="15" customHeight="1" s="1">
      <c r="A109" s="13">
        <f>IF(B109="","",ROW()-1)</f>
        <v/>
      </c>
      <c r="B109" s="14" t="n"/>
      <c r="C109" s="13">
        <f>IFERROR(INDEX(Clientes!$C:$C,MATCH(B109,Clientes!$B:$B,0)),"")</f>
        <v/>
      </c>
      <c r="D109" s="14">
        <f>IFERROR(INDEX(Clientes!$D:$D,MATCH(B109,Clientes!$B:$B,0)),"")</f>
        <v/>
      </c>
      <c r="E109" s="14">
        <f>IFERROR(INDEX(Clientes!$M:$M,MATCH(B109,Clientes!$B:$B,0)),"")</f>
        <v/>
      </c>
      <c r="F109" s="14">
        <f>IFERROR(INDEX(Clientes!$F:$F,MATCH(B109,Clientes!$B:$B,0)),"")</f>
        <v/>
      </c>
      <c r="G109" s="14">
        <f>IFERROR(INDEX(Clientes!$G:$G,MATCH(B109,Clientes!$B:$B,0)),"")</f>
        <v/>
      </c>
      <c r="H109" s="14" t="n"/>
      <c r="I109" s="15" t="n"/>
      <c r="J109" s="16" t="n"/>
      <c r="K109" s="14" t="n"/>
      <c r="L109" s="14" t="n"/>
      <c r="M109" s="13">
        <f>IF(I109="","",I109-TODAY())</f>
        <v/>
      </c>
      <c r="N109" s="14" t="n"/>
      <c r="O109" s="14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>
        <f>IF(OR(O109="",C109=""),"",HYPERLINK("https://wa.me/52"&amp;C109&amp;"?text="&amp;_xlfn.ENCODEURL(O109),"Enviar mensaje"))</f>
        <v/>
      </c>
      <c r="Q109" s="13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ht="15" customHeight="1" s="1">
      <c r="A110" s="13">
        <f>IF(B110="","",ROW()-1)</f>
        <v/>
      </c>
      <c r="B110" s="14" t="n"/>
      <c r="C110" s="13">
        <f>IFERROR(INDEX(Clientes!$C:$C,MATCH(B110,Clientes!$B:$B,0)),"")</f>
        <v/>
      </c>
      <c r="D110" s="14">
        <f>IFERROR(INDEX(Clientes!$D:$D,MATCH(B110,Clientes!$B:$B,0)),"")</f>
        <v/>
      </c>
      <c r="E110" s="14">
        <f>IFERROR(INDEX(Clientes!$M:$M,MATCH(B110,Clientes!$B:$B,0)),"")</f>
        <v/>
      </c>
      <c r="F110" s="14">
        <f>IFERROR(INDEX(Clientes!$F:$F,MATCH(B110,Clientes!$B:$B,0)),"")</f>
        <v/>
      </c>
      <c r="G110" s="14">
        <f>IFERROR(INDEX(Clientes!$G:$G,MATCH(B110,Clientes!$B:$B,0)),"")</f>
        <v/>
      </c>
      <c r="H110" s="14" t="n"/>
      <c r="I110" s="15" t="n"/>
      <c r="J110" s="16" t="n"/>
      <c r="K110" s="14" t="n"/>
      <c r="L110" s="14" t="n"/>
      <c r="M110" s="13">
        <f>IF(I110="","",I110-TODAY())</f>
        <v/>
      </c>
      <c r="N110" s="14" t="n"/>
      <c r="O110" s="14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>
        <f>IF(OR(O110="",C110=""),"",HYPERLINK("https://wa.me/52"&amp;C110&amp;"?text="&amp;_xlfn.ENCODEURL(O110),"Enviar mensaje"))</f>
        <v/>
      </c>
      <c r="Q110" s="13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ht="15" customHeight="1" s="1">
      <c r="A111" s="13">
        <f>IF(B111="","",ROW()-1)</f>
        <v/>
      </c>
      <c r="B111" s="14" t="n"/>
      <c r="C111" s="13">
        <f>IFERROR(INDEX(Clientes!$C:$C,MATCH(B111,Clientes!$B:$B,0)),"")</f>
        <v/>
      </c>
      <c r="D111" s="14">
        <f>IFERROR(INDEX(Clientes!$D:$D,MATCH(B111,Clientes!$B:$B,0)),"")</f>
        <v/>
      </c>
      <c r="E111" s="14">
        <f>IFERROR(INDEX(Clientes!$M:$M,MATCH(B111,Clientes!$B:$B,0)),"")</f>
        <v/>
      </c>
      <c r="F111" s="14">
        <f>IFERROR(INDEX(Clientes!$F:$F,MATCH(B111,Clientes!$B:$B,0)),"")</f>
        <v/>
      </c>
      <c r="G111" s="14">
        <f>IFERROR(INDEX(Clientes!$G:$G,MATCH(B111,Clientes!$B:$B,0)),"")</f>
        <v/>
      </c>
      <c r="H111" s="14" t="n"/>
      <c r="I111" s="15" t="n"/>
      <c r="J111" s="16" t="n"/>
      <c r="K111" s="14" t="n"/>
      <c r="L111" s="14" t="n"/>
      <c r="M111" s="13">
        <f>IF(I111="","",I111-TODAY())</f>
        <v/>
      </c>
      <c r="N111" s="14" t="n"/>
      <c r="O111" s="14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>
        <f>IF(OR(O111="",C111=""),"",HYPERLINK("https://wa.me/52"&amp;C111&amp;"?text="&amp;_xlfn.ENCODEURL(O111),"Enviar mensaje"))</f>
        <v/>
      </c>
      <c r="Q111" s="13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ht="15" customHeight="1" s="1">
      <c r="A112" s="13">
        <f>IF(B112="","",ROW()-1)</f>
        <v/>
      </c>
      <c r="B112" s="14" t="n"/>
      <c r="C112" s="13">
        <f>IFERROR(INDEX(Clientes!$C:$C,MATCH(B112,Clientes!$B:$B,0)),"")</f>
        <v/>
      </c>
      <c r="D112" s="14">
        <f>IFERROR(INDEX(Clientes!$D:$D,MATCH(B112,Clientes!$B:$B,0)),"")</f>
        <v/>
      </c>
      <c r="E112" s="14">
        <f>IFERROR(INDEX(Clientes!$M:$M,MATCH(B112,Clientes!$B:$B,0)),"")</f>
        <v/>
      </c>
      <c r="F112" s="14">
        <f>IFERROR(INDEX(Clientes!$F:$F,MATCH(B112,Clientes!$B:$B,0)),"")</f>
        <v/>
      </c>
      <c r="G112" s="14">
        <f>IFERROR(INDEX(Clientes!$G:$G,MATCH(B112,Clientes!$B:$B,0)),"")</f>
        <v/>
      </c>
      <c r="H112" s="14" t="n"/>
      <c r="I112" s="15" t="n"/>
      <c r="J112" s="16" t="n"/>
      <c r="K112" s="14" t="n"/>
      <c r="L112" s="14" t="n"/>
      <c r="M112" s="13">
        <f>IF(I112="","",I112-TODAY())</f>
        <v/>
      </c>
      <c r="N112" s="14" t="n"/>
      <c r="O112" s="14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>
        <f>IF(OR(O112="",C112=""),"",HYPERLINK("https://wa.me/52"&amp;C112&amp;"?text="&amp;_xlfn.ENCODEURL(O112),"Enviar mensaje"))</f>
        <v/>
      </c>
      <c r="Q112" s="13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ht="15" customHeight="1" s="1">
      <c r="A113" s="13">
        <f>IF(B113="","",ROW()-1)</f>
        <v/>
      </c>
      <c r="B113" s="14" t="n"/>
      <c r="C113" s="13">
        <f>IFERROR(INDEX(Clientes!$C:$C,MATCH(B113,Clientes!$B:$B,0)),"")</f>
        <v/>
      </c>
      <c r="D113" s="14">
        <f>IFERROR(INDEX(Clientes!$D:$D,MATCH(B113,Clientes!$B:$B,0)),"")</f>
        <v/>
      </c>
      <c r="E113" s="14">
        <f>IFERROR(INDEX(Clientes!$M:$M,MATCH(B113,Clientes!$B:$B,0)),"")</f>
        <v/>
      </c>
      <c r="F113" s="14">
        <f>IFERROR(INDEX(Clientes!$F:$F,MATCH(B113,Clientes!$B:$B,0)),"")</f>
        <v/>
      </c>
      <c r="G113" s="14">
        <f>IFERROR(INDEX(Clientes!$G:$G,MATCH(B113,Clientes!$B:$B,0)),"")</f>
        <v/>
      </c>
      <c r="H113" s="14" t="n"/>
      <c r="I113" s="15" t="n"/>
      <c r="J113" s="16" t="n"/>
      <c r="K113" s="14" t="n"/>
      <c r="L113" s="14" t="n"/>
      <c r="M113" s="13">
        <f>IF(I113="","",I113-TODAY())</f>
        <v/>
      </c>
      <c r="N113" s="14" t="n"/>
      <c r="O113" s="14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>
        <f>IF(OR(O113="",C113=""),"",HYPERLINK("https://wa.me/52"&amp;C113&amp;"?text="&amp;_xlfn.ENCODEURL(O113),"Enviar mensaje"))</f>
        <v/>
      </c>
      <c r="Q113" s="13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ht="15" customHeight="1" s="1">
      <c r="A114" s="13">
        <f>IF(B114="","",ROW()-1)</f>
        <v/>
      </c>
      <c r="B114" s="14" t="n"/>
      <c r="C114" s="13">
        <f>IFERROR(INDEX(Clientes!$C:$C,MATCH(B114,Clientes!$B:$B,0)),"")</f>
        <v/>
      </c>
      <c r="D114" s="14">
        <f>IFERROR(INDEX(Clientes!$D:$D,MATCH(B114,Clientes!$B:$B,0)),"")</f>
        <v/>
      </c>
      <c r="E114" s="14">
        <f>IFERROR(INDEX(Clientes!$M:$M,MATCH(B114,Clientes!$B:$B,0)),"")</f>
        <v/>
      </c>
      <c r="F114" s="14">
        <f>IFERROR(INDEX(Clientes!$F:$F,MATCH(B114,Clientes!$B:$B,0)),"")</f>
        <v/>
      </c>
      <c r="G114" s="14">
        <f>IFERROR(INDEX(Clientes!$G:$G,MATCH(B114,Clientes!$B:$B,0)),"")</f>
        <v/>
      </c>
      <c r="H114" s="14" t="n"/>
      <c r="I114" s="15" t="n"/>
      <c r="J114" s="16" t="n"/>
      <c r="K114" s="14" t="n"/>
      <c r="L114" s="14" t="n"/>
      <c r="M114" s="13">
        <f>IF(I114="","",I114-TODAY())</f>
        <v/>
      </c>
      <c r="N114" s="14" t="n"/>
      <c r="O114" s="14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>
        <f>IF(OR(O114="",C114=""),"",HYPERLINK("https://wa.me/52"&amp;C114&amp;"?text="&amp;_xlfn.ENCODEURL(O114),"Enviar mensaje"))</f>
        <v/>
      </c>
      <c r="Q114" s="13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ht="15" customHeight="1" s="1">
      <c r="A115" s="13">
        <f>IF(B115="","",ROW()-1)</f>
        <v/>
      </c>
      <c r="B115" s="14" t="n"/>
      <c r="C115" s="13">
        <f>IFERROR(INDEX(Clientes!$C:$C,MATCH(B115,Clientes!$B:$B,0)),"")</f>
        <v/>
      </c>
      <c r="D115" s="14">
        <f>IFERROR(INDEX(Clientes!$D:$D,MATCH(B115,Clientes!$B:$B,0)),"")</f>
        <v/>
      </c>
      <c r="E115" s="14">
        <f>IFERROR(INDEX(Clientes!$M:$M,MATCH(B115,Clientes!$B:$B,0)),"")</f>
        <v/>
      </c>
      <c r="F115" s="14">
        <f>IFERROR(INDEX(Clientes!$F:$F,MATCH(B115,Clientes!$B:$B,0)),"")</f>
        <v/>
      </c>
      <c r="G115" s="14">
        <f>IFERROR(INDEX(Clientes!$G:$G,MATCH(B115,Clientes!$B:$B,0)),"")</f>
        <v/>
      </c>
      <c r="H115" s="14" t="n"/>
      <c r="I115" s="15" t="n"/>
      <c r="J115" s="16" t="n"/>
      <c r="K115" s="14" t="n"/>
      <c r="L115" s="14" t="n"/>
      <c r="M115" s="13">
        <f>IF(I115="","",I115-TODAY())</f>
        <v/>
      </c>
      <c r="N115" s="14" t="n"/>
      <c r="O115" s="14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>
        <f>IF(OR(O115="",C115=""),"",HYPERLINK("https://wa.me/52"&amp;C115&amp;"?text="&amp;_xlfn.ENCODEURL(O115),"Enviar mensaje"))</f>
        <v/>
      </c>
      <c r="Q115" s="13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ht="15" customHeight="1" s="1">
      <c r="A116" s="13">
        <f>IF(B116="","",ROW()-1)</f>
        <v/>
      </c>
      <c r="B116" s="14" t="n"/>
      <c r="C116" s="13">
        <f>IFERROR(INDEX(Clientes!$C:$C,MATCH(B116,Clientes!$B:$B,0)),"")</f>
        <v/>
      </c>
      <c r="D116" s="14">
        <f>IFERROR(INDEX(Clientes!$D:$D,MATCH(B116,Clientes!$B:$B,0)),"")</f>
        <v/>
      </c>
      <c r="E116" s="14">
        <f>IFERROR(INDEX(Clientes!$M:$M,MATCH(B116,Clientes!$B:$B,0)),"")</f>
        <v/>
      </c>
      <c r="F116" s="14">
        <f>IFERROR(INDEX(Clientes!$F:$F,MATCH(B116,Clientes!$B:$B,0)),"")</f>
        <v/>
      </c>
      <c r="G116" s="14">
        <f>IFERROR(INDEX(Clientes!$G:$G,MATCH(B116,Clientes!$B:$B,0)),"")</f>
        <v/>
      </c>
      <c r="H116" s="14" t="n"/>
      <c r="I116" s="15" t="n"/>
      <c r="J116" s="16" t="n"/>
      <c r="K116" s="14" t="n"/>
      <c r="L116" s="14" t="n"/>
      <c r="M116" s="13">
        <f>IF(I116="","",I116-TODAY())</f>
        <v/>
      </c>
      <c r="N116" s="14" t="n"/>
      <c r="O116" s="14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>
        <f>IF(OR(O116="",C116=""),"",HYPERLINK("https://wa.me/52"&amp;C116&amp;"?text="&amp;_xlfn.ENCODEURL(O116),"Enviar mensaje"))</f>
        <v/>
      </c>
      <c r="Q116" s="13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ht="15" customHeight="1" s="1">
      <c r="A117" s="13">
        <f>IF(B117="","",ROW()-1)</f>
        <v/>
      </c>
      <c r="B117" s="14" t="n"/>
      <c r="C117" s="13">
        <f>IFERROR(INDEX(Clientes!$C:$C,MATCH(B117,Clientes!$B:$B,0)),"")</f>
        <v/>
      </c>
      <c r="D117" s="14">
        <f>IFERROR(INDEX(Clientes!$D:$D,MATCH(B117,Clientes!$B:$B,0)),"")</f>
        <v/>
      </c>
      <c r="E117" s="14">
        <f>IFERROR(INDEX(Clientes!$M:$M,MATCH(B117,Clientes!$B:$B,0)),"")</f>
        <v/>
      </c>
      <c r="F117" s="14">
        <f>IFERROR(INDEX(Clientes!$F:$F,MATCH(B117,Clientes!$B:$B,0)),"")</f>
        <v/>
      </c>
      <c r="G117" s="14">
        <f>IFERROR(INDEX(Clientes!$G:$G,MATCH(B117,Clientes!$B:$B,0)),"")</f>
        <v/>
      </c>
      <c r="H117" s="14" t="n"/>
      <c r="I117" s="15" t="n"/>
      <c r="J117" s="16" t="n"/>
      <c r="K117" s="14" t="n"/>
      <c r="L117" s="14" t="n"/>
      <c r="M117" s="13">
        <f>IF(I117="","",I117-TODAY())</f>
        <v/>
      </c>
      <c r="N117" s="14" t="n"/>
      <c r="O117" s="14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>
        <f>IF(OR(O117="",C117=""),"",HYPERLINK("https://wa.me/52"&amp;C117&amp;"?text="&amp;_xlfn.ENCODEURL(O117),"Enviar mensaje"))</f>
        <v/>
      </c>
      <c r="Q117" s="13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ht="15" customHeight="1" s="1">
      <c r="A118" s="13">
        <f>IF(B118="","",ROW()-1)</f>
        <v/>
      </c>
      <c r="B118" s="14" t="n"/>
      <c r="C118" s="13">
        <f>IFERROR(INDEX(Clientes!$C:$C,MATCH(B118,Clientes!$B:$B,0)),"")</f>
        <v/>
      </c>
      <c r="D118" s="14">
        <f>IFERROR(INDEX(Clientes!$D:$D,MATCH(B118,Clientes!$B:$B,0)),"")</f>
        <v/>
      </c>
      <c r="E118" s="14">
        <f>IFERROR(INDEX(Clientes!$M:$M,MATCH(B118,Clientes!$B:$B,0)),"")</f>
        <v/>
      </c>
      <c r="F118" s="14">
        <f>IFERROR(INDEX(Clientes!$F:$F,MATCH(B118,Clientes!$B:$B,0)),"")</f>
        <v/>
      </c>
      <c r="G118" s="14">
        <f>IFERROR(INDEX(Clientes!$G:$G,MATCH(B118,Clientes!$B:$B,0)),"")</f>
        <v/>
      </c>
      <c r="H118" s="14" t="n"/>
      <c r="I118" s="15" t="n"/>
      <c r="J118" s="16" t="n"/>
      <c r="K118" s="14" t="n"/>
      <c r="L118" s="14" t="n"/>
      <c r="M118" s="13">
        <f>IF(I118="","",I118-TODAY())</f>
        <v/>
      </c>
      <c r="N118" s="14" t="n"/>
      <c r="O118" s="14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>
        <f>IF(OR(O118="",C118=""),"",HYPERLINK("https://wa.me/52"&amp;C118&amp;"?text="&amp;_xlfn.ENCODEURL(O118),"Enviar mensaje"))</f>
        <v/>
      </c>
      <c r="Q118" s="13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ht="15" customHeight="1" s="1">
      <c r="A119" s="13">
        <f>IF(B119="","",ROW()-1)</f>
        <v/>
      </c>
      <c r="B119" s="14" t="n"/>
      <c r="C119" s="13">
        <f>IFERROR(INDEX(Clientes!$C:$C,MATCH(B119,Clientes!$B:$B,0)),"")</f>
        <v/>
      </c>
      <c r="D119" s="14">
        <f>IFERROR(INDEX(Clientes!$D:$D,MATCH(B119,Clientes!$B:$B,0)),"")</f>
        <v/>
      </c>
      <c r="E119" s="14">
        <f>IFERROR(INDEX(Clientes!$M:$M,MATCH(B119,Clientes!$B:$B,0)),"")</f>
        <v/>
      </c>
      <c r="F119" s="14">
        <f>IFERROR(INDEX(Clientes!$F:$F,MATCH(B119,Clientes!$B:$B,0)),"")</f>
        <v/>
      </c>
      <c r="G119" s="14">
        <f>IFERROR(INDEX(Clientes!$G:$G,MATCH(B119,Clientes!$B:$B,0)),"")</f>
        <v/>
      </c>
      <c r="H119" s="14" t="n"/>
      <c r="I119" s="15" t="n"/>
      <c r="J119" s="16" t="n"/>
      <c r="K119" s="14" t="n"/>
      <c r="L119" s="14" t="n"/>
      <c r="M119" s="13">
        <f>IF(I119="","",I119-TODAY())</f>
        <v/>
      </c>
      <c r="N119" s="14" t="n"/>
      <c r="O119" s="14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>
        <f>IF(OR(O119="",C119=""),"",HYPERLINK("https://wa.me/52"&amp;C119&amp;"?text="&amp;_xlfn.ENCODEURL(O119),"Enviar mensaje"))</f>
        <v/>
      </c>
      <c r="Q119" s="13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ht="15" customHeight="1" s="1">
      <c r="A120" s="13">
        <f>IF(B120="","",ROW()-1)</f>
        <v/>
      </c>
      <c r="B120" s="14" t="n"/>
      <c r="C120" s="13">
        <f>IFERROR(INDEX(Clientes!$C:$C,MATCH(B120,Clientes!$B:$B,0)),"")</f>
        <v/>
      </c>
      <c r="D120" s="14">
        <f>IFERROR(INDEX(Clientes!$D:$D,MATCH(B120,Clientes!$B:$B,0)),"")</f>
        <v/>
      </c>
      <c r="E120" s="14">
        <f>IFERROR(INDEX(Clientes!$M:$M,MATCH(B120,Clientes!$B:$B,0)),"")</f>
        <v/>
      </c>
      <c r="F120" s="14">
        <f>IFERROR(INDEX(Clientes!$F:$F,MATCH(B120,Clientes!$B:$B,0)),"")</f>
        <v/>
      </c>
      <c r="G120" s="14">
        <f>IFERROR(INDEX(Clientes!$G:$G,MATCH(B120,Clientes!$B:$B,0)),"")</f>
        <v/>
      </c>
      <c r="H120" s="14" t="n"/>
      <c r="I120" s="15" t="n"/>
      <c r="J120" s="16" t="n"/>
      <c r="K120" s="14" t="n"/>
      <c r="L120" s="14" t="n"/>
      <c r="M120" s="13">
        <f>IF(I120="","",I120-TODAY())</f>
        <v/>
      </c>
      <c r="N120" s="14" t="n"/>
      <c r="O120" s="14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>
        <f>IF(OR(O120="",C120=""),"",HYPERLINK("https://wa.me/52"&amp;C120&amp;"?text="&amp;_xlfn.ENCODEURL(O120),"Enviar mensaje"))</f>
        <v/>
      </c>
      <c r="Q120" s="13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ht="15" customHeight="1" s="1">
      <c r="A121" s="13">
        <f>IF(B121="","",ROW()-1)</f>
        <v/>
      </c>
      <c r="B121" s="14" t="n"/>
      <c r="C121" s="13">
        <f>IFERROR(INDEX(Clientes!$C:$C,MATCH(B121,Clientes!$B:$B,0)),"")</f>
        <v/>
      </c>
      <c r="D121" s="14">
        <f>IFERROR(INDEX(Clientes!$D:$D,MATCH(B121,Clientes!$B:$B,0)),"")</f>
        <v/>
      </c>
      <c r="E121" s="14">
        <f>IFERROR(INDEX(Clientes!$M:$M,MATCH(B121,Clientes!$B:$B,0)),"")</f>
        <v/>
      </c>
      <c r="F121" s="14">
        <f>IFERROR(INDEX(Clientes!$F:$F,MATCH(B121,Clientes!$B:$B,0)),"")</f>
        <v/>
      </c>
      <c r="G121" s="14">
        <f>IFERROR(INDEX(Clientes!$G:$G,MATCH(B121,Clientes!$B:$B,0)),"")</f>
        <v/>
      </c>
      <c r="H121" s="14" t="n"/>
      <c r="I121" s="15" t="n"/>
      <c r="J121" s="16" t="n"/>
      <c r="K121" s="14" t="n"/>
      <c r="L121" s="14" t="n"/>
      <c r="M121" s="13">
        <f>IF(I121="","",I121-TODAY())</f>
        <v/>
      </c>
      <c r="N121" s="14" t="n"/>
      <c r="O121" s="14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>
        <f>IF(OR(O121="",C121=""),"",HYPERLINK("https://wa.me/52"&amp;C121&amp;"?text="&amp;_xlfn.ENCODEURL(O121),"Enviar mensaje"))</f>
        <v/>
      </c>
      <c r="Q121" s="13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ht="15" customHeight="1" s="1">
      <c r="A122" s="13">
        <f>IF(B122="","",ROW()-1)</f>
        <v/>
      </c>
      <c r="B122" s="14" t="n"/>
      <c r="C122" s="13">
        <f>IFERROR(INDEX(Clientes!$C:$C,MATCH(B122,Clientes!$B:$B,0)),"")</f>
        <v/>
      </c>
      <c r="D122" s="14">
        <f>IFERROR(INDEX(Clientes!$D:$D,MATCH(B122,Clientes!$B:$B,0)),"")</f>
        <v/>
      </c>
      <c r="E122" s="14">
        <f>IFERROR(INDEX(Clientes!$M:$M,MATCH(B122,Clientes!$B:$B,0)),"")</f>
        <v/>
      </c>
      <c r="F122" s="14">
        <f>IFERROR(INDEX(Clientes!$F:$F,MATCH(B122,Clientes!$B:$B,0)),"")</f>
        <v/>
      </c>
      <c r="G122" s="14">
        <f>IFERROR(INDEX(Clientes!$G:$G,MATCH(B122,Clientes!$B:$B,0)),"")</f>
        <v/>
      </c>
      <c r="H122" s="14" t="n"/>
      <c r="I122" s="15" t="n"/>
      <c r="J122" s="16" t="n"/>
      <c r="K122" s="14" t="n"/>
      <c r="L122" s="14" t="n"/>
      <c r="M122" s="13">
        <f>IF(I122="","",I122-TODAY())</f>
        <v/>
      </c>
      <c r="N122" s="14" t="n"/>
      <c r="O122" s="14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>
        <f>IF(OR(O122="",C122=""),"",HYPERLINK("https://wa.me/52"&amp;C122&amp;"?text="&amp;_xlfn.ENCODEURL(O122),"Enviar mensaje"))</f>
        <v/>
      </c>
      <c r="Q122" s="13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ht="15" customHeight="1" s="1">
      <c r="A123" s="13">
        <f>IF(B123="","",ROW()-1)</f>
        <v/>
      </c>
      <c r="B123" s="14" t="n"/>
      <c r="C123" s="13">
        <f>IFERROR(INDEX(Clientes!$C:$C,MATCH(B123,Clientes!$B:$B,0)),"")</f>
        <v/>
      </c>
      <c r="D123" s="14">
        <f>IFERROR(INDEX(Clientes!$D:$D,MATCH(B123,Clientes!$B:$B,0)),"")</f>
        <v/>
      </c>
      <c r="E123" s="14">
        <f>IFERROR(INDEX(Clientes!$M:$M,MATCH(B123,Clientes!$B:$B,0)),"")</f>
        <v/>
      </c>
      <c r="F123" s="14">
        <f>IFERROR(INDEX(Clientes!$F:$F,MATCH(B123,Clientes!$B:$B,0)),"")</f>
        <v/>
      </c>
      <c r="G123" s="14">
        <f>IFERROR(INDEX(Clientes!$G:$G,MATCH(B123,Clientes!$B:$B,0)),"")</f>
        <v/>
      </c>
      <c r="H123" s="14" t="n"/>
      <c r="I123" s="15" t="n"/>
      <c r="J123" s="16" t="n"/>
      <c r="K123" s="14" t="n"/>
      <c r="L123" s="14" t="n"/>
      <c r="M123" s="13">
        <f>IF(I123="","",I123-TODAY())</f>
        <v/>
      </c>
      <c r="N123" s="14" t="n"/>
      <c r="O123" s="14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>
        <f>IF(OR(O123="",C123=""),"",HYPERLINK("https://wa.me/52"&amp;C123&amp;"?text="&amp;_xlfn.ENCODEURL(O123),"Enviar mensaje"))</f>
        <v/>
      </c>
      <c r="Q123" s="13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ht="15" customHeight="1" s="1">
      <c r="A124" s="13">
        <f>IF(B124="","",ROW()-1)</f>
        <v/>
      </c>
      <c r="B124" s="14" t="n"/>
      <c r="C124" s="13">
        <f>IFERROR(INDEX(Clientes!$C:$C,MATCH(B124,Clientes!$B:$B,0)),"")</f>
        <v/>
      </c>
      <c r="D124" s="14">
        <f>IFERROR(INDEX(Clientes!$D:$D,MATCH(B124,Clientes!$B:$B,0)),"")</f>
        <v/>
      </c>
      <c r="E124" s="14">
        <f>IFERROR(INDEX(Clientes!$M:$M,MATCH(B124,Clientes!$B:$B,0)),"")</f>
        <v/>
      </c>
      <c r="F124" s="14">
        <f>IFERROR(INDEX(Clientes!$F:$F,MATCH(B124,Clientes!$B:$B,0)),"")</f>
        <v/>
      </c>
      <c r="G124" s="14">
        <f>IFERROR(INDEX(Clientes!$G:$G,MATCH(B124,Clientes!$B:$B,0)),"")</f>
        <v/>
      </c>
      <c r="H124" s="14" t="n"/>
      <c r="I124" s="15" t="n"/>
      <c r="J124" s="16" t="n"/>
      <c r="K124" s="14" t="n"/>
      <c r="L124" s="14" t="n"/>
      <c r="M124" s="13">
        <f>IF(I124="","",I124-TODAY())</f>
        <v/>
      </c>
      <c r="N124" s="14" t="n"/>
      <c r="O124" s="14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>
        <f>IF(OR(O124="",C124=""),"",HYPERLINK("https://wa.me/52"&amp;C124&amp;"?text="&amp;_xlfn.ENCODEURL(O124),"Enviar mensaje"))</f>
        <v/>
      </c>
      <c r="Q124" s="13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ht="15" customHeight="1" s="1">
      <c r="A125" s="13">
        <f>IF(B125="","",ROW()-1)</f>
        <v/>
      </c>
      <c r="B125" s="14" t="n"/>
      <c r="C125" s="13">
        <f>IFERROR(INDEX(Clientes!$C:$C,MATCH(B125,Clientes!$B:$B,0)),"")</f>
        <v/>
      </c>
      <c r="D125" s="14">
        <f>IFERROR(INDEX(Clientes!$D:$D,MATCH(B125,Clientes!$B:$B,0)),"")</f>
        <v/>
      </c>
      <c r="E125" s="14">
        <f>IFERROR(INDEX(Clientes!$M:$M,MATCH(B125,Clientes!$B:$B,0)),"")</f>
        <v/>
      </c>
      <c r="F125" s="14">
        <f>IFERROR(INDEX(Clientes!$F:$F,MATCH(B125,Clientes!$B:$B,0)),"")</f>
        <v/>
      </c>
      <c r="G125" s="14">
        <f>IFERROR(INDEX(Clientes!$G:$G,MATCH(B125,Clientes!$B:$B,0)),"")</f>
        <v/>
      </c>
      <c r="H125" s="14" t="n"/>
      <c r="I125" s="15" t="n"/>
      <c r="J125" s="16" t="n"/>
      <c r="K125" s="14" t="n"/>
      <c r="L125" s="14" t="n"/>
      <c r="M125" s="13">
        <f>IF(I125="","",I125-TODAY())</f>
        <v/>
      </c>
      <c r="N125" s="14" t="n"/>
      <c r="O125" s="14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>
        <f>IF(OR(O125="",C125=""),"",HYPERLINK("https://wa.me/52"&amp;C125&amp;"?text="&amp;_xlfn.ENCODEURL(O125),"Enviar mensaje"))</f>
        <v/>
      </c>
      <c r="Q125" s="13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ht="15" customHeight="1" s="1">
      <c r="A126" s="13">
        <f>IF(B126="","",ROW()-1)</f>
        <v/>
      </c>
      <c r="B126" s="14" t="n"/>
      <c r="C126" s="13">
        <f>IFERROR(INDEX(Clientes!$C:$C,MATCH(B126,Clientes!$B:$B,0)),"")</f>
        <v/>
      </c>
      <c r="D126" s="14">
        <f>IFERROR(INDEX(Clientes!$D:$D,MATCH(B126,Clientes!$B:$B,0)),"")</f>
        <v/>
      </c>
      <c r="E126" s="14">
        <f>IFERROR(INDEX(Clientes!$M:$M,MATCH(B126,Clientes!$B:$B,0)),"")</f>
        <v/>
      </c>
      <c r="F126" s="14">
        <f>IFERROR(INDEX(Clientes!$F:$F,MATCH(B126,Clientes!$B:$B,0)),"")</f>
        <v/>
      </c>
      <c r="G126" s="14">
        <f>IFERROR(INDEX(Clientes!$G:$G,MATCH(B126,Clientes!$B:$B,0)),"")</f>
        <v/>
      </c>
      <c r="H126" s="14" t="n"/>
      <c r="I126" s="15" t="n"/>
      <c r="J126" s="16" t="n"/>
      <c r="K126" s="14" t="n"/>
      <c r="L126" s="14" t="n"/>
      <c r="M126" s="13">
        <f>IF(I126="","",I126-TODAY())</f>
        <v/>
      </c>
      <c r="N126" s="14" t="n"/>
      <c r="O126" s="14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>
        <f>IF(OR(O126="",C126=""),"",HYPERLINK("https://wa.me/52"&amp;C126&amp;"?text="&amp;_xlfn.ENCODEURL(O126),"Enviar mensaje"))</f>
        <v/>
      </c>
      <c r="Q126" s="13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ht="15" customHeight="1" s="1">
      <c r="A127" s="13">
        <f>IF(B127="","",ROW()-1)</f>
        <v/>
      </c>
      <c r="B127" s="14" t="n"/>
      <c r="C127" s="13">
        <f>IFERROR(INDEX(Clientes!$C:$C,MATCH(B127,Clientes!$B:$B,0)),"")</f>
        <v/>
      </c>
      <c r="D127" s="14">
        <f>IFERROR(INDEX(Clientes!$D:$D,MATCH(B127,Clientes!$B:$B,0)),"")</f>
        <v/>
      </c>
      <c r="E127" s="14">
        <f>IFERROR(INDEX(Clientes!$M:$M,MATCH(B127,Clientes!$B:$B,0)),"")</f>
        <v/>
      </c>
      <c r="F127" s="14">
        <f>IFERROR(INDEX(Clientes!$F:$F,MATCH(B127,Clientes!$B:$B,0)),"")</f>
        <v/>
      </c>
      <c r="G127" s="14">
        <f>IFERROR(INDEX(Clientes!$G:$G,MATCH(B127,Clientes!$B:$B,0)),"")</f>
        <v/>
      </c>
      <c r="H127" s="14" t="n"/>
      <c r="I127" s="15" t="n"/>
      <c r="J127" s="16" t="n"/>
      <c r="K127" s="14" t="n"/>
      <c r="L127" s="14" t="n"/>
      <c r="M127" s="13">
        <f>IF(I127="","",I127-TODAY())</f>
        <v/>
      </c>
      <c r="N127" s="14" t="n"/>
      <c r="O127" s="14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>
        <f>IF(OR(O127="",C127=""),"",HYPERLINK("https://wa.me/52"&amp;C127&amp;"?text="&amp;_xlfn.ENCODEURL(O127),"Enviar mensaje"))</f>
        <v/>
      </c>
      <c r="Q127" s="13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ht="15" customHeight="1" s="1">
      <c r="A128" s="13">
        <f>IF(B128="","",ROW()-1)</f>
        <v/>
      </c>
      <c r="B128" s="14" t="n"/>
      <c r="C128" s="13">
        <f>IFERROR(INDEX(Clientes!$C:$C,MATCH(B128,Clientes!$B:$B,0)),"")</f>
        <v/>
      </c>
      <c r="D128" s="14">
        <f>IFERROR(INDEX(Clientes!$D:$D,MATCH(B128,Clientes!$B:$B,0)),"")</f>
        <v/>
      </c>
      <c r="E128" s="14">
        <f>IFERROR(INDEX(Clientes!$M:$M,MATCH(B128,Clientes!$B:$B,0)),"")</f>
        <v/>
      </c>
      <c r="F128" s="14">
        <f>IFERROR(INDEX(Clientes!$F:$F,MATCH(B128,Clientes!$B:$B,0)),"")</f>
        <v/>
      </c>
      <c r="G128" s="14">
        <f>IFERROR(INDEX(Clientes!$G:$G,MATCH(B128,Clientes!$B:$B,0)),"")</f>
        <v/>
      </c>
      <c r="H128" s="14" t="n"/>
      <c r="I128" s="15" t="n"/>
      <c r="J128" s="16" t="n"/>
      <c r="K128" s="14" t="n"/>
      <c r="L128" s="14" t="n"/>
      <c r="M128" s="13">
        <f>IF(I128="","",I128-TODAY())</f>
        <v/>
      </c>
      <c r="N128" s="14" t="n"/>
      <c r="O128" s="14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>
        <f>IF(OR(O128="",C128=""),"",HYPERLINK("https://wa.me/52"&amp;C128&amp;"?text="&amp;_xlfn.ENCODEURL(O128),"Enviar mensaje"))</f>
        <v/>
      </c>
      <c r="Q128" s="13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ht="15" customHeight="1" s="1">
      <c r="A129" s="13">
        <f>IF(B129="","",ROW()-1)</f>
        <v/>
      </c>
      <c r="B129" s="14" t="n"/>
      <c r="C129" s="13">
        <f>IFERROR(INDEX(Clientes!$C:$C,MATCH(B129,Clientes!$B:$B,0)),"")</f>
        <v/>
      </c>
      <c r="D129" s="14">
        <f>IFERROR(INDEX(Clientes!$D:$D,MATCH(B129,Clientes!$B:$B,0)),"")</f>
        <v/>
      </c>
      <c r="E129" s="14">
        <f>IFERROR(INDEX(Clientes!$M:$M,MATCH(B129,Clientes!$B:$B,0)),"")</f>
        <v/>
      </c>
      <c r="F129" s="14">
        <f>IFERROR(INDEX(Clientes!$F:$F,MATCH(B129,Clientes!$B:$B,0)),"")</f>
        <v/>
      </c>
      <c r="G129" s="14">
        <f>IFERROR(INDEX(Clientes!$G:$G,MATCH(B129,Clientes!$B:$B,0)),"")</f>
        <v/>
      </c>
      <c r="H129" s="14" t="n"/>
      <c r="I129" s="15" t="n"/>
      <c r="J129" s="16" t="n"/>
      <c r="K129" s="14" t="n"/>
      <c r="L129" s="14" t="n"/>
      <c r="M129" s="13">
        <f>IF(I129="","",I129-TODAY())</f>
        <v/>
      </c>
      <c r="N129" s="14" t="n"/>
      <c r="O129" s="14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>
        <f>IF(OR(O129="",C129=""),"",HYPERLINK("https://wa.me/52"&amp;C129&amp;"?text="&amp;_xlfn.ENCODEURL(O129),"Enviar mensaje"))</f>
        <v/>
      </c>
      <c r="Q129" s="13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ht="15" customHeight="1" s="1">
      <c r="A130" s="13">
        <f>IF(B130="","",ROW()-1)</f>
        <v/>
      </c>
      <c r="B130" s="14" t="n"/>
      <c r="C130" s="13">
        <f>IFERROR(INDEX(Clientes!$C:$C,MATCH(B130,Clientes!$B:$B,0)),"")</f>
        <v/>
      </c>
      <c r="D130" s="14">
        <f>IFERROR(INDEX(Clientes!$D:$D,MATCH(B130,Clientes!$B:$B,0)),"")</f>
        <v/>
      </c>
      <c r="E130" s="14">
        <f>IFERROR(INDEX(Clientes!$M:$M,MATCH(B130,Clientes!$B:$B,0)),"")</f>
        <v/>
      </c>
      <c r="F130" s="14">
        <f>IFERROR(INDEX(Clientes!$F:$F,MATCH(B130,Clientes!$B:$B,0)),"")</f>
        <v/>
      </c>
      <c r="G130" s="14">
        <f>IFERROR(INDEX(Clientes!$G:$G,MATCH(B130,Clientes!$B:$B,0)),"")</f>
        <v/>
      </c>
      <c r="H130" s="14" t="n"/>
      <c r="I130" s="15" t="n"/>
      <c r="J130" s="16" t="n"/>
      <c r="K130" s="14" t="n"/>
      <c r="L130" s="14" t="n"/>
      <c r="M130" s="13">
        <f>IF(I130="","",I130-TODAY())</f>
        <v/>
      </c>
      <c r="N130" s="14" t="n"/>
      <c r="O130" s="14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>
        <f>IF(OR(O130="",C130=""),"",HYPERLINK("https://wa.me/52"&amp;C130&amp;"?text="&amp;_xlfn.ENCODEURL(O130),"Enviar mensaje"))</f>
        <v/>
      </c>
      <c r="Q130" s="13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ht="15" customHeight="1" s="1">
      <c r="A131" s="13">
        <f>IF(B131="","",ROW()-1)</f>
        <v/>
      </c>
      <c r="B131" s="14" t="n"/>
      <c r="C131" s="13">
        <f>IFERROR(INDEX(Clientes!$C:$C,MATCH(B131,Clientes!$B:$B,0)),"")</f>
        <v/>
      </c>
      <c r="D131" s="14">
        <f>IFERROR(INDEX(Clientes!$D:$D,MATCH(B131,Clientes!$B:$B,0)),"")</f>
        <v/>
      </c>
      <c r="E131" s="14">
        <f>IFERROR(INDEX(Clientes!$M:$M,MATCH(B131,Clientes!$B:$B,0)),"")</f>
        <v/>
      </c>
      <c r="F131" s="14">
        <f>IFERROR(INDEX(Clientes!$F:$F,MATCH(B131,Clientes!$B:$B,0)),"")</f>
        <v/>
      </c>
      <c r="G131" s="14">
        <f>IFERROR(INDEX(Clientes!$G:$G,MATCH(B131,Clientes!$B:$B,0)),"")</f>
        <v/>
      </c>
      <c r="H131" s="14" t="n"/>
      <c r="I131" s="15" t="n"/>
      <c r="J131" s="16" t="n"/>
      <c r="K131" s="14" t="n"/>
      <c r="L131" s="14" t="n"/>
      <c r="M131" s="13">
        <f>IF(I131="","",I131-TODAY())</f>
        <v/>
      </c>
      <c r="N131" s="14" t="n"/>
      <c r="O131" s="14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>
        <f>IF(OR(O131="",C131=""),"",HYPERLINK("https://wa.me/52"&amp;C131&amp;"?text="&amp;_xlfn.ENCODEURL(O131),"Enviar mensaje"))</f>
        <v/>
      </c>
      <c r="Q131" s="13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ht="15" customHeight="1" s="1">
      <c r="A132" s="13">
        <f>IF(B132="","",ROW()-1)</f>
        <v/>
      </c>
      <c r="B132" s="14" t="n"/>
      <c r="C132" s="13">
        <f>IFERROR(INDEX(Clientes!$C:$C,MATCH(B132,Clientes!$B:$B,0)),"")</f>
        <v/>
      </c>
      <c r="D132" s="14">
        <f>IFERROR(INDEX(Clientes!$D:$D,MATCH(B132,Clientes!$B:$B,0)),"")</f>
        <v/>
      </c>
      <c r="E132" s="14">
        <f>IFERROR(INDEX(Clientes!$M:$M,MATCH(B132,Clientes!$B:$B,0)),"")</f>
        <v/>
      </c>
      <c r="F132" s="14">
        <f>IFERROR(INDEX(Clientes!$F:$F,MATCH(B132,Clientes!$B:$B,0)),"")</f>
        <v/>
      </c>
      <c r="G132" s="14">
        <f>IFERROR(INDEX(Clientes!$G:$G,MATCH(B132,Clientes!$B:$B,0)),"")</f>
        <v/>
      </c>
      <c r="H132" s="14" t="n"/>
      <c r="I132" s="15" t="n"/>
      <c r="J132" s="16" t="n"/>
      <c r="K132" s="14" t="n"/>
      <c r="L132" s="14" t="n"/>
      <c r="M132" s="13">
        <f>IF(I132="","",I132-TODAY())</f>
        <v/>
      </c>
      <c r="N132" s="14" t="n"/>
      <c r="O132" s="14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>
        <f>IF(OR(O132="",C132=""),"",HYPERLINK("https://wa.me/52"&amp;C132&amp;"?text="&amp;_xlfn.ENCODEURL(O132),"Enviar mensaje"))</f>
        <v/>
      </c>
      <c r="Q132" s="13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ht="15" customHeight="1" s="1">
      <c r="A133" s="13">
        <f>IF(B133="","",ROW()-1)</f>
        <v/>
      </c>
      <c r="B133" s="14" t="n"/>
      <c r="C133" s="13">
        <f>IFERROR(INDEX(Clientes!$C:$C,MATCH(B133,Clientes!$B:$B,0)),"")</f>
        <v/>
      </c>
      <c r="D133" s="14">
        <f>IFERROR(INDEX(Clientes!$D:$D,MATCH(B133,Clientes!$B:$B,0)),"")</f>
        <v/>
      </c>
      <c r="E133" s="14">
        <f>IFERROR(INDEX(Clientes!$M:$M,MATCH(B133,Clientes!$B:$B,0)),"")</f>
        <v/>
      </c>
      <c r="F133" s="14">
        <f>IFERROR(INDEX(Clientes!$F:$F,MATCH(B133,Clientes!$B:$B,0)),"")</f>
        <v/>
      </c>
      <c r="G133" s="14">
        <f>IFERROR(INDEX(Clientes!$G:$G,MATCH(B133,Clientes!$B:$B,0)),"")</f>
        <v/>
      </c>
      <c r="H133" s="14" t="n"/>
      <c r="I133" s="15" t="n"/>
      <c r="J133" s="16" t="n"/>
      <c r="K133" s="14" t="n"/>
      <c r="L133" s="14" t="n"/>
      <c r="M133" s="13">
        <f>IF(I133="","",I133-TODAY())</f>
        <v/>
      </c>
      <c r="N133" s="14" t="n"/>
      <c r="O133" s="14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>
        <f>IF(OR(O133="",C133=""),"",HYPERLINK("https://wa.me/52"&amp;C133&amp;"?text="&amp;_xlfn.ENCODEURL(O133),"Enviar mensaje"))</f>
        <v/>
      </c>
      <c r="Q133" s="13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ht="15" customHeight="1" s="1">
      <c r="A134" s="13">
        <f>IF(B134="","",ROW()-1)</f>
        <v/>
      </c>
      <c r="B134" s="14" t="n"/>
      <c r="C134" s="13">
        <f>IFERROR(INDEX(Clientes!$C:$C,MATCH(B134,Clientes!$B:$B,0)),"")</f>
        <v/>
      </c>
      <c r="D134" s="14">
        <f>IFERROR(INDEX(Clientes!$D:$D,MATCH(B134,Clientes!$B:$B,0)),"")</f>
        <v/>
      </c>
      <c r="E134" s="14">
        <f>IFERROR(INDEX(Clientes!$M:$M,MATCH(B134,Clientes!$B:$B,0)),"")</f>
        <v/>
      </c>
      <c r="F134" s="14">
        <f>IFERROR(INDEX(Clientes!$F:$F,MATCH(B134,Clientes!$B:$B,0)),"")</f>
        <v/>
      </c>
      <c r="G134" s="14">
        <f>IFERROR(INDEX(Clientes!$G:$G,MATCH(B134,Clientes!$B:$B,0)),"")</f>
        <v/>
      </c>
      <c r="H134" s="14" t="n"/>
      <c r="I134" s="15" t="n"/>
      <c r="J134" s="16" t="n"/>
      <c r="K134" s="14" t="n"/>
      <c r="L134" s="14" t="n"/>
      <c r="M134" s="13">
        <f>IF(I134="","",I134-TODAY())</f>
        <v/>
      </c>
      <c r="N134" s="14" t="n"/>
      <c r="O134" s="14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>
        <f>IF(OR(O134="",C134=""),"",HYPERLINK("https://wa.me/52"&amp;C134&amp;"?text="&amp;_xlfn.ENCODEURL(O134),"Enviar mensaje"))</f>
        <v/>
      </c>
      <c r="Q134" s="13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ht="15" customHeight="1" s="1">
      <c r="A135" s="13">
        <f>IF(B135="","",ROW()-1)</f>
        <v/>
      </c>
      <c r="B135" s="14" t="n"/>
      <c r="C135" s="13">
        <f>IFERROR(INDEX(Clientes!$C:$C,MATCH(B135,Clientes!$B:$B,0)),"")</f>
        <v/>
      </c>
      <c r="D135" s="14">
        <f>IFERROR(INDEX(Clientes!$D:$D,MATCH(B135,Clientes!$B:$B,0)),"")</f>
        <v/>
      </c>
      <c r="E135" s="14">
        <f>IFERROR(INDEX(Clientes!$M:$M,MATCH(B135,Clientes!$B:$B,0)),"")</f>
        <v/>
      </c>
      <c r="F135" s="14">
        <f>IFERROR(INDEX(Clientes!$F:$F,MATCH(B135,Clientes!$B:$B,0)),"")</f>
        <v/>
      </c>
      <c r="G135" s="14">
        <f>IFERROR(INDEX(Clientes!$G:$G,MATCH(B135,Clientes!$B:$B,0)),"")</f>
        <v/>
      </c>
      <c r="H135" s="14" t="n"/>
      <c r="I135" s="15" t="n"/>
      <c r="J135" s="16" t="n"/>
      <c r="K135" s="14" t="n"/>
      <c r="L135" s="14" t="n"/>
      <c r="M135" s="13">
        <f>IF(I135="","",I135-TODAY())</f>
        <v/>
      </c>
      <c r="N135" s="14" t="n"/>
      <c r="O135" s="14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>
        <f>IF(OR(O135="",C135=""),"",HYPERLINK("https://wa.me/52"&amp;C135&amp;"?text="&amp;_xlfn.ENCODEURL(O135),"Enviar mensaje"))</f>
        <v/>
      </c>
      <c r="Q135" s="13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ht="15" customHeight="1" s="1">
      <c r="A136" s="13">
        <f>IF(B136="","",ROW()-1)</f>
        <v/>
      </c>
      <c r="B136" s="14" t="n"/>
      <c r="C136" s="13">
        <f>IFERROR(INDEX(Clientes!$C:$C,MATCH(B136,Clientes!$B:$B,0)),"")</f>
        <v/>
      </c>
      <c r="D136" s="14">
        <f>IFERROR(INDEX(Clientes!$D:$D,MATCH(B136,Clientes!$B:$B,0)),"")</f>
        <v/>
      </c>
      <c r="E136" s="14">
        <f>IFERROR(INDEX(Clientes!$M:$M,MATCH(B136,Clientes!$B:$B,0)),"")</f>
        <v/>
      </c>
      <c r="F136" s="14">
        <f>IFERROR(INDEX(Clientes!$F:$F,MATCH(B136,Clientes!$B:$B,0)),"")</f>
        <v/>
      </c>
      <c r="G136" s="14">
        <f>IFERROR(INDEX(Clientes!$G:$G,MATCH(B136,Clientes!$B:$B,0)),"")</f>
        <v/>
      </c>
      <c r="H136" s="14" t="n"/>
      <c r="I136" s="15" t="n"/>
      <c r="J136" s="16" t="n"/>
      <c r="K136" s="14" t="n"/>
      <c r="L136" s="14" t="n"/>
      <c r="M136" s="13">
        <f>IF(I136="","",I136-TODAY())</f>
        <v/>
      </c>
      <c r="N136" s="14" t="n"/>
      <c r="O136" s="14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>
        <f>IF(OR(O136="",C136=""),"",HYPERLINK("https://wa.me/52"&amp;C136&amp;"?text="&amp;_xlfn.ENCODEURL(O136),"Enviar mensaje"))</f>
        <v/>
      </c>
      <c r="Q136" s="13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ht="15" customHeight="1" s="1">
      <c r="A137" s="13">
        <f>IF(B137="","",ROW()-1)</f>
        <v/>
      </c>
      <c r="B137" s="14" t="n"/>
      <c r="C137" s="13">
        <f>IFERROR(INDEX(Clientes!$C:$C,MATCH(B137,Clientes!$B:$B,0)),"")</f>
        <v/>
      </c>
      <c r="D137" s="14">
        <f>IFERROR(INDEX(Clientes!$D:$D,MATCH(B137,Clientes!$B:$B,0)),"")</f>
        <v/>
      </c>
      <c r="E137" s="14">
        <f>IFERROR(INDEX(Clientes!$M:$M,MATCH(B137,Clientes!$B:$B,0)),"")</f>
        <v/>
      </c>
      <c r="F137" s="14">
        <f>IFERROR(INDEX(Clientes!$F:$F,MATCH(B137,Clientes!$B:$B,0)),"")</f>
        <v/>
      </c>
      <c r="G137" s="14">
        <f>IFERROR(INDEX(Clientes!$G:$G,MATCH(B137,Clientes!$B:$B,0)),"")</f>
        <v/>
      </c>
      <c r="H137" s="14" t="n"/>
      <c r="I137" s="15" t="n"/>
      <c r="J137" s="16" t="n"/>
      <c r="K137" s="14" t="n"/>
      <c r="L137" s="14" t="n"/>
      <c r="M137" s="13">
        <f>IF(I137="","",I137-TODAY())</f>
        <v/>
      </c>
      <c r="N137" s="14" t="n"/>
      <c r="O137" s="14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>
        <f>IF(OR(O137="",C137=""),"",HYPERLINK("https://wa.me/52"&amp;C137&amp;"?text="&amp;_xlfn.ENCODEURL(O137),"Enviar mensaje"))</f>
        <v/>
      </c>
      <c r="Q137" s="13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ht="15" customHeight="1" s="1">
      <c r="A138" s="13">
        <f>IF(B138="","",ROW()-1)</f>
        <v/>
      </c>
      <c r="B138" s="14" t="n"/>
      <c r="C138" s="13">
        <f>IFERROR(INDEX(Clientes!$C:$C,MATCH(B138,Clientes!$B:$B,0)),"")</f>
        <v/>
      </c>
      <c r="D138" s="14">
        <f>IFERROR(INDEX(Clientes!$D:$D,MATCH(B138,Clientes!$B:$B,0)),"")</f>
        <v/>
      </c>
      <c r="E138" s="14">
        <f>IFERROR(INDEX(Clientes!$M:$M,MATCH(B138,Clientes!$B:$B,0)),"")</f>
        <v/>
      </c>
      <c r="F138" s="14">
        <f>IFERROR(INDEX(Clientes!$F:$F,MATCH(B138,Clientes!$B:$B,0)),"")</f>
        <v/>
      </c>
      <c r="G138" s="14">
        <f>IFERROR(INDEX(Clientes!$G:$G,MATCH(B138,Clientes!$B:$B,0)),"")</f>
        <v/>
      </c>
      <c r="H138" s="14" t="n"/>
      <c r="I138" s="15" t="n"/>
      <c r="J138" s="16" t="n"/>
      <c r="K138" s="14" t="n"/>
      <c r="L138" s="14" t="n"/>
      <c r="M138" s="13">
        <f>IF(I138="","",I138-TODAY())</f>
        <v/>
      </c>
      <c r="N138" s="14" t="n"/>
      <c r="O138" s="14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>
        <f>IF(OR(O138="",C138=""),"",HYPERLINK("https://wa.me/52"&amp;C138&amp;"?text="&amp;_xlfn.ENCODEURL(O138),"Enviar mensaje"))</f>
        <v/>
      </c>
      <c r="Q138" s="13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ht="15" customHeight="1" s="1">
      <c r="A139" s="13">
        <f>IF(B139="","",ROW()-1)</f>
        <v/>
      </c>
      <c r="B139" s="14" t="n"/>
      <c r="C139" s="13">
        <f>IFERROR(INDEX(Clientes!$C:$C,MATCH(B139,Clientes!$B:$B,0)),"")</f>
        <v/>
      </c>
      <c r="D139" s="14">
        <f>IFERROR(INDEX(Clientes!$D:$D,MATCH(B139,Clientes!$B:$B,0)),"")</f>
        <v/>
      </c>
      <c r="E139" s="14">
        <f>IFERROR(INDEX(Clientes!$M:$M,MATCH(B139,Clientes!$B:$B,0)),"")</f>
        <v/>
      </c>
      <c r="F139" s="14">
        <f>IFERROR(INDEX(Clientes!$F:$F,MATCH(B139,Clientes!$B:$B,0)),"")</f>
        <v/>
      </c>
      <c r="G139" s="14">
        <f>IFERROR(INDEX(Clientes!$G:$G,MATCH(B139,Clientes!$B:$B,0)),"")</f>
        <v/>
      </c>
      <c r="H139" s="14" t="n"/>
      <c r="I139" s="15" t="n"/>
      <c r="J139" s="16" t="n"/>
      <c r="K139" s="14" t="n"/>
      <c r="L139" s="14" t="n"/>
      <c r="M139" s="13">
        <f>IF(I139="","",I139-TODAY())</f>
        <v/>
      </c>
      <c r="N139" s="14" t="n"/>
      <c r="O139" s="14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>
        <f>IF(OR(O139="",C139=""),"",HYPERLINK("https://wa.me/52"&amp;C139&amp;"?text="&amp;_xlfn.ENCODEURL(O139),"Enviar mensaje"))</f>
        <v/>
      </c>
      <c r="Q139" s="13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ht="15" customHeight="1" s="1">
      <c r="A140" s="13">
        <f>IF(B140="","",ROW()-1)</f>
        <v/>
      </c>
      <c r="B140" s="14" t="n"/>
      <c r="C140" s="13">
        <f>IFERROR(INDEX(Clientes!$C:$C,MATCH(B140,Clientes!$B:$B,0)),"")</f>
        <v/>
      </c>
      <c r="D140" s="14">
        <f>IFERROR(INDEX(Clientes!$D:$D,MATCH(B140,Clientes!$B:$B,0)),"")</f>
        <v/>
      </c>
      <c r="E140" s="14">
        <f>IFERROR(INDEX(Clientes!$M:$M,MATCH(B140,Clientes!$B:$B,0)),"")</f>
        <v/>
      </c>
      <c r="F140" s="14">
        <f>IFERROR(INDEX(Clientes!$F:$F,MATCH(B140,Clientes!$B:$B,0)),"")</f>
        <v/>
      </c>
      <c r="G140" s="14">
        <f>IFERROR(INDEX(Clientes!$G:$G,MATCH(B140,Clientes!$B:$B,0)),"")</f>
        <v/>
      </c>
      <c r="H140" s="14" t="n"/>
      <c r="I140" s="15" t="n"/>
      <c r="J140" s="16" t="n"/>
      <c r="K140" s="14" t="n"/>
      <c r="L140" s="14" t="n"/>
      <c r="M140" s="13">
        <f>IF(I140="","",I140-TODAY())</f>
        <v/>
      </c>
      <c r="N140" s="14" t="n"/>
      <c r="O140" s="14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>
        <f>IF(OR(O140="",C140=""),"",HYPERLINK("https://wa.me/52"&amp;C140&amp;"?text="&amp;_xlfn.ENCODEURL(O140),"Enviar mensaje"))</f>
        <v/>
      </c>
      <c r="Q140" s="13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ht="15" customHeight="1" s="1">
      <c r="A141" s="13">
        <f>IF(B141="","",ROW()-1)</f>
        <v/>
      </c>
      <c r="B141" s="14" t="n"/>
      <c r="C141" s="13">
        <f>IFERROR(INDEX(Clientes!$C:$C,MATCH(B141,Clientes!$B:$B,0)),"")</f>
        <v/>
      </c>
      <c r="D141" s="14">
        <f>IFERROR(INDEX(Clientes!$D:$D,MATCH(B141,Clientes!$B:$B,0)),"")</f>
        <v/>
      </c>
      <c r="E141" s="14">
        <f>IFERROR(INDEX(Clientes!$M:$M,MATCH(B141,Clientes!$B:$B,0)),"")</f>
        <v/>
      </c>
      <c r="F141" s="14">
        <f>IFERROR(INDEX(Clientes!$F:$F,MATCH(B141,Clientes!$B:$B,0)),"")</f>
        <v/>
      </c>
      <c r="G141" s="14">
        <f>IFERROR(INDEX(Clientes!$G:$G,MATCH(B141,Clientes!$B:$B,0)),"")</f>
        <v/>
      </c>
      <c r="H141" s="14" t="n"/>
      <c r="I141" s="15" t="n"/>
      <c r="J141" s="16" t="n"/>
      <c r="K141" s="14" t="n"/>
      <c r="L141" s="14" t="n"/>
      <c r="M141" s="13">
        <f>IF(I141="","",I141-TODAY())</f>
        <v/>
      </c>
      <c r="N141" s="14" t="n"/>
      <c r="O141" s="14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>
        <f>IF(OR(O141="",C141=""),"",HYPERLINK("https://wa.me/52"&amp;C141&amp;"?text="&amp;_xlfn.ENCODEURL(O141),"Enviar mensaje"))</f>
        <v/>
      </c>
      <c r="Q141" s="13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ht="15" customHeight="1" s="1">
      <c r="A142" s="13">
        <f>IF(B142="","",ROW()-1)</f>
        <v/>
      </c>
      <c r="B142" s="14" t="n"/>
      <c r="C142" s="13">
        <f>IFERROR(INDEX(Clientes!$C:$C,MATCH(B142,Clientes!$B:$B,0)),"")</f>
        <v/>
      </c>
      <c r="D142" s="14">
        <f>IFERROR(INDEX(Clientes!$D:$D,MATCH(B142,Clientes!$B:$B,0)),"")</f>
        <v/>
      </c>
      <c r="E142" s="14">
        <f>IFERROR(INDEX(Clientes!$M:$M,MATCH(B142,Clientes!$B:$B,0)),"")</f>
        <v/>
      </c>
      <c r="F142" s="14">
        <f>IFERROR(INDEX(Clientes!$F:$F,MATCH(B142,Clientes!$B:$B,0)),"")</f>
        <v/>
      </c>
      <c r="G142" s="14">
        <f>IFERROR(INDEX(Clientes!$G:$G,MATCH(B142,Clientes!$B:$B,0)),"")</f>
        <v/>
      </c>
      <c r="H142" s="14" t="n"/>
      <c r="I142" s="15" t="n"/>
      <c r="J142" s="16" t="n"/>
      <c r="K142" s="14" t="n"/>
      <c r="L142" s="14" t="n"/>
      <c r="M142" s="13">
        <f>IF(I142="","",I142-TODAY())</f>
        <v/>
      </c>
      <c r="N142" s="14" t="n"/>
      <c r="O142" s="14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>
        <f>IF(OR(O142="",C142=""),"",HYPERLINK("https://wa.me/52"&amp;C142&amp;"?text="&amp;_xlfn.ENCODEURL(O142),"Enviar mensaje"))</f>
        <v/>
      </c>
      <c r="Q142" s="13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ht="15" customHeight="1" s="1">
      <c r="A143" s="13">
        <f>IF(B143="","",ROW()-1)</f>
        <v/>
      </c>
      <c r="B143" s="14" t="n"/>
      <c r="C143" s="13">
        <f>IFERROR(INDEX(Clientes!$C:$C,MATCH(B143,Clientes!$B:$B,0)),"")</f>
        <v/>
      </c>
      <c r="D143" s="14">
        <f>IFERROR(INDEX(Clientes!$D:$D,MATCH(B143,Clientes!$B:$B,0)),"")</f>
        <v/>
      </c>
      <c r="E143" s="14">
        <f>IFERROR(INDEX(Clientes!$M:$M,MATCH(B143,Clientes!$B:$B,0)),"")</f>
        <v/>
      </c>
      <c r="F143" s="14">
        <f>IFERROR(INDEX(Clientes!$F:$F,MATCH(B143,Clientes!$B:$B,0)),"")</f>
        <v/>
      </c>
      <c r="G143" s="14">
        <f>IFERROR(INDEX(Clientes!$G:$G,MATCH(B143,Clientes!$B:$B,0)),"")</f>
        <v/>
      </c>
      <c r="H143" s="14" t="n"/>
      <c r="I143" s="15" t="n"/>
      <c r="J143" s="16" t="n"/>
      <c r="K143" s="14" t="n"/>
      <c r="L143" s="14" t="n"/>
      <c r="M143" s="13">
        <f>IF(I143="","",I143-TODAY())</f>
        <v/>
      </c>
      <c r="N143" s="14" t="n"/>
      <c r="O143" s="14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>
        <f>IF(OR(O143="",C143=""),"",HYPERLINK("https://wa.me/52"&amp;C143&amp;"?text="&amp;_xlfn.ENCODEURL(O143),"Enviar mensaje"))</f>
        <v/>
      </c>
      <c r="Q143" s="13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ht="15" customHeight="1" s="1">
      <c r="A144" s="13">
        <f>IF(B144="","",ROW()-1)</f>
        <v/>
      </c>
      <c r="B144" s="14" t="n"/>
      <c r="C144" s="13">
        <f>IFERROR(INDEX(Clientes!$C:$C,MATCH(B144,Clientes!$B:$B,0)),"")</f>
        <v/>
      </c>
      <c r="D144" s="14">
        <f>IFERROR(INDEX(Clientes!$D:$D,MATCH(B144,Clientes!$B:$B,0)),"")</f>
        <v/>
      </c>
      <c r="E144" s="14">
        <f>IFERROR(INDEX(Clientes!$M:$M,MATCH(B144,Clientes!$B:$B,0)),"")</f>
        <v/>
      </c>
      <c r="F144" s="14">
        <f>IFERROR(INDEX(Clientes!$F:$F,MATCH(B144,Clientes!$B:$B,0)),"")</f>
        <v/>
      </c>
      <c r="G144" s="14">
        <f>IFERROR(INDEX(Clientes!$G:$G,MATCH(B144,Clientes!$B:$B,0)),"")</f>
        <v/>
      </c>
      <c r="H144" s="14" t="n"/>
      <c r="I144" s="15" t="n"/>
      <c r="J144" s="16" t="n"/>
      <c r="K144" s="14" t="n"/>
      <c r="L144" s="14" t="n"/>
      <c r="M144" s="13">
        <f>IF(I144="","",I144-TODAY())</f>
        <v/>
      </c>
      <c r="N144" s="14" t="n"/>
      <c r="O144" s="14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>
        <f>IF(OR(O144="",C144=""),"",HYPERLINK("https://wa.me/52"&amp;C144&amp;"?text="&amp;_xlfn.ENCODEURL(O144),"Enviar mensaje"))</f>
        <v/>
      </c>
      <c r="Q144" s="13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ht="15" customHeight="1" s="1">
      <c r="A145" s="13">
        <f>IF(B145="","",ROW()-1)</f>
        <v/>
      </c>
      <c r="B145" s="14" t="n"/>
      <c r="C145" s="13">
        <f>IFERROR(INDEX(Clientes!$C:$C,MATCH(B145,Clientes!$B:$B,0)),"")</f>
        <v/>
      </c>
      <c r="D145" s="14">
        <f>IFERROR(INDEX(Clientes!$D:$D,MATCH(B145,Clientes!$B:$B,0)),"")</f>
        <v/>
      </c>
      <c r="E145" s="14">
        <f>IFERROR(INDEX(Clientes!$M:$M,MATCH(B145,Clientes!$B:$B,0)),"")</f>
        <v/>
      </c>
      <c r="F145" s="14">
        <f>IFERROR(INDEX(Clientes!$F:$F,MATCH(B145,Clientes!$B:$B,0)),"")</f>
        <v/>
      </c>
      <c r="G145" s="14">
        <f>IFERROR(INDEX(Clientes!$G:$G,MATCH(B145,Clientes!$B:$B,0)),"")</f>
        <v/>
      </c>
      <c r="H145" s="14" t="n"/>
      <c r="I145" s="15" t="n"/>
      <c r="J145" s="16" t="n"/>
      <c r="K145" s="14" t="n"/>
      <c r="L145" s="14" t="n"/>
      <c r="M145" s="13">
        <f>IF(I145="","",I145-TODAY())</f>
        <v/>
      </c>
      <c r="N145" s="14" t="n"/>
      <c r="O145" s="14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>
        <f>IF(OR(O145="",C145=""),"",HYPERLINK("https://wa.me/52"&amp;C145&amp;"?text="&amp;_xlfn.ENCODEURL(O145),"Enviar mensaje"))</f>
        <v/>
      </c>
      <c r="Q145" s="13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ht="15" customHeight="1" s="1">
      <c r="A146" s="13">
        <f>IF(B146="","",ROW()-1)</f>
        <v/>
      </c>
      <c r="B146" s="14" t="n"/>
      <c r="C146" s="13">
        <f>IFERROR(INDEX(Clientes!$C:$C,MATCH(B146,Clientes!$B:$B,0)),"")</f>
        <v/>
      </c>
      <c r="D146" s="14">
        <f>IFERROR(INDEX(Clientes!$D:$D,MATCH(B146,Clientes!$B:$B,0)),"")</f>
        <v/>
      </c>
      <c r="E146" s="14">
        <f>IFERROR(INDEX(Clientes!$M:$M,MATCH(B146,Clientes!$B:$B,0)),"")</f>
        <v/>
      </c>
      <c r="F146" s="14">
        <f>IFERROR(INDEX(Clientes!$F:$F,MATCH(B146,Clientes!$B:$B,0)),"")</f>
        <v/>
      </c>
      <c r="G146" s="14">
        <f>IFERROR(INDEX(Clientes!$G:$G,MATCH(B146,Clientes!$B:$B,0)),"")</f>
        <v/>
      </c>
      <c r="H146" s="14" t="n"/>
      <c r="I146" s="15" t="n"/>
      <c r="J146" s="16" t="n"/>
      <c r="K146" s="14" t="n"/>
      <c r="L146" s="14" t="n"/>
      <c r="M146" s="13">
        <f>IF(I146="","",I146-TODAY())</f>
        <v/>
      </c>
      <c r="N146" s="14" t="n"/>
      <c r="O146" s="14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>
        <f>IF(OR(O146="",C146=""),"",HYPERLINK("https://wa.me/52"&amp;C146&amp;"?text="&amp;_xlfn.ENCODEURL(O146),"Enviar mensaje"))</f>
        <v/>
      </c>
      <c r="Q146" s="13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ht="15" customHeight="1" s="1">
      <c r="A147" s="13">
        <f>IF(B147="","",ROW()-1)</f>
        <v/>
      </c>
      <c r="B147" s="14" t="n"/>
      <c r="C147" s="13">
        <f>IFERROR(INDEX(Clientes!$C:$C,MATCH(B147,Clientes!$B:$B,0)),"")</f>
        <v/>
      </c>
      <c r="D147" s="14">
        <f>IFERROR(INDEX(Clientes!$D:$D,MATCH(B147,Clientes!$B:$B,0)),"")</f>
        <v/>
      </c>
      <c r="E147" s="14">
        <f>IFERROR(INDEX(Clientes!$M:$M,MATCH(B147,Clientes!$B:$B,0)),"")</f>
        <v/>
      </c>
      <c r="F147" s="14">
        <f>IFERROR(INDEX(Clientes!$F:$F,MATCH(B147,Clientes!$B:$B,0)),"")</f>
        <v/>
      </c>
      <c r="G147" s="14">
        <f>IFERROR(INDEX(Clientes!$G:$G,MATCH(B147,Clientes!$B:$B,0)),"")</f>
        <v/>
      </c>
      <c r="H147" s="14" t="n"/>
      <c r="I147" s="15" t="n"/>
      <c r="J147" s="16" t="n"/>
      <c r="K147" s="14" t="n"/>
      <c r="L147" s="14" t="n"/>
      <c r="M147" s="13">
        <f>IF(I147="","",I147-TODAY())</f>
        <v/>
      </c>
      <c r="N147" s="14" t="n"/>
      <c r="O147" s="14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>
        <f>IF(OR(O147="",C147=""),"",HYPERLINK("https://wa.me/52"&amp;C147&amp;"?text="&amp;_xlfn.ENCODEURL(O147),"Enviar mensaje"))</f>
        <v/>
      </c>
      <c r="Q147" s="13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ht="15" customHeight="1" s="1">
      <c r="A148" s="13">
        <f>IF(B148="","",ROW()-1)</f>
        <v/>
      </c>
      <c r="B148" s="14" t="n"/>
      <c r="C148" s="13">
        <f>IFERROR(INDEX(Clientes!$C:$C,MATCH(B148,Clientes!$B:$B,0)),"")</f>
        <v/>
      </c>
      <c r="D148" s="14">
        <f>IFERROR(INDEX(Clientes!$D:$D,MATCH(B148,Clientes!$B:$B,0)),"")</f>
        <v/>
      </c>
      <c r="E148" s="14">
        <f>IFERROR(INDEX(Clientes!$M:$M,MATCH(B148,Clientes!$B:$B,0)),"")</f>
        <v/>
      </c>
      <c r="F148" s="14">
        <f>IFERROR(INDEX(Clientes!$F:$F,MATCH(B148,Clientes!$B:$B,0)),"")</f>
        <v/>
      </c>
      <c r="G148" s="14">
        <f>IFERROR(INDEX(Clientes!$G:$G,MATCH(B148,Clientes!$B:$B,0)),"")</f>
        <v/>
      </c>
      <c r="H148" s="14" t="n"/>
      <c r="I148" s="15" t="n"/>
      <c r="J148" s="16" t="n"/>
      <c r="K148" s="14" t="n"/>
      <c r="L148" s="14" t="n"/>
      <c r="M148" s="13">
        <f>IF(I148="","",I148-TODAY())</f>
        <v/>
      </c>
      <c r="N148" s="14" t="n"/>
      <c r="O148" s="14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>
        <f>IF(OR(O148="",C148=""),"",HYPERLINK("https://wa.me/52"&amp;C148&amp;"?text="&amp;_xlfn.ENCODEURL(O148),"Enviar mensaje"))</f>
        <v/>
      </c>
      <c r="Q148" s="13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ht="15" customHeight="1" s="1">
      <c r="A149" s="13">
        <f>IF(B149="","",ROW()-1)</f>
        <v/>
      </c>
      <c r="B149" s="14" t="n"/>
      <c r="C149" s="13">
        <f>IFERROR(INDEX(Clientes!$C:$C,MATCH(B149,Clientes!$B:$B,0)),"")</f>
        <v/>
      </c>
      <c r="D149" s="14">
        <f>IFERROR(INDEX(Clientes!$D:$D,MATCH(B149,Clientes!$B:$B,0)),"")</f>
        <v/>
      </c>
      <c r="E149" s="14">
        <f>IFERROR(INDEX(Clientes!$M:$M,MATCH(B149,Clientes!$B:$B,0)),"")</f>
        <v/>
      </c>
      <c r="F149" s="14">
        <f>IFERROR(INDEX(Clientes!$F:$F,MATCH(B149,Clientes!$B:$B,0)),"")</f>
        <v/>
      </c>
      <c r="G149" s="14">
        <f>IFERROR(INDEX(Clientes!$G:$G,MATCH(B149,Clientes!$B:$B,0)),"")</f>
        <v/>
      </c>
      <c r="H149" s="14" t="n"/>
      <c r="I149" s="15" t="n"/>
      <c r="J149" s="16" t="n"/>
      <c r="K149" s="14" t="n"/>
      <c r="L149" s="14" t="n"/>
      <c r="M149" s="13">
        <f>IF(I149="","",I149-TODAY())</f>
        <v/>
      </c>
      <c r="N149" s="14" t="n"/>
      <c r="O149" s="14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>
        <f>IF(OR(O149="",C149=""),"",HYPERLINK("https://wa.me/52"&amp;C149&amp;"?text="&amp;_xlfn.ENCODEURL(O149),"Enviar mensaje"))</f>
        <v/>
      </c>
      <c r="Q149" s="13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ht="15" customHeight="1" s="1">
      <c r="A150" s="13">
        <f>IF(B150="","",ROW()-1)</f>
        <v/>
      </c>
      <c r="B150" s="14" t="n"/>
      <c r="C150" s="13">
        <f>IFERROR(INDEX(Clientes!$C:$C,MATCH(B150,Clientes!$B:$B,0)),"")</f>
        <v/>
      </c>
      <c r="D150" s="14">
        <f>IFERROR(INDEX(Clientes!$D:$D,MATCH(B150,Clientes!$B:$B,0)),"")</f>
        <v/>
      </c>
      <c r="E150" s="14">
        <f>IFERROR(INDEX(Clientes!$M:$M,MATCH(B150,Clientes!$B:$B,0)),"")</f>
        <v/>
      </c>
      <c r="F150" s="14">
        <f>IFERROR(INDEX(Clientes!$F:$F,MATCH(B150,Clientes!$B:$B,0)),"")</f>
        <v/>
      </c>
      <c r="G150" s="14">
        <f>IFERROR(INDEX(Clientes!$G:$G,MATCH(B150,Clientes!$B:$B,0)),"")</f>
        <v/>
      </c>
      <c r="H150" s="14" t="n"/>
      <c r="I150" s="15" t="n"/>
      <c r="J150" s="16" t="n"/>
      <c r="K150" s="14" t="n"/>
      <c r="L150" s="14" t="n"/>
      <c r="M150" s="13">
        <f>IF(I150="","",I150-TODAY())</f>
        <v/>
      </c>
      <c r="N150" s="14" t="n"/>
      <c r="O150" s="14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>
        <f>IF(OR(O150="",C150=""),"",HYPERLINK("https://wa.me/52"&amp;C150&amp;"?text="&amp;_xlfn.ENCODEURL(O150),"Enviar mensaje"))</f>
        <v/>
      </c>
      <c r="Q150" s="13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ht="15" customHeight="1" s="1">
      <c r="A151" s="13">
        <f>IF(B151="","",ROW()-1)</f>
        <v/>
      </c>
      <c r="B151" s="14" t="n"/>
      <c r="C151" s="13">
        <f>IFERROR(INDEX(Clientes!$C:$C,MATCH(B151,Clientes!$B:$B,0)),"")</f>
        <v/>
      </c>
      <c r="D151" s="14">
        <f>IFERROR(INDEX(Clientes!$D:$D,MATCH(B151,Clientes!$B:$B,0)),"")</f>
        <v/>
      </c>
      <c r="E151" s="14">
        <f>IFERROR(INDEX(Clientes!$M:$M,MATCH(B151,Clientes!$B:$B,0)),"")</f>
        <v/>
      </c>
      <c r="F151" s="14">
        <f>IFERROR(INDEX(Clientes!$F:$F,MATCH(B151,Clientes!$B:$B,0)),"")</f>
        <v/>
      </c>
      <c r="G151" s="14">
        <f>IFERROR(INDEX(Clientes!$G:$G,MATCH(B151,Clientes!$B:$B,0)),"")</f>
        <v/>
      </c>
      <c r="H151" s="14" t="n"/>
      <c r="I151" s="15" t="n"/>
      <c r="J151" s="16" t="n"/>
      <c r="K151" s="14" t="n"/>
      <c r="L151" s="14" t="n"/>
      <c r="M151" s="13">
        <f>IF(I151="","",I151-TODAY())</f>
        <v/>
      </c>
      <c r="N151" s="14" t="n"/>
      <c r="O151" s="14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>
        <f>IF(OR(O151="",C151=""),"",HYPERLINK("https://wa.me/52"&amp;C151&amp;"?text="&amp;_xlfn.ENCODEURL(O151),"Enviar mensaje"))</f>
        <v/>
      </c>
      <c r="Q151" s="13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/>
  <conditionalFormatting sqref="A2:P151">
    <cfRule type="expression" priority="2" dxfId="5">
      <formula>AND($L2="Pendiente",$I2&lt;&gt;"",$I2&lt;TODAY())</formula>
    </cfRule>
    <cfRule type="expression" priority="3" dxfId="0">
      <formula>AND($L2="Pendiente",$I2=TODAY())</formula>
    </cfRule>
    <cfRule type="expression" priority="4" dxfId="3">
      <formula>$L2="Realizado"</formula>
    </cfRule>
    <cfRule type="expression" priority="5" dxfId="2">
      <formula>$L2="Reprogramado"</formula>
    </cfRule>
    <cfRule type="expression" priority="6" dxfId="1">
      <formula>$L2="Cancelado"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 activeCell="A1" sqref="A1"/>
    </sheetView>
  </sheetViews>
  <sheetFormatPr baseColWidth="8" defaultColWidth="8.7421875" defaultRowHeight="15"/>
  <cols>
    <col width="14.9296875" customWidth="1" style="1" min="2" max="8"/>
  </cols>
  <sheetData>
    <row r="1" ht="24" customHeight="1" s="1">
      <c r="A1" s="29" t="inlineStr">
        <is>
          <t>Calendario de Seguimiento</t>
        </is>
      </c>
    </row>
    <row r="2" ht="15" customHeight="1" s="1">
      <c r="B2" s="17" t="inlineStr">
        <is>
          <t>Mes:</t>
        </is>
      </c>
      <c r="C2" s="18" t="n">
        <v>8</v>
      </c>
      <c r="D2" s="30" t="inlineStr">
        <is>
          <t>Cambia el mes y el año aquí; el calendario y la agenda de abajo se actualizan solos. 🔸 indica cuántos pendientes tienes ese día.</t>
        </is>
      </c>
    </row>
    <row r="3">
      <c r="B3" s="17" t="inlineStr">
        <is>
          <t>Año:</t>
        </is>
      </c>
      <c r="C3" s="18" t="n">
        <v>2026</v>
      </c>
    </row>
    <row r="5" ht="19.5" customHeight="1" s="1">
      <c r="B5" s="12" t="inlineStr">
        <is>
          <t>Lunes</t>
        </is>
      </c>
      <c r="C5" s="12" t="inlineStr">
        <is>
          <t>Martes</t>
        </is>
      </c>
      <c r="D5" s="12" t="inlineStr">
        <is>
          <t>Miércoles</t>
        </is>
      </c>
      <c r="E5" s="12" t="inlineStr">
        <is>
          <t>Jueves</t>
        </is>
      </c>
      <c r="F5" s="12" t="inlineStr">
        <is>
          <t>Viernes</t>
        </is>
      </c>
      <c r="G5" s="12" t="inlineStr">
        <is>
          <t>Sábado</t>
        </is>
      </c>
      <c r="H5" s="12" t="inlineStr">
        <is>
          <t>Domingo</t>
        </is>
      </c>
    </row>
    <row r="6" ht="33.75" customHeight="1" s="1">
      <c r="B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7" ht="33.75" customHeight="1" s="1">
      <c r="B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8" ht="33.75" customHeight="1" s="1">
      <c r="B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9" ht="33.75" customHeight="1" s="1">
      <c r="B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0" ht="33.75" customHeight="1" s="1">
      <c r="B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1" ht="33.75" customHeight="1" s="1">
      <c r="B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>
      <c r="B13" s="31" t="inlineStr">
        <is>
          <t>Agenda del mes seleccionado (pendientes en orden)</t>
        </is>
      </c>
    </row>
    <row r="14" ht="19.5" customHeight="1" s="1">
      <c r="B14" s="12" t="inlineStr">
        <is>
          <t>Fecha</t>
        </is>
      </c>
      <c r="C14" s="12" t="inlineStr">
        <is>
          <t>Cliente</t>
        </is>
      </c>
      <c r="D14" s="12" t="inlineStr">
        <is>
          <t>Vehículo</t>
        </is>
      </c>
      <c r="E14" s="12" t="inlineStr">
        <is>
          <t>Tipo de Acción</t>
        </is>
      </c>
      <c r="F14" s="12" t="inlineStr">
        <is>
          <t>Prioridad</t>
        </is>
      </c>
      <c r="G14" s="12" t="inlineStr">
        <is>
          <t>Estatus</t>
        </is>
      </c>
    </row>
    <row r="15">
      <c r="B15" s="20">
        <f>IFERROR(TEXT(INDEX('Plan de Seguimiento'!$I:$I,MATCH((ROW()-14),'Plan de Seguimiento'!$Q:$Q,0)),"dd/mm/yyyy"),"")</f>
        <v/>
      </c>
      <c r="C15" s="20">
        <f>IFERROR(INDEX('Plan de Seguimiento'!$B:$B,MATCH((ROW()-14),'Plan de Seguimiento'!$Q:$Q,0)),"")</f>
        <v/>
      </c>
      <c r="D15" s="20">
        <f>IFERROR(INDEX('Plan de Seguimiento'!$D:$D,MATCH((ROW()-14),'Plan de Seguimiento'!$Q:$Q,0)),"")</f>
        <v/>
      </c>
      <c r="E15" s="20">
        <f>IFERROR(INDEX('Plan de Seguimiento'!$H:$H,MATCH((ROW()-14),'Plan de Seguimiento'!$Q:$Q,0)),"")</f>
        <v/>
      </c>
      <c r="F15" s="20">
        <f>IFERROR(INDEX('Plan de Seguimiento'!$K:$K,MATCH((ROW()-14),'Plan de Seguimiento'!$Q:$Q,0)),"")</f>
        <v/>
      </c>
      <c r="G15" s="20">
        <f>IFERROR(INDEX('Plan de Seguimiento'!$L:$L,MATCH((ROW()-14),'Plan de Seguimiento'!$Q:$Q,0)),"")</f>
        <v/>
      </c>
    </row>
    <row r="16">
      <c r="B16" s="20">
        <f>IFERROR(TEXT(INDEX('Plan de Seguimiento'!$I:$I,MATCH((ROW()-14),'Plan de Seguimiento'!$Q:$Q,0)),"dd/mm/yyyy"),"")</f>
        <v/>
      </c>
      <c r="C16" s="20">
        <f>IFERROR(INDEX('Plan de Seguimiento'!$B:$B,MATCH((ROW()-14),'Plan de Seguimiento'!$Q:$Q,0)),"")</f>
        <v/>
      </c>
      <c r="D16" s="20">
        <f>IFERROR(INDEX('Plan de Seguimiento'!$D:$D,MATCH((ROW()-14),'Plan de Seguimiento'!$Q:$Q,0)),"")</f>
        <v/>
      </c>
      <c r="E16" s="20">
        <f>IFERROR(INDEX('Plan de Seguimiento'!$H:$H,MATCH((ROW()-14),'Plan de Seguimiento'!$Q:$Q,0)),"")</f>
        <v/>
      </c>
      <c r="F16" s="20">
        <f>IFERROR(INDEX('Plan de Seguimiento'!$K:$K,MATCH((ROW()-14),'Plan de Seguimiento'!$Q:$Q,0)),"")</f>
        <v/>
      </c>
      <c r="G16" s="20">
        <f>IFERROR(INDEX('Plan de Seguimiento'!$L:$L,MATCH((ROW()-14),'Plan de Seguimiento'!$Q:$Q,0)),"")</f>
        <v/>
      </c>
    </row>
    <row r="17">
      <c r="B17" s="20">
        <f>IFERROR(TEXT(INDEX('Plan de Seguimiento'!$I:$I,MATCH((ROW()-14),'Plan de Seguimiento'!$Q:$Q,0)),"dd/mm/yyyy"),"")</f>
        <v/>
      </c>
      <c r="C17" s="20">
        <f>IFERROR(INDEX('Plan de Seguimiento'!$B:$B,MATCH((ROW()-14),'Plan de Seguimiento'!$Q:$Q,0)),"")</f>
        <v/>
      </c>
      <c r="D17" s="20">
        <f>IFERROR(INDEX('Plan de Seguimiento'!$D:$D,MATCH((ROW()-14),'Plan de Seguimiento'!$Q:$Q,0)),"")</f>
        <v/>
      </c>
      <c r="E17" s="20">
        <f>IFERROR(INDEX('Plan de Seguimiento'!$H:$H,MATCH((ROW()-14),'Plan de Seguimiento'!$Q:$Q,0)),"")</f>
        <v/>
      </c>
      <c r="F17" s="20">
        <f>IFERROR(INDEX('Plan de Seguimiento'!$K:$K,MATCH((ROW()-14),'Plan de Seguimiento'!$Q:$Q,0)),"")</f>
        <v/>
      </c>
      <c r="G17" s="20">
        <f>IFERROR(INDEX('Plan de Seguimiento'!$L:$L,MATCH((ROW()-14),'Plan de Seguimiento'!$Q:$Q,0)),"")</f>
        <v/>
      </c>
    </row>
    <row r="18">
      <c r="B18" s="20">
        <f>IFERROR(TEXT(INDEX('Plan de Seguimiento'!$I:$I,MATCH((ROW()-14),'Plan de Seguimiento'!$Q:$Q,0)),"dd/mm/yyyy"),"")</f>
        <v/>
      </c>
      <c r="C18" s="20">
        <f>IFERROR(INDEX('Plan de Seguimiento'!$B:$B,MATCH((ROW()-14),'Plan de Seguimiento'!$Q:$Q,0)),"")</f>
        <v/>
      </c>
      <c r="D18" s="20">
        <f>IFERROR(INDEX('Plan de Seguimiento'!$D:$D,MATCH((ROW()-14),'Plan de Seguimiento'!$Q:$Q,0)),"")</f>
        <v/>
      </c>
      <c r="E18" s="20">
        <f>IFERROR(INDEX('Plan de Seguimiento'!$H:$H,MATCH((ROW()-14),'Plan de Seguimiento'!$Q:$Q,0)),"")</f>
        <v/>
      </c>
      <c r="F18" s="20">
        <f>IFERROR(INDEX('Plan de Seguimiento'!$K:$K,MATCH((ROW()-14),'Plan de Seguimiento'!$Q:$Q,0)),"")</f>
        <v/>
      </c>
      <c r="G18" s="20">
        <f>IFERROR(INDEX('Plan de Seguimiento'!$L:$L,MATCH((ROW()-14),'Plan de Seguimiento'!$Q:$Q,0)),"")</f>
        <v/>
      </c>
    </row>
    <row r="19">
      <c r="B19" s="20">
        <f>IFERROR(TEXT(INDEX('Plan de Seguimiento'!$I:$I,MATCH((ROW()-14),'Plan de Seguimiento'!$Q:$Q,0)),"dd/mm/yyyy"),"")</f>
        <v/>
      </c>
      <c r="C19" s="20">
        <f>IFERROR(INDEX('Plan de Seguimiento'!$B:$B,MATCH((ROW()-14),'Plan de Seguimiento'!$Q:$Q,0)),"")</f>
        <v/>
      </c>
      <c r="D19" s="20">
        <f>IFERROR(INDEX('Plan de Seguimiento'!$D:$D,MATCH((ROW()-14),'Plan de Seguimiento'!$Q:$Q,0)),"")</f>
        <v/>
      </c>
      <c r="E19" s="20">
        <f>IFERROR(INDEX('Plan de Seguimiento'!$H:$H,MATCH((ROW()-14),'Plan de Seguimiento'!$Q:$Q,0)),"")</f>
        <v/>
      </c>
      <c r="F19" s="20">
        <f>IFERROR(INDEX('Plan de Seguimiento'!$K:$K,MATCH((ROW()-14),'Plan de Seguimiento'!$Q:$Q,0)),"")</f>
        <v/>
      </c>
      <c r="G19" s="20">
        <f>IFERROR(INDEX('Plan de Seguimiento'!$L:$L,MATCH((ROW()-14),'Plan de Seguimiento'!$Q:$Q,0)),"")</f>
        <v/>
      </c>
    </row>
    <row r="20">
      <c r="B20" s="20">
        <f>IFERROR(TEXT(INDEX('Plan de Seguimiento'!$I:$I,MATCH((ROW()-14),'Plan de Seguimiento'!$Q:$Q,0)),"dd/mm/yyyy"),"")</f>
        <v/>
      </c>
      <c r="C20" s="20">
        <f>IFERROR(INDEX('Plan de Seguimiento'!$B:$B,MATCH((ROW()-14),'Plan de Seguimiento'!$Q:$Q,0)),"")</f>
        <v/>
      </c>
      <c r="D20" s="20">
        <f>IFERROR(INDEX('Plan de Seguimiento'!$D:$D,MATCH((ROW()-14),'Plan de Seguimiento'!$Q:$Q,0)),"")</f>
        <v/>
      </c>
      <c r="E20" s="20">
        <f>IFERROR(INDEX('Plan de Seguimiento'!$H:$H,MATCH((ROW()-14),'Plan de Seguimiento'!$Q:$Q,0)),"")</f>
        <v/>
      </c>
      <c r="F20" s="20">
        <f>IFERROR(INDEX('Plan de Seguimiento'!$K:$K,MATCH((ROW()-14),'Plan de Seguimiento'!$Q:$Q,0)),"")</f>
        <v/>
      </c>
      <c r="G20" s="20">
        <f>IFERROR(INDEX('Plan de Seguimiento'!$L:$L,MATCH((ROW()-14),'Plan de Seguimiento'!$Q:$Q,0)),"")</f>
        <v/>
      </c>
    </row>
    <row r="21">
      <c r="B21" s="20">
        <f>IFERROR(TEXT(INDEX('Plan de Seguimiento'!$I:$I,MATCH((ROW()-14),'Plan de Seguimiento'!$Q:$Q,0)),"dd/mm/yyyy"),"")</f>
        <v/>
      </c>
      <c r="C21" s="20">
        <f>IFERROR(INDEX('Plan de Seguimiento'!$B:$B,MATCH((ROW()-14),'Plan de Seguimiento'!$Q:$Q,0)),"")</f>
        <v/>
      </c>
      <c r="D21" s="20">
        <f>IFERROR(INDEX('Plan de Seguimiento'!$D:$D,MATCH((ROW()-14),'Plan de Seguimiento'!$Q:$Q,0)),"")</f>
        <v/>
      </c>
      <c r="E21" s="20">
        <f>IFERROR(INDEX('Plan de Seguimiento'!$H:$H,MATCH((ROW()-14),'Plan de Seguimiento'!$Q:$Q,0)),"")</f>
        <v/>
      </c>
      <c r="F21" s="20">
        <f>IFERROR(INDEX('Plan de Seguimiento'!$K:$K,MATCH((ROW()-14),'Plan de Seguimiento'!$Q:$Q,0)),"")</f>
        <v/>
      </c>
      <c r="G21" s="20">
        <f>IFERROR(INDEX('Plan de Seguimiento'!$L:$L,MATCH((ROW()-14),'Plan de Seguimiento'!$Q:$Q,0)),"")</f>
        <v/>
      </c>
    </row>
    <row r="22">
      <c r="B22" s="20">
        <f>IFERROR(TEXT(INDEX('Plan de Seguimiento'!$I:$I,MATCH((ROW()-14),'Plan de Seguimiento'!$Q:$Q,0)),"dd/mm/yyyy"),"")</f>
        <v/>
      </c>
      <c r="C22" s="20">
        <f>IFERROR(INDEX('Plan de Seguimiento'!$B:$B,MATCH((ROW()-14),'Plan de Seguimiento'!$Q:$Q,0)),"")</f>
        <v/>
      </c>
      <c r="D22" s="20">
        <f>IFERROR(INDEX('Plan de Seguimiento'!$D:$D,MATCH((ROW()-14),'Plan de Seguimiento'!$Q:$Q,0)),"")</f>
        <v/>
      </c>
      <c r="E22" s="20">
        <f>IFERROR(INDEX('Plan de Seguimiento'!$H:$H,MATCH((ROW()-14),'Plan de Seguimiento'!$Q:$Q,0)),"")</f>
        <v/>
      </c>
      <c r="F22" s="20">
        <f>IFERROR(INDEX('Plan de Seguimiento'!$K:$K,MATCH((ROW()-14),'Plan de Seguimiento'!$Q:$Q,0)),"")</f>
        <v/>
      </c>
      <c r="G22" s="20">
        <f>IFERROR(INDEX('Plan de Seguimiento'!$L:$L,MATCH((ROW()-14),'Plan de Seguimiento'!$Q:$Q,0)),"")</f>
        <v/>
      </c>
    </row>
    <row r="23">
      <c r="B23" s="20">
        <f>IFERROR(TEXT(INDEX('Plan de Seguimiento'!$I:$I,MATCH((ROW()-14),'Plan de Seguimiento'!$Q:$Q,0)),"dd/mm/yyyy"),"")</f>
        <v/>
      </c>
      <c r="C23" s="20">
        <f>IFERROR(INDEX('Plan de Seguimiento'!$B:$B,MATCH((ROW()-14),'Plan de Seguimiento'!$Q:$Q,0)),"")</f>
        <v/>
      </c>
      <c r="D23" s="20">
        <f>IFERROR(INDEX('Plan de Seguimiento'!$D:$D,MATCH((ROW()-14),'Plan de Seguimiento'!$Q:$Q,0)),"")</f>
        <v/>
      </c>
      <c r="E23" s="20">
        <f>IFERROR(INDEX('Plan de Seguimiento'!$H:$H,MATCH((ROW()-14),'Plan de Seguimiento'!$Q:$Q,0)),"")</f>
        <v/>
      </c>
      <c r="F23" s="20">
        <f>IFERROR(INDEX('Plan de Seguimiento'!$K:$K,MATCH((ROW()-14),'Plan de Seguimiento'!$Q:$Q,0)),"")</f>
        <v/>
      </c>
      <c r="G23" s="20">
        <f>IFERROR(INDEX('Plan de Seguimiento'!$L:$L,MATCH((ROW()-14),'Plan de Seguimiento'!$Q:$Q,0)),"")</f>
        <v/>
      </c>
    </row>
    <row r="24">
      <c r="B24" s="20">
        <f>IFERROR(TEXT(INDEX('Plan de Seguimiento'!$I:$I,MATCH((ROW()-14),'Plan de Seguimiento'!$Q:$Q,0)),"dd/mm/yyyy"),"")</f>
        <v/>
      </c>
      <c r="C24" s="20">
        <f>IFERROR(INDEX('Plan de Seguimiento'!$B:$B,MATCH((ROW()-14),'Plan de Seguimiento'!$Q:$Q,0)),"")</f>
        <v/>
      </c>
      <c r="D24" s="20">
        <f>IFERROR(INDEX('Plan de Seguimiento'!$D:$D,MATCH((ROW()-14),'Plan de Seguimiento'!$Q:$Q,0)),"")</f>
        <v/>
      </c>
      <c r="E24" s="20">
        <f>IFERROR(INDEX('Plan de Seguimiento'!$H:$H,MATCH((ROW()-14),'Plan de Seguimiento'!$Q:$Q,0)),"")</f>
        <v/>
      </c>
      <c r="F24" s="20">
        <f>IFERROR(INDEX('Plan de Seguimiento'!$K:$K,MATCH((ROW()-14),'Plan de Seguimiento'!$Q:$Q,0)),"")</f>
        <v/>
      </c>
      <c r="G24" s="20">
        <f>IFERROR(INDEX('Plan de Seguimiento'!$L:$L,MATCH((ROW()-14),'Plan de Seguimiento'!$Q:$Q,0)),"")</f>
        <v/>
      </c>
    </row>
    <row r="25">
      <c r="B25" s="20">
        <f>IFERROR(TEXT(INDEX('Plan de Seguimiento'!$I:$I,MATCH((ROW()-14),'Plan de Seguimiento'!$Q:$Q,0)),"dd/mm/yyyy"),"")</f>
        <v/>
      </c>
      <c r="C25" s="20">
        <f>IFERROR(INDEX('Plan de Seguimiento'!$B:$B,MATCH((ROW()-14),'Plan de Seguimiento'!$Q:$Q,0)),"")</f>
        <v/>
      </c>
      <c r="D25" s="20">
        <f>IFERROR(INDEX('Plan de Seguimiento'!$D:$D,MATCH((ROW()-14),'Plan de Seguimiento'!$Q:$Q,0)),"")</f>
        <v/>
      </c>
      <c r="E25" s="20">
        <f>IFERROR(INDEX('Plan de Seguimiento'!$H:$H,MATCH((ROW()-14),'Plan de Seguimiento'!$Q:$Q,0)),"")</f>
        <v/>
      </c>
      <c r="F25" s="20">
        <f>IFERROR(INDEX('Plan de Seguimiento'!$K:$K,MATCH((ROW()-14),'Plan de Seguimiento'!$Q:$Q,0)),"")</f>
        <v/>
      </c>
      <c r="G25" s="20">
        <f>IFERROR(INDEX('Plan de Seguimiento'!$L:$L,MATCH((ROW()-14),'Plan de Seguimiento'!$Q:$Q,0)),"")</f>
        <v/>
      </c>
    </row>
    <row r="26">
      <c r="B26" s="20">
        <f>IFERROR(TEXT(INDEX('Plan de Seguimiento'!$I:$I,MATCH((ROW()-14),'Plan de Seguimiento'!$Q:$Q,0)),"dd/mm/yyyy"),"")</f>
        <v/>
      </c>
      <c r="C26" s="20">
        <f>IFERROR(INDEX('Plan de Seguimiento'!$B:$B,MATCH((ROW()-14),'Plan de Seguimiento'!$Q:$Q,0)),"")</f>
        <v/>
      </c>
      <c r="D26" s="20">
        <f>IFERROR(INDEX('Plan de Seguimiento'!$D:$D,MATCH((ROW()-14),'Plan de Seguimiento'!$Q:$Q,0)),"")</f>
        <v/>
      </c>
      <c r="E26" s="20">
        <f>IFERROR(INDEX('Plan de Seguimiento'!$H:$H,MATCH((ROW()-14),'Plan de Seguimiento'!$Q:$Q,0)),"")</f>
        <v/>
      </c>
      <c r="F26" s="20">
        <f>IFERROR(INDEX('Plan de Seguimiento'!$K:$K,MATCH((ROW()-14),'Plan de Seguimiento'!$Q:$Q,0)),"")</f>
        <v/>
      </c>
      <c r="G26" s="20">
        <f>IFERROR(INDEX('Plan de Seguimiento'!$L:$L,MATCH((ROW()-14),'Plan de Seguimiento'!$Q:$Q,0)),"")</f>
        <v/>
      </c>
    </row>
    <row r="27">
      <c r="B27" s="20">
        <f>IFERROR(TEXT(INDEX('Plan de Seguimiento'!$I:$I,MATCH((ROW()-14),'Plan de Seguimiento'!$Q:$Q,0)),"dd/mm/yyyy"),"")</f>
        <v/>
      </c>
      <c r="C27" s="20">
        <f>IFERROR(INDEX('Plan de Seguimiento'!$B:$B,MATCH((ROW()-14),'Plan de Seguimiento'!$Q:$Q,0)),"")</f>
        <v/>
      </c>
      <c r="D27" s="20">
        <f>IFERROR(INDEX('Plan de Seguimiento'!$D:$D,MATCH((ROW()-14),'Plan de Seguimiento'!$Q:$Q,0)),"")</f>
        <v/>
      </c>
      <c r="E27" s="20">
        <f>IFERROR(INDEX('Plan de Seguimiento'!$H:$H,MATCH((ROW()-14),'Plan de Seguimiento'!$Q:$Q,0)),"")</f>
        <v/>
      </c>
      <c r="F27" s="20">
        <f>IFERROR(INDEX('Plan de Seguimiento'!$K:$K,MATCH((ROW()-14),'Plan de Seguimiento'!$Q:$Q,0)),"")</f>
        <v/>
      </c>
      <c r="G27" s="20">
        <f>IFERROR(INDEX('Plan de Seguimiento'!$L:$L,MATCH((ROW()-14),'Plan de Seguimiento'!$Q:$Q,0)),"")</f>
        <v/>
      </c>
    </row>
    <row r="28">
      <c r="B28" s="20">
        <f>IFERROR(TEXT(INDEX('Plan de Seguimiento'!$I:$I,MATCH((ROW()-14),'Plan de Seguimiento'!$Q:$Q,0)),"dd/mm/yyyy"),"")</f>
        <v/>
      </c>
      <c r="C28" s="20">
        <f>IFERROR(INDEX('Plan de Seguimiento'!$B:$B,MATCH((ROW()-14),'Plan de Seguimiento'!$Q:$Q,0)),"")</f>
        <v/>
      </c>
      <c r="D28" s="20">
        <f>IFERROR(INDEX('Plan de Seguimiento'!$D:$D,MATCH((ROW()-14),'Plan de Seguimiento'!$Q:$Q,0)),"")</f>
        <v/>
      </c>
      <c r="E28" s="20">
        <f>IFERROR(INDEX('Plan de Seguimiento'!$H:$H,MATCH((ROW()-14),'Plan de Seguimiento'!$Q:$Q,0)),"")</f>
        <v/>
      </c>
      <c r="F28" s="20">
        <f>IFERROR(INDEX('Plan de Seguimiento'!$K:$K,MATCH((ROW()-14),'Plan de Seguimiento'!$Q:$Q,0)),"")</f>
        <v/>
      </c>
      <c r="G28" s="20">
        <f>IFERROR(INDEX('Plan de Seguimiento'!$L:$L,MATCH((ROW()-14),'Plan de Seguimiento'!$Q:$Q,0)),"")</f>
        <v/>
      </c>
    </row>
    <row r="29">
      <c r="B29" s="20">
        <f>IFERROR(TEXT(INDEX('Plan de Seguimiento'!$I:$I,MATCH((ROW()-14),'Plan de Seguimiento'!$Q:$Q,0)),"dd/mm/yyyy"),"")</f>
        <v/>
      </c>
      <c r="C29" s="20">
        <f>IFERROR(INDEX('Plan de Seguimiento'!$B:$B,MATCH((ROW()-14),'Plan de Seguimiento'!$Q:$Q,0)),"")</f>
        <v/>
      </c>
      <c r="D29" s="20">
        <f>IFERROR(INDEX('Plan de Seguimiento'!$D:$D,MATCH((ROW()-14),'Plan de Seguimiento'!$Q:$Q,0)),"")</f>
        <v/>
      </c>
      <c r="E29" s="20">
        <f>IFERROR(INDEX('Plan de Seguimiento'!$H:$H,MATCH((ROW()-14),'Plan de Seguimiento'!$Q:$Q,0)),"")</f>
        <v/>
      </c>
      <c r="F29" s="20">
        <f>IFERROR(INDEX('Plan de Seguimiento'!$K:$K,MATCH((ROW()-14),'Plan de Seguimiento'!$Q:$Q,0)),"")</f>
        <v/>
      </c>
      <c r="G29" s="20">
        <f>IFERROR(INDEX('Plan de Seguimiento'!$L:$L,MATCH((ROW()-14),'Plan de Seguimiento'!$Q:$Q,0)),"")</f>
        <v/>
      </c>
    </row>
    <row r="30">
      <c r="B30" s="20">
        <f>IFERROR(TEXT(INDEX('Plan de Seguimiento'!$I:$I,MATCH((ROW()-14),'Plan de Seguimiento'!$Q:$Q,0)),"dd/mm/yyyy"),"")</f>
        <v/>
      </c>
      <c r="C30" s="20">
        <f>IFERROR(INDEX('Plan de Seguimiento'!$B:$B,MATCH((ROW()-14),'Plan de Seguimiento'!$Q:$Q,0)),"")</f>
        <v/>
      </c>
      <c r="D30" s="20">
        <f>IFERROR(INDEX('Plan de Seguimiento'!$D:$D,MATCH((ROW()-14),'Plan de Seguimiento'!$Q:$Q,0)),"")</f>
        <v/>
      </c>
      <c r="E30" s="20">
        <f>IFERROR(INDEX('Plan de Seguimiento'!$H:$H,MATCH((ROW()-14),'Plan de Seguimiento'!$Q:$Q,0)),"")</f>
        <v/>
      </c>
      <c r="F30" s="20">
        <f>IFERROR(INDEX('Plan de Seguimiento'!$K:$K,MATCH((ROW()-14),'Plan de Seguimiento'!$Q:$Q,0)),"")</f>
        <v/>
      </c>
      <c r="G30" s="20">
        <f>IFERROR(INDEX('Plan de Seguimiento'!$L:$L,MATCH((ROW()-14),'Plan de Seguimiento'!$Q:$Q,0)),"")</f>
        <v/>
      </c>
    </row>
    <row r="31">
      <c r="B31" s="20">
        <f>IFERROR(TEXT(INDEX('Plan de Seguimiento'!$I:$I,MATCH((ROW()-14),'Plan de Seguimiento'!$Q:$Q,0)),"dd/mm/yyyy"),"")</f>
        <v/>
      </c>
      <c r="C31" s="20">
        <f>IFERROR(INDEX('Plan de Seguimiento'!$B:$B,MATCH((ROW()-14),'Plan de Seguimiento'!$Q:$Q,0)),"")</f>
        <v/>
      </c>
      <c r="D31" s="20">
        <f>IFERROR(INDEX('Plan de Seguimiento'!$D:$D,MATCH((ROW()-14),'Plan de Seguimiento'!$Q:$Q,0)),"")</f>
        <v/>
      </c>
      <c r="E31" s="20">
        <f>IFERROR(INDEX('Plan de Seguimiento'!$H:$H,MATCH((ROW()-14),'Plan de Seguimiento'!$Q:$Q,0)),"")</f>
        <v/>
      </c>
      <c r="F31" s="20">
        <f>IFERROR(INDEX('Plan de Seguimiento'!$K:$K,MATCH((ROW()-14),'Plan de Seguimiento'!$Q:$Q,0)),"")</f>
        <v/>
      </c>
      <c r="G31" s="20">
        <f>IFERROR(INDEX('Plan de Seguimiento'!$L:$L,MATCH((ROW()-14),'Plan de Seguimiento'!$Q:$Q,0)),"")</f>
        <v/>
      </c>
    </row>
    <row r="32">
      <c r="B32" s="20">
        <f>IFERROR(TEXT(INDEX('Plan de Seguimiento'!$I:$I,MATCH((ROW()-14),'Plan de Seguimiento'!$Q:$Q,0)),"dd/mm/yyyy"),"")</f>
        <v/>
      </c>
      <c r="C32" s="20">
        <f>IFERROR(INDEX('Plan de Seguimiento'!$B:$B,MATCH((ROW()-14),'Plan de Seguimiento'!$Q:$Q,0)),"")</f>
        <v/>
      </c>
      <c r="D32" s="20">
        <f>IFERROR(INDEX('Plan de Seguimiento'!$D:$D,MATCH((ROW()-14),'Plan de Seguimiento'!$Q:$Q,0)),"")</f>
        <v/>
      </c>
      <c r="E32" s="20">
        <f>IFERROR(INDEX('Plan de Seguimiento'!$H:$H,MATCH((ROW()-14),'Plan de Seguimiento'!$Q:$Q,0)),"")</f>
        <v/>
      </c>
      <c r="F32" s="20">
        <f>IFERROR(INDEX('Plan de Seguimiento'!$K:$K,MATCH((ROW()-14),'Plan de Seguimiento'!$Q:$Q,0)),"")</f>
        <v/>
      </c>
      <c r="G32" s="20">
        <f>IFERROR(INDEX('Plan de Seguimiento'!$L:$L,MATCH((ROW()-14),'Plan de Seguimiento'!$Q:$Q,0)),"")</f>
        <v/>
      </c>
    </row>
    <row r="33">
      <c r="B33" s="20">
        <f>IFERROR(TEXT(INDEX('Plan de Seguimiento'!$I:$I,MATCH((ROW()-14),'Plan de Seguimiento'!$Q:$Q,0)),"dd/mm/yyyy"),"")</f>
        <v/>
      </c>
      <c r="C33" s="20">
        <f>IFERROR(INDEX('Plan de Seguimiento'!$B:$B,MATCH((ROW()-14),'Plan de Seguimiento'!$Q:$Q,0)),"")</f>
        <v/>
      </c>
      <c r="D33" s="20">
        <f>IFERROR(INDEX('Plan de Seguimiento'!$D:$D,MATCH((ROW()-14),'Plan de Seguimiento'!$Q:$Q,0)),"")</f>
        <v/>
      </c>
      <c r="E33" s="20">
        <f>IFERROR(INDEX('Plan de Seguimiento'!$H:$H,MATCH((ROW()-14),'Plan de Seguimiento'!$Q:$Q,0)),"")</f>
        <v/>
      </c>
      <c r="F33" s="20">
        <f>IFERROR(INDEX('Plan de Seguimiento'!$K:$K,MATCH((ROW()-14),'Plan de Seguimiento'!$Q:$Q,0)),"")</f>
        <v/>
      </c>
      <c r="G33" s="20">
        <f>IFERROR(INDEX('Plan de Seguimiento'!$L:$L,MATCH((ROW()-14),'Plan de Seguimiento'!$Q:$Q,0)),"")</f>
        <v/>
      </c>
    </row>
    <row r="34">
      <c r="B34" s="20">
        <f>IFERROR(TEXT(INDEX('Plan de Seguimiento'!$I:$I,MATCH((ROW()-14),'Plan de Seguimiento'!$Q:$Q,0)),"dd/mm/yyyy"),"")</f>
        <v/>
      </c>
      <c r="C34" s="20">
        <f>IFERROR(INDEX('Plan de Seguimiento'!$B:$B,MATCH((ROW()-14),'Plan de Seguimiento'!$Q:$Q,0)),"")</f>
        <v/>
      </c>
      <c r="D34" s="20">
        <f>IFERROR(INDEX('Plan de Seguimiento'!$D:$D,MATCH((ROW()-14),'Plan de Seguimiento'!$Q:$Q,0)),"")</f>
        <v/>
      </c>
      <c r="E34" s="20">
        <f>IFERROR(INDEX('Plan de Seguimiento'!$H:$H,MATCH((ROW()-14),'Plan de Seguimiento'!$Q:$Q,0)),"")</f>
        <v/>
      </c>
      <c r="F34" s="20">
        <f>IFERROR(INDEX('Plan de Seguimiento'!$K:$K,MATCH((ROW()-14),'Plan de Seguimiento'!$Q:$Q,0)),"")</f>
        <v/>
      </c>
      <c r="G34" s="20">
        <f>IFERROR(INDEX('Plan de Seguimiento'!$L:$L,MATCH((ROW()-14),'Plan de Seguimiento'!$Q:$Q,0)),"")</f>
        <v/>
      </c>
    </row>
    <row r="35">
      <c r="B35" s="20">
        <f>IFERROR(TEXT(INDEX('Plan de Seguimiento'!$I:$I,MATCH((ROW()-14),'Plan de Seguimiento'!$Q:$Q,0)),"dd/mm/yyyy"),"")</f>
        <v/>
      </c>
      <c r="C35" s="20">
        <f>IFERROR(INDEX('Plan de Seguimiento'!$B:$B,MATCH((ROW()-14),'Plan de Seguimiento'!$Q:$Q,0)),"")</f>
        <v/>
      </c>
      <c r="D35" s="20">
        <f>IFERROR(INDEX('Plan de Seguimiento'!$D:$D,MATCH((ROW()-14),'Plan de Seguimiento'!$Q:$Q,0)),"")</f>
        <v/>
      </c>
      <c r="E35" s="20">
        <f>IFERROR(INDEX('Plan de Seguimiento'!$H:$H,MATCH((ROW()-14),'Plan de Seguimiento'!$Q:$Q,0)),"")</f>
        <v/>
      </c>
      <c r="F35" s="20">
        <f>IFERROR(INDEX('Plan de Seguimiento'!$K:$K,MATCH((ROW()-14),'Plan de Seguimiento'!$Q:$Q,0)),"")</f>
        <v/>
      </c>
      <c r="G35" s="20">
        <f>IFERROR(INDEX('Plan de Seguimiento'!$L:$L,MATCH((ROW()-14),'Plan de Seguimiento'!$Q:$Q,0)),"")</f>
        <v/>
      </c>
    </row>
    <row r="36">
      <c r="B36" s="20">
        <f>IFERROR(TEXT(INDEX('Plan de Seguimiento'!$I:$I,MATCH((ROW()-14),'Plan de Seguimiento'!$Q:$Q,0)),"dd/mm/yyyy"),"")</f>
        <v/>
      </c>
      <c r="C36" s="20">
        <f>IFERROR(INDEX('Plan de Seguimiento'!$B:$B,MATCH((ROW()-14),'Plan de Seguimiento'!$Q:$Q,0)),"")</f>
        <v/>
      </c>
      <c r="D36" s="20">
        <f>IFERROR(INDEX('Plan de Seguimiento'!$D:$D,MATCH((ROW()-14),'Plan de Seguimiento'!$Q:$Q,0)),"")</f>
        <v/>
      </c>
      <c r="E36" s="20">
        <f>IFERROR(INDEX('Plan de Seguimiento'!$H:$H,MATCH((ROW()-14),'Plan de Seguimiento'!$Q:$Q,0)),"")</f>
        <v/>
      </c>
      <c r="F36" s="20">
        <f>IFERROR(INDEX('Plan de Seguimiento'!$K:$K,MATCH((ROW()-14),'Plan de Seguimiento'!$Q:$Q,0)),"")</f>
        <v/>
      </c>
      <c r="G36" s="20">
        <f>IFERROR(INDEX('Plan de Seguimiento'!$L:$L,MATCH((ROW()-14),'Plan de Seguimiento'!$Q:$Q,0)),"")</f>
        <v/>
      </c>
    </row>
    <row r="37">
      <c r="B37" s="20">
        <f>IFERROR(TEXT(INDEX('Plan de Seguimiento'!$I:$I,MATCH((ROW()-14),'Plan de Seguimiento'!$Q:$Q,0)),"dd/mm/yyyy"),"")</f>
        <v/>
      </c>
      <c r="C37" s="20">
        <f>IFERROR(INDEX('Plan de Seguimiento'!$B:$B,MATCH((ROW()-14),'Plan de Seguimiento'!$Q:$Q,0)),"")</f>
        <v/>
      </c>
      <c r="D37" s="20">
        <f>IFERROR(INDEX('Plan de Seguimiento'!$D:$D,MATCH((ROW()-14),'Plan de Seguimiento'!$Q:$Q,0)),"")</f>
        <v/>
      </c>
      <c r="E37" s="20">
        <f>IFERROR(INDEX('Plan de Seguimiento'!$H:$H,MATCH((ROW()-14),'Plan de Seguimiento'!$Q:$Q,0)),"")</f>
        <v/>
      </c>
      <c r="F37" s="20">
        <f>IFERROR(INDEX('Plan de Seguimiento'!$K:$K,MATCH((ROW()-14),'Plan de Seguimiento'!$Q:$Q,0)),"")</f>
        <v/>
      </c>
      <c r="G37" s="20">
        <f>IFERROR(INDEX('Plan de Seguimiento'!$L:$L,MATCH((ROW()-14),'Plan de Seguimiento'!$Q:$Q,0)),"")</f>
        <v/>
      </c>
    </row>
    <row r="38">
      <c r="B38" s="20">
        <f>IFERROR(TEXT(INDEX('Plan de Seguimiento'!$I:$I,MATCH((ROW()-14),'Plan de Seguimiento'!$Q:$Q,0)),"dd/mm/yyyy"),"")</f>
        <v/>
      </c>
      <c r="C38" s="20">
        <f>IFERROR(INDEX('Plan de Seguimiento'!$B:$B,MATCH((ROW()-14),'Plan de Seguimiento'!$Q:$Q,0)),"")</f>
        <v/>
      </c>
      <c r="D38" s="20">
        <f>IFERROR(INDEX('Plan de Seguimiento'!$D:$D,MATCH((ROW()-14),'Plan de Seguimiento'!$Q:$Q,0)),"")</f>
        <v/>
      </c>
      <c r="E38" s="20">
        <f>IFERROR(INDEX('Plan de Seguimiento'!$H:$H,MATCH((ROW()-14),'Plan de Seguimiento'!$Q:$Q,0)),"")</f>
        <v/>
      </c>
      <c r="F38" s="20">
        <f>IFERROR(INDEX('Plan de Seguimiento'!$K:$K,MATCH((ROW()-14),'Plan de Seguimiento'!$Q:$Q,0)),"")</f>
        <v/>
      </c>
      <c r="G38" s="20">
        <f>IFERROR(INDEX('Plan de Seguimiento'!$L:$L,MATCH((ROW()-14),'Plan de Seguimiento'!$Q:$Q,0)),"")</f>
        <v/>
      </c>
    </row>
    <row r="39">
      <c r="B39" s="20">
        <f>IFERROR(TEXT(INDEX('Plan de Seguimiento'!$I:$I,MATCH((ROW()-14),'Plan de Seguimiento'!$Q:$Q,0)),"dd/mm/yyyy"),"")</f>
        <v/>
      </c>
      <c r="C39" s="20">
        <f>IFERROR(INDEX('Plan de Seguimiento'!$B:$B,MATCH((ROW()-14),'Plan de Seguimiento'!$Q:$Q,0)),"")</f>
        <v/>
      </c>
      <c r="D39" s="20">
        <f>IFERROR(INDEX('Plan de Seguimiento'!$D:$D,MATCH((ROW()-14),'Plan de Seguimiento'!$Q:$Q,0)),"")</f>
        <v/>
      </c>
      <c r="E39" s="20">
        <f>IFERROR(INDEX('Plan de Seguimiento'!$H:$H,MATCH((ROW()-14),'Plan de Seguimiento'!$Q:$Q,0)),"")</f>
        <v/>
      </c>
      <c r="F39" s="20">
        <f>IFERROR(INDEX('Plan de Seguimiento'!$K:$K,MATCH((ROW()-14),'Plan de Seguimiento'!$Q:$Q,0)),"")</f>
        <v/>
      </c>
      <c r="G39" s="20">
        <f>IFERROR(INDEX('Plan de Seguimiento'!$L:$L,MATCH((ROW()-14),'Plan de Seguimiento'!$Q:$Q,0)),"")</f>
        <v/>
      </c>
    </row>
    <row r="40">
      <c r="B40" s="20">
        <f>IFERROR(TEXT(INDEX('Plan de Seguimiento'!$I:$I,MATCH((ROW()-14),'Plan de Seguimiento'!$Q:$Q,0)),"dd/mm/yyyy"),"")</f>
        <v/>
      </c>
      <c r="C40" s="20">
        <f>IFERROR(INDEX('Plan de Seguimiento'!$B:$B,MATCH((ROW()-14),'Plan de Seguimiento'!$Q:$Q,0)),"")</f>
        <v/>
      </c>
      <c r="D40" s="20">
        <f>IFERROR(INDEX('Plan de Seguimiento'!$D:$D,MATCH((ROW()-14),'Plan de Seguimiento'!$Q:$Q,0)),"")</f>
        <v/>
      </c>
      <c r="E40" s="20">
        <f>IFERROR(INDEX('Plan de Seguimiento'!$H:$H,MATCH((ROW()-14),'Plan de Seguimiento'!$Q:$Q,0)),"")</f>
        <v/>
      </c>
      <c r="F40" s="20">
        <f>IFERROR(INDEX('Plan de Seguimiento'!$K:$K,MATCH((ROW()-14),'Plan de Seguimiento'!$Q:$Q,0)),"")</f>
        <v/>
      </c>
      <c r="G40" s="20">
        <f>IFERROR(INDEX('Plan de Seguimiento'!$L:$L,MATCH((ROW()-14),'Plan de Seguimiento'!$Q:$Q,0)),"")</f>
        <v/>
      </c>
    </row>
    <row r="41">
      <c r="B41" s="20">
        <f>IFERROR(TEXT(INDEX('Plan de Seguimiento'!$I:$I,MATCH((ROW()-14),'Plan de Seguimiento'!$Q:$Q,0)),"dd/mm/yyyy"),"")</f>
        <v/>
      </c>
      <c r="C41" s="20">
        <f>IFERROR(INDEX('Plan de Seguimiento'!$B:$B,MATCH((ROW()-14),'Plan de Seguimiento'!$Q:$Q,0)),"")</f>
        <v/>
      </c>
      <c r="D41" s="20">
        <f>IFERROR(INDEX('Plan de Seguimiento'!$D:$D,MATCH((ROW()-14),'Plan de Seguimiento'!$Q:$Q,0)),"")</f>
        <v/>
      </c>
      <c r="E41" s="20">
        <f>IFERROR(INDEX('Plan de Seguimiento'!$H:$H,MATCH((ROW()-14),'Plan de Seguimiento'!$Q:$Q,0)),"")</f>
        <v/>
      </c>
      <c r="F41" s="20">
        <f>IFERROR(INDEX('Plan de Seguimiento'!$K:$K,MATCH((ROW()-14),'Plan de Seguimiento'!$Q:$Q,0)),"")</f>
        <v/>
      </c>
      <c r="G41" s="20">
        <f>IFERROR(INDEX('Plan de Seguimiento'!$L:$L,MATCH((ROW()-14),'Plan de Seguimiento'!$Q:$Q,0)),"")</f>
        <v/>
      </c>
    </row>
    <row r="42">
      <c r="B42" s="20">
        <f>IFERROR(TEXT(INDEX('Plan de Seguimiento'!$I:$I,MATCH((ROW()-14),'Plan de Seguimiento'!$Q:$Q,0)),"dd/mm/yyyy"),"")</f>
        <v/>
      </c>
      <c r="C42" s="20">
        <f>IFERROR(INDEX('Plan de Seguimiento'!$B:$B,MATCH((ROW()-14),'Plan de Seguimiento'!$Q:$Q,0)),"")</f>
        <v/>
      </c>
      <c r="D42" s="20">
        <f>IFERROR(INDEX('Plan de Seguimiento'!$D:$D,MATCH((ROW()-14),'Plan de Seguimiento'!$Q:$Q,0)),"")</f>
        <v/>
      </c>
      <c r="E42" s="20">
        <f>IFERROR(INDEX('Plan de Seguimiento'!$H:$H,MATCH((ROW()-14),'Plan de Seguimiento'!$Q:$Q,0)),"")</f>
        <v/>
      </c>
      <c r="F42" s="20">
        <f>IFERROR(INDEX('Plan de Seguimiento'!$K:$K,MATCH((ROW()-14),'Plan de Seguimiento'!$Q:$Q,0)),"")</f>
        <v/>
      </c>
      <c r="G42" s="20">
        <f>IFERROR(INDEX('Plan de Seguimiento'!$L:$L,MATCH((ROW()-14),'Plan de Seguimiento'!$Q:$Q,0)),"")</f>
        <v/>
      </c>
    </row>
    <row r="43">
      <c r="B43" s="20">
        <f>IFERROR(TEXT(INDEX('Plan de Seguimiento'!$I:$I,MATCH((ROW()-14),'Plan de Seguimiento'!$Q:$Q,0)),"dd/mm/yyyy"),"")</f>
        <v/>
      </c>
      <c r="C43" s="20">
        <f>IFERROR(INDEX('Plan de Seguimiento'!$B:$B,MATCH((ROW()-14),'Plan de Seguimiento'!$Q:$Q,0)),"")</f>
        <v/>
      </c>
      <c r="D43" s="20">
        <f>IFERROR(INDEX('Plan de Seguimiento'!$D:$D,MATCH((ROW()-14),'Plan de Seguimiento'!$Q:$Q,0)),"")</f>
        <v/>
      </c>
      <c r="E43" s="20">
        <f>IFERROR(INDEX('Plan de Seguimiento'!$H:$H,MATCH((ROW()-14),'Plan de Seguimiento'!$Q:$Q,0)),"")</f>
        <v/>
      </c>
      <c r="F43" s="20">
        <f>IFERROR(INDEX('Plan de Seguimiento'!$K:$K,MATCH((ROW()-14),'Plan de Seguimiento'!$Q:$Q,0)),"")</f>
        <v/>
      </c>
      <c r="G43" s="20">
        <f>IFERROR(INDEX('Plan de Seguimiento'!$L:$L,MATCH((ROW()-14),'Plan de Seguimiento'!$Q:$Q,0)),"")</f>
        <v/>
      </c>
    </row>
    <row r="44">
      <c r="B44" s="20">
        <f>IFERROR(TEXT(INDEX('Plan de Seguimiento'!$I:$I,MATCH((ROW()-14),'Plan de Seguimiento'!$Q:$Q,0)),"dd/mm/yyyy"),"")</f>
        <v/>
      </c>
      <c r="C44" s="20">
        <f>IFERROR(INDEX('Plan de Seguimiento'!$B:$B,MATCH((ROW()-14),'Plan de Seguimiento'!$Q:$Q,0)),"")</f>
        <v/>
      </c>
      <c r="D44" s="20">
        <f>IFERROR(INDEX('Plan de Seguimiento'!$D:$D,MATCH((ROW()-14),'Plan de Seguimiento'!$Q:$Q,0)),"")</f>
        <v/>
      </c>
      <c r="E44" s="20">
        <f>IFERROR(INDEX('Plan de Seguimiento'!$H:$H,MATCH((ROW()-14),'Plan de Seguimiento'!$Q:$Q,0)),"")</f>
        <v/>
      </c>
      <c r="F44" s="20">
        <f>IFERROR(INDEX('Plan de Seguimiento'!$K:$K,MATCH((ROW()-14),'Plan de Seguimiento'!$Q:$Q,0)),"")</f>
        <v/>
      </c>
      <c r="G44" s="20">
        <f>IFERROR(INDEX('Plan de Seguimiento'!$L:$L,MATCH((ROW()-14),'Plan de Seguimiento'!$Q:$Q,0)),"")</f>
        <v/>
      </c>
    </row>
  </sheetData>
  <mergeCells count="3">
    <mergeCell ref="B13:H13"/>
    <mergeCell ref="D2:H3"/>
    <mergeCell ref="A1:H1"/>
  </mergeCells>
  <conditionalFormatting sqref="B6:H11">
    <cfRule type="expression" priority="2" dxfId="0">
      <formula>(DATE($C$3,$C$2,1)-(WEEKDAY(DATE($C$3,$C$2,1),2)-1)+(ROW()-6)*7+(COLUMN()-2))=TODAY()</formula>
    </cfRule>
  </conditionalFormatting>
  <dataValidations count="1">
    <dataValidation sqref="C2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CC0000"/>
    <outlinePr summaryBelow="1" summaryRight="1"/>
    <pageSetUpPr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baseColWidth="8" defaultColWidth="8.7421875" defaultRowHeight="15"/>
  <cols>
    <col width="4.9765625" customWidth="1" style="1" min="1" max="1"/>
    <col width="16.0078125" customWidth="1" style="1" min="2" max="2"/>
    <col width="39.953125" customWidth="1" style="1" min="3" max="3"/>
    <col width="46.00390625" customWidth="1" style="1" min="4" max="9"/>
    <col width="41.96875" customWidth="1" style="1" min="10" max="10"/>
    <col width="25.9609375" customWidth="1" style="1" min="12" max="12"/>
    <col width="9.953125" customWidth="1" style="1" min="13" max="13"/>
    <col width="13.98828125" customWidth="1" style="1" min="14" max="14"/>
  </cols>
  <sheetData>
    <row r="1" ht="24" customHeight="1" s="1">
      <c r="A1" s="29" t="inlineStr">
        <is>
          <t>Catálogo de Mensajes Personalizados por Vehículo</t>
        </is>
      </c>
    </row>
    <row r="2" ht="42" customHeight="1" s="1">
      <c r="A2" s="32" t="inlineStr">
        <is>
          <t>Promoción vigente este mes (edita este texto cada mes):</t>
        </is>
      </c>
      <c r="B2" s="38" t="n"/>
      <c r="C2" s="33" t="inlineStr">
        <is>
          <t>Bonos especiales y tasas preferenciales en financiamiento Toyota, además de accesorios de regalo en unidades seleccionadas. Pregunta por las condiciones vigentes.</t>
        </is>
      </c>
      <c r="D2" s="39" t="n"/>
      <c r="E2" s="39" t="n"/>
      <c r="F2" s="39" t="n"/>
      <c r="G2" s="39" t="n"/>
      <c r="H2" s="39" t="n"/>
      <c r="I2" s="39" t="n"/>
      <c r="J2" s="38" t="n"/>
    </row>
    <row r="3" ht="25.5" customHeight="1" s="1">
      <c r="A3" s="30" t="inlineStr">
        <is>
      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      </is>
      </c>
    </row>
    <row r="4" ht="33.75" customHeight="1" s="1">
      <c r="A4" s="12" t="inlineStr">
        <is>
          <t>No.</t>
        </is>
      </c>
      <c r="B4" s="12" t="inlineStr">
        <is>
          <t>Vehículo</t>
        </is>
      </c>
      <c r="C4" s="12" t="inlineStr">
        <is>
          <t>Gancho de Venta</t>
        </is>
      </c>
      <c r="D4" s="12" t="inlineStr">
        <is>
          <t>Primera Visita</t>
        </is>
      </c>
      <c r="E4" s="12" t="inlineStr">
        <is>
          <t>Seguimiento a Interés</t>
        </is>
      </c>
      <c r="F4" s="12" t="inlineStr">
        <is>
          <t>Próxima Llegada de Vehículo</t>
        </is>
      </c>
      <c r="G4" s="12" t="inlineStr">
        <is>
          <t>Entrega Inmediata</t>
        </is>
      </c>
      <c r="H4" s="12" t="inlineStr">
        <is>
          <t>Promoción del Mes</t>
        </is>
      </c>
      <c r="I4" s="12" t="inlineStr">
        <is>
          <t>Felicitación por Apartado</t>
        </is>
      </c>
      <c r="J4" s="12" t="inlineStr">
        <is>
          <t>Cumpleaños</t>
        </is>
      </c>
      <c r="L4" s="12" t="inlineStr">
        <is>
          <t>Tipo de Acción</t>
        </is>
      </c>
      <c r="M4" s="12" t="inlineStr">
        <is>
          <t>Prioridad</t>
        </is>
      </c>
      <c r="N4" s="12" t="inlineStr">
        <is>
          <t>Estatus</t>
        </is>
      </c>
    </row>
    <row r="5" ht="90" customHeight="1" s="1">
      <c r="A5" s="21" t="n">
        <v>1</v>
      </c>
      <c r="B5" s="14" t="inlineStr">
        <is>
          <t>Yaris</t>
        </is>
      </c>
      <c r="C5" s="14" t="inlineStr">
        <is>
          <t>Es de los más económicos en consumo de combustible y mantenimiento, ideal para el uso diario en ciudad.</t>
        </is>
      </c>
      <c r="D5" s="14" t="inlineStr">
        <is>
      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5" s="14" t="inlineStr">
        <is>
      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5" s="14" t="inlineStr">
        <is>
      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      </is>
      </c>
      <c r="G5" s="14" t="inlineStr">
        <is>
      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      </is>
      </c>
      <c r="H5" s="14" t="inlineStr">
        <is>
      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      </is>
      </c>
      <c r="I5" s="14" t="inlineStr">
        <is>
      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5" s="14" t="inlineStr">
        <is>
          <t>Hola, {NOMBRE}, ¡feliz cumpleaños! Le deseo un excelente día rodeado de quienes más quiere.
Ha sido un gusto acompañarle en su interés por la/el *Yaris*, y quedo a sus órdenes para cualquier cosa que necesite. ¡Un fuerte abrazo!</t>
        </is>
      </c>
      <c r="L5" s="22" t="inlineStr">
        <is>
          <t>Primera Visita</t>
        </is>
      </c>
      <c r="M5" s="22" t="inlineStr">
        <is>
          <t>Alta</t>
        </is>
      </c>
      <c r="N5" s="22" t="inlineStr">
        <is>
          <t>Pendiente</t>
        </is>
      </c>
    </row>
    <row r="6" ht="90" customHeight="1" s="1">
      <c r="A6" s="21" t="n">
        <v>2</v>
      </c>
      <c r="B6" s="14" t="inlineStr">
        <is>
          <t>Corolla</t>
        </is>
      </c>
      <c r="C6" s="14" t="inlineStr">
        <is>
          <t>Ofrece el equilibrio perfecto entre confort, tecnología Toyota Safety Sense y bajo costo de mantenimiento.</t>
        </is>
      </c>
      <c r="D6" s="14" t="inlineStr">
        <is>
      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6" s="14" t="inlineStr">
        <is>
      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6" s="14" t="inlineStr">
        <is>
      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      </is>
      </c>
      <c r="G6" s="14" t="inlineStr">
        <is>
      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      </is>
      </c>
      <c r="H6" s="14" t="inlineStr">
        <is>
      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      </is>
      </c>
      <c r="I6" s="14" t="inlineStr">
        <is>
      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6" s="14" t="inlineStr">
        <is>
          <t>Hola, {NOMBRE}, ¡feliz cumpleaños! Le deseo un excelente día rodeado de quienes más quiere.
Ha sido un gusto acompañarle en su interés por la/el *Corolla*, y quedo a sus órdenes para cualquier cosa que necesite. ¡Un fuerte abrazo!</t>
        </is>
      </c>
      <c r="L6" s="22" t="inlineStr">
        <is>
          <t>Seguimiento a Interés</t>
        </is>
      </c>
      <c r="M6" s="22" t="inlineStr">
        <is>
          <t>Media</t>
        </is>
      </c>
      <c r="N6" s="22" t="inlineStr">
        <is>
          <t>Realizado</t>
        </is>
      </c>
    </row>
    <row r="7" ht="90" customHeight="1" s="1">
      <c r="A7" s="21" t="n">
        <v>3</v>
      </c>
      <c r="B7" s="14" t="inlineStr">
        <is>
          <t>Camry</t>
        </is>
      </c>
      <c r="C7" s="14" t="inlineStr">
        <is>
          <t>Es la opción ejecutiva por excelencia: elegancia, espacio y potencia en un sedán de lujo accesible.</t>
        </is>
      </c>
      <c r="D7" s="14" t="inlineStr">
        <is>
      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7" s="14" t="inlineStr">
        <is>
      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7" s="14" t="inlineStr">
        <is>
      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      </is>
      </c>
      <c r="G7" s="14" t="inlineStr">
        <is>
      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      </is>
      </c>
      <c r="H7" s="14" t="inlineStr">
        <is>
      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      </is>
      </c>
      <c r="I7" s="14" t="inlineStr">
        <is>
      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7" s="14" t="inlineStr">
        <is>
          <t>Hola, {NOMBRE}, ¡feliz cumpleaños! Le deseo un excelente día rodeado de quienes más quiere.
Ha sido un gusto acompañarle en su interés por la/el *Camry*, y quedo a sus órdenes para cualquier cosa que necesite. ¡Un fuerte abrazo!</t>
        </is>
      </c>
      <c r="L7" s="22" t="inlineStr">
        <is>
          <t>Próxima Llegada de Vehículo</t>
        </is>
      </c>
      <c r="M7" s="22" t="inlineStr">
        <is>
          <t>Baja</t>
        </is>
      </c>
      <c r="N7" s="22" t="inlineStr">
        <is>
          <t>Reprogramado</t>
        </is>
      </c>
    </row>
    <row r="8" ht="90" customHeight="1" s="1">
      <c r="A8" s="21" t="n">
        <v>4</v>
      </c>
      <c r="B8" s="14" t="inlineStr">
        <is>
          <t>GR Yaris</t>
        </is>
      </c>
      <c r="C8" s="14" t="inlineStr">
        <is>
          <t>Es la versión de alto rendimiento con tracción integral GR-FOUR, pensada para quien busca adrenalina real.</t>
        </is>
      </c>
      <c r="D8" s="14" t="inlineStr">
        <is>
      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8" s="14" t="inlineStr">
        <is>
      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8" s="14" t="inlineStr">
        <is>
      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      </is>
      </c>
      <c r="G8" s="14" t="inlineStr">
        <is>
      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      </is>
      </c>
      <c r="H8" s="14" t="inlineStr">
        <is>
      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      </is>
      </c>
      <c r="I8" s="14" t="inlineStr">
        <is>
      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8" s="14" t="inlineStr">
        <is>
          <t>Hola, {NOMBRE}, ¡feliz cumpleaños! Le deseo un excelente día rodeado de quienes más quiere.
Ha sido un gusto acompañarle en su interés por la/el *GR Yaris*, y quedo a sus órdenes para cualquier cosa que necesite. ¡Un fuerte abrazo!</t>
        </is>
      </c>
      <c r="L8" s="22" t="inlineStr">
        <is>
          <t>Entrega Inmediata</t>
        </is>
      </c>
      <c r="N8" s="22" t="inlineStr">
        <is>
          <t>Cancelado</t>
        </is>
      </c>
    </row>
    <row r="9" ht="90" customHeight="1" s="1">
      <c r="A9" s="21" t="n">
        <v>5</v>
      </c>
      <c r="B9" s="14" t="inlineStr">
        <is>
          <t>GR Corolla</t>
        </is>
      </c>
      <c r="C9" s="14" t="inlineStr">
        <is>
          <t>Trae la herencia de rally de Toyota Gazoo Racing: motor turbo y tracción integral en un compacto deportivo.</t>
        </is>
      </c>
      <c r="D9" s="14" t="inlineStr">
        <is>
      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9" s="14" t="inlineStr">
        <is>
      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9" s="14" t="inlineStr">
        <is>
      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      </is>
      </c>
      <c r="G9" s="14" t="inlineStr">
        <is>
      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      </is>
      </c>
      <c r="H9" s="14" t="inlineStr">
        <is>
      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      </is>
      </c>
      <c r="I9" s="14" t="inlineStr">
        <is>
      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9" s="14" t="inlineStr">
        <is>
          <t>Hola, {NOMBRE}, ¡feliz cumpleaños! Le deseo un excelente día rodeado de quienes más quiere.
Ha sido un gusto acompañarle en su interés por la/el *GR Corolla*, y quedo a sus órdenes para cualquier cosa que necesite. ¡Un fuerte abrazo!</t>
        </is>
      </c>
      <c r="L9" s="22" t="inlineStr">
        <is>
          <t>Promoción del Mes</t>
        </is>
      </c>
    </row>
    <row r="10" ht="90" customHeight="1" s="1">
      <c r="A10" s="21" t="n">
        <v>6</v>
      </c>
      <c r="B10" s="14" t="inlineStr">
        <is>
          <t>Prius</t>
        </is>
      </c>
      <c r="C10" s="14" t="inlineStr">
        <is>
          <t>Es el híbrido pionero de Toyota, con la mejor eficiencia de combustible de su categoría.</t>
        </is>
      </c>
      <c r="D10" s="14" t="inlineStr">
        <is>
      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0" s="14" t="inlineStr">
        <is>
      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0" s="14" t="inlineStr">
        <is>
      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      </is>
      </c>
      <c r="G10" s="14" t="inlineStr">
        <is>
      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      </is>
      </c>
      <c r="H10" s="14" t="inlineStr">
        <is>
      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      </is>
      </c>
      <c r="I10" s="14" t="inlineStr">
        <is>
      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0" s="14" t="inlineStr">
        <is>
          <t>Hola, {NOMBRE}, ¡feliz cumpleaños! Le deseo un excelente día rodeado de quienes más quiere.
Ha sido un gusto acompañarle en su interés por la/el *Prius*, y quedo a sus órdenes para cualquier cosa que necesite. ¡Un fuerte abrazo!</t>
        </is>
      </c>
      <c r="L10" s="22" t="inlineStr">
        <is>
          <t>Felicitación por Apartado</t>
        </is>
      </c>
    </row>
    <row r="11" ht="90" customHeight="1" s="1">
      <c r="A11" s="21" t="n">
        <v>7</v>
      </c>
      <c r="B11" s="14" t="inlineStr">
        <is>
          <t>Corolla HV</t>
        </is>
      </c>
      <c r="C11" s="14" t="inlineStr">
        <is>
          <t>Con tecnología híbrida, reduce hasta la mitad el consumo de combustible sin sacrificar manejo.</t>
        </is>
      </c>
      <c r="D11" s="14" t="inlineStr">
        <is>
      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1" s="14" t="inlineStr">
        <is>
      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1" s="14" t="inlineStr">
        <is>
      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      </is>
      </c>
      <c r="G11" s="14" t="inlineStr">
        <is>
      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      </is>
      </c>
      <c r="H11" s="14" t="inlineStr">
        <is>
      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      </is>
      </c>
      <c r="I11" s="14" t="inlineStr">
        <is>
      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1" s="14" t="inlineStr">
        <is>
          <t>Hola, {NOMBRE}, ¡feliz cumpleaños! Le deseo un excelente día rodeado de quienes más quiere.
Ha sido un gusto acompañarle en su interés por la/el *Corolla HV*, y quedo a sus órdenes para cualquier cosa que necesite. ¡Un fuerte abrazo!</t>
        </is>
      </c>
      <c r="L11" s="22" t="inlineStr">
        <is>
          <t>Cumpleaños</t>
        </is>
      </c>
    </row>
    <row r="12" ht="90" customHeight="1" s="1">
      <c r="A12" s="21" t="n">
        <v>8</v>
      </c>
      <c r="B12" s="14" t="inlineStr">
        <is>
          <t>Raize</t>
        </is>
      </c>
      <c r="C12" s="14" t="inlineStr">
        <is>
          <t>Es una SUV compacta y ágil, perfecta para moverse con facilidad en la ciudad y estacionarse sin complicaciones.</t>
        </is>
      </c>
      <c r="D12" s="14" t="inlineStr">
        <is>
      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2" s="14" t="inlineStr">
        <is>
      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2" s="14" t="inlineStr">
        <is>
      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      </is>
      </c>
      <c r="G12" s="14" t="inlineStr">
        <is>
      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      </is>
      </c>
      <c r="H12" s="14" t="inlineStr">
        <is>
      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      </is>
      </c>
      <c r="I12" s="14" t="inlineStr">
        <is>
      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2" s="14" t="inlineStr">
        <is>
          <t>Hola, {NOMBRE}, ¡feliz cumpleaños! Le deseo un excelente día rodeado de quienes más quiere.
Ha sido un gusto acompañarle en su interés por la/el *Raize*, y quedo a sus órdenes para cualquier cosa que necesite. ¡Un fuerte abrazo!</t>
        </is>
      </c>
      <c r="L12" s="22" t="inlineStr">
        <is>
          <t>Requisitos (Crédito/Contado)</t>
        </is>
      </c>
    </row>
    <row r="13" ht="90" customHeight="1" s="1">
      <c r="A13" s="21" t="n">
        <v>9</v>
      </c>
      <c r="B13" s="14" t="inlineStr">
        <is>
          <t>Avanza</t>
        </is>
      </c>
      <c r="C13" s="14" t="inlineStr">
        <is>
          <t>Ofrece amplio espacio interior y versatilidad, ideal para la familia y el día a día.</t>
        </is>
      </c>
      <c r="D13" s="14" t="inlineStr">
        <is>
      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3" s="14" t="inlineStr">
        <is>
      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3" s="14" t="inlineStr">
        <is>
      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      </is>
      </c>
      <c r="G13" s="14" t="inlineStr">
        <is>
      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      </is>
      </c>
      <c r="H13" s="14" t="inlineStr">
        <is>
      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      </is>
      </c>
      <c r="I13" s="14" t="inlineStr">
        <is>
      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3" s="14" t="inlineStr">
        <is>
          <t>Hola, {NOMBRE}, ¡feliz cumpleaños! Le deseo un excelente día rodeado de quienes más quiere.
Ha sido un gusto acompañarle en su interés por la/el *Avanza*, y quedo a sus órdenes para cualquier cosa que necesite. ¡Un fuerte abrazo!</t>
        </is>
      </c>
      <c r="L13" s="22" t="inlineStr">
        <is>
          <t>Otro (mensaje libre)</t>
        </is>
      </c>
    </row>
    <row r="14" ht="90" customHeight="1" s="1">
      <c r="A14" s="21" t="n">
        <v>10</v>
      </c>
      <c r="B14" s="14" t="inlineStr">
        <is>
          <t>Corolla Cross</t>
        </is>
      </c>
      <c r="C14" s="14" t="inlineStr">
        <is>
          <t>Combina el espacio de una SUV con la eficiencia y confiabilidad que caracteriza a Toyota.</t>
        </is>
      </c>
      <c r="D14" s="14" t="inlineStr">
        <is>
      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4" s="14" t="inlineStr">
        <is>
      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4" s="14" t="inlineStr">
        <is>
      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      </is>
      </c>
      <c r="G14" s="14" t="inlineStr">
        <is>
      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      </is>
      </c>
      <c r="H14" s="14" t="inlineStr">
        <is>
      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      </is>
      </c>
      <c r="I14" s="14" t="inlineStr">
        <is>
      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4" s="14" t="inlineStr">
        <is>
          <t>Hola, {NOMBRE}, ¡feliz cumpleaños! Le deseo un excelente día rodeado de quienes más quiere.
Ha sido un gusto acompañarle en su interés por la/el *Corolla Cross*, y quedo a sus órdenes para cualquier cosa que necesite. ¡Un fuerte abrazo!</t>
        </is>
      </c>
    </row>
    <row r="15" ht="90" customHeight="1" s="1">
      <c r="A15" s="21" t="n">
        <v>11</v>
      </c>
      <c r="B15" s="14" t="inlineStr">
        <is>
          <t>Corolla Cross HV</t>
        </is>
      </c>
      <c r="C15" s="14" t="inlineStr">
        <is>
          <t>Suma a la versatilidad de una SUV compacta la tecnología híbrida para un ahorro real de combustible.</t>
        </is>
      </c>
      <c r="D15" s="14" t="inlineStr">
        <is>
      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5" s="14" t="inlineStr">
        <is>
      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5" s="14" t="inlineStr">
        <is>
      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      </is>
      </c>
      <c r="G15" s="14" t="inlineStr">
        <is>
      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      </is>
      </c>
      <c r="H15" s="14" t="inlineStr">
        <is>
      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      </is>
      </c>
      <c r="I15" s="14" t="inlineStr">
        <is>
      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5" s="14" t="inlineStr">
        <is>
          <t>Hola, {NOMBRE}, ¡feliz cumpleaños! Le deseo un excelente día rodeado de quienes más quiere.
Ha sido un gusto acompañarle en su interés por la/el *Corolla Cross HV*, y quedo a sus órdenes para cualquier cosa que necesite. ¡Un fuerte abrazo!</t>
        </is>
      </c>
    </row>
    <row r="16" ht="90" customHeight="1" s="1">
      <c r="A16" s="21" t="n">
        <v>12</v>
      </c>
      <c r="B16" s="14" t="inlineStr">
        <is>
          <t>RAV4 HV</t>
        </is>
      </c>
      <c r="C16" s="14" t="inlineStr">
        <is>
          <t>Es la SUV híbrida más vendida del mercado: potencia, espacio y un ahorro de combustible excepcional.</t>
        </is>
      </c>
      <c r="D16" s="14" t="inlineStr">
        <is>
      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6" s="14" t="inlineStr">
        <is>
      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6" s="14" t="inlineStr">
        <is>
      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      </is>
      </c>
      <c r="G16" s="14" t="inlineStr">
        <is>
      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      </is>
      </c>
      <c r="H16" s="14" t="inlineStr">
        <is>
      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      </is>
      </c>
      <c r="I16" s="14" t="inlineStr">
        <is>
      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6" s="14" t="inlineStr">
        <is>
          <t>Hola, {NOMBRE}, ¡feliz cumpleaños! Le deseo un excelente día rodeado de quienes más quiere.
Ha sido un gusto acompañarle en su interés por la/el *RAV4 HV*, y quedo a sus órdenes para cualquier cosa que necesite. ¡Un fuerte abrazo!</t>
        </is>
      </c>
    </row>
    <row r="17" ht="90" customHeight="1" s="1">
      <c r="A17" s="21" t="n">
        <v>13</v>
      </c>
      <c r="B17" s="14" t="inlineStr">
        <is>
          <t>Highlander HV</t>
        </is>
      </c>
      <c r="C17" s="14" t="inlineStr">
        <is>
          <t>Es la SUV híbrida de 3 filas ideal para familias grandes, con espacio, seguridad y eficiencia.</t>
        </is>
      </c>
      <c r="D17" s="14" t="inlineStr">
        <is>
      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7" s="14" t="inlineStr">
        <is>
      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7" s="14" t="inlineStr">
        <is>
      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      </is>
      </c>
      <c r="G17" s="14" t="inlineStr">
        <is>
      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      </is>
      </c>
      <c r="H17" s="14" t="inlineStr">
        <is>
      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      </is>
      </c>
      <c r="I17" s="14" t="inlineStr">
        <is>
      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7" s="14" t="inlineStr">
        <is>
          <t>Hola, {NOMBRE}, ¡feliz cumpleaños! Le deseo un excelente día rodeado de quienes más quiere.
Ha sido un gusto acompañarle en su interés por la/el *Highlander HV*, y quedo a sus órdenes para cualquier cosa que necesite. ¡Un fuerte abrazo!</t>
        </is>
      </c>
    </row>
    <row r="18" ht="90" customHeight="1" s="1">
      <c r="A18" s="21" t="n">
        <v>14</v>
      </c>
      <c r="B18" s="14" t="inlineStr">
        <is>
          <t>Sienna HV</t>
        </is>
      </c>
      <c r="C18" s="14" t="inlineStr">
        <is>
          <t>Es una minivan 100% híbrida, con gran espacio para pasajeros y un consumo de combustible muy por debajo del promedio.</t>
        </is>
      </c>
      <c r="D18" s="14" t="inlineStr">
        <is>
      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8" s="14" t="inlineStr">
        <is>
      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8" s="14" t="inlineStr">
        <is>
      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      </is>
      </c>
      <c r="G18" s="14" t="inlineStr">
        <is>
      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      </is>
      </c>
      <c r="H18" s="14" t="inlineStr">
        <is>
      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      </is>
      </c>
      <c r="I18" s="14" t="inlineStr">
        <is>
      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8" s="14" t="inlineStr">
        <is>
          <t>Hola, {NOMBRE}, ¡feliz cumpleaños! Le deseo un excelente día rodeado de quienes más quiere.
Ha sido un gusto acompañarle en su interés por la/el *Sienna HV*, y quedo a sus órdenes para cualquier cosa que necesite. ¡Un fuerte abrazo!</t>
        </is>
      </c>
    </row>
    <row r="19" ht="90" customHeight="1" s="1">
      <c r="A19" s="21" t="n">
        <v>15</v>
      </c>
      <c r="B19" s="14" t="inlineStr">
        <is>
          <t>Sequoia</t>
        </is>
      </c>
      <c r="C19" s="14" t="inlineStr">
        <is>
          <t>Es la SUV grande de Toyota, con capacidad, robustez y presencia para toda la familia.</t>
        </is>
      </c>
      <c r="D19" s="14" t="inlineStr">
        <is>
      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9" s="14" t="inlineStr">
        <is>
      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9" s="14" t="inlineStr">
        <is>
      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      </is>
      </c>
      <c r="G19" s="14" t="inlineStr">
        <is>
      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      </is>
      </c>
      <c r="H19" s="14" t="inlineStr">
        <is>
      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      </is>
      </c>
      <c r="I19" s="14" t="inlineStr">
        <is>
      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9" s="14" t="inlineStr">
        <is>
          <t>Hola, {NOMBRE}, ¡feliz cumpleaños! Le deseo un excelente día rodeado de quienes más quiere.
Ha sido un gusto acompañarle en su interés por la/el *Sequoia*, y quedo a sus órdenes para cualquier cosa que necesite. ¡Un fuerte abrazo!</t>
        </is>
      </c>
    </row>
    <row r="20" ht="90" customHeight="1" s="1">
      <c r="A20" s="21" t="n">
        <v>16</v>
      </c>
      <c r="B20" s="14" t="inlineStr">
        <is>
          <t>Hilux</t>
        </is>
      </c>
      <c r="C20" s="14" t="inlineStr">
        <is>
          <t>Es sinónimo de resistencia y confiabilidad, la pickup preferida para el trabajo pesado.</t>
        </is>
      </c>
      <c r="D20" s="14" t="inlineStr">
        <is>
      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0" s="14" t="inlineStr">
        <is>
      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0" s="14" t="inlineStr">
        <is>
      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      </is>
      </c>
      <c r="G20" s="14" t="inlineStr">
        <is>
      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      </is>
      </c>
      <c r="H20" s="14" t="inlineStr">
        <is>
      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      </is>
      </c>
      <c r="I20" s="14" t="inlineStr">
        <is>
      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0" s="14" t="inlineStr">
        <is>
          <t>Hola, {NOMBRE}, ¡feliz cumpleaños! Le deseo un excelente día rodeado de quienes más quiere.
Ha sido un gusto acompañarle en su interés por la/el *Hilux*, y quedo a sus órdenes para cualquier cosa que necesite. ¡Un fuerte abrazo!</t>
        </is>
      </c>
    </row>
    <row r="21" ht="90" customHeight="1" s="1">
      <c r="A21" s="21" t="n">
        <v>17</v>
      </c>
      <c r="B21" s="14" t="inlineStr">
        <is>
          <t>Hilux Diesel</t>
        </is>
      </c>
      <c r="C21" s="14" t="inlineStr">
        <is>
          <t>Con motor diésel entrega mayor torque y rendimiento de combustible para trabajo pesado.</t>
        </is>
      </c>
      <c r="D21" s="14" t="inlineStr">
        <is>
      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1" s="14" t="inlineStr">
        <is>
      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1" s="14" t="inlineStr">
        <is>
      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      </is>
      </c>
      <c r="G21" s="14" t="inlineStr">
        <is>
      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      </is>
      </c>
      <c r="H21" s="14" t="inlineStr">
        <is>
      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      </is>
      </c>
      <c r="I21" s="14" t="inlineStr">
        <is>
      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1" s="14" t="inlineStr">
        <is>
          <t>Hola, {NOMBRE}, ¡feliz cumpleaños! Le deseo un excelente día rodeado de quienes más quiere.
Ha sido un gusto acompañarle en su interés por la/el *Hilux Diesel*, y quedo a sus órdenes para cualquier cosa que necesite. ¡Un fuerte abrazo!</t>
        </is>
      </c>
    </row>
    <row r="22" ht="90" customHeight="1" s="1">
      <c r="A22" s="21" t="n">
        <v>18</v>
      </c>
      <c r="B22" s="14" t="inlineStr">
        <is>
          <t>Hilux HV</t>
        </is>
      </c>
      <c r="C22" s="14" t="inlineStr">
        <is>
          <t>Combina la robustez que caracteriza a Hilux con tecnología híbrida para mayor eficiencia.</t>
        </is>
      </c>
      <c r="D22" s="14" t="inlineStr">
        <is>
      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2" s="14" t="inlineStr">
        <is>
      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2" s="14" t="inlineStr">
        <is>
      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      </is>
      </c>
      <c r="G22" s="14" t="inlineStr">
        <is>
      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      </is>
      </c>
      <c r="H22" s="14" t="inlineStr">
        <is>
      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      </is>
      </c>
      <c r="I22" s="14" t="inlineStr">
        <is>
      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2" s="14" t="inlineStr">
        <is>
          <t>Hola, {NOMBRE}, ¡feliz cumpleaños! Le deseo un excelente día rodeado de quienes más quiere.
Ha sido un gusto acompañarle en su interés por la/el *Hilux HV*, y quedo a sus órdenes para cualquier cosa que necesite. ¡Un fuerte abrazo!</t>
        </is>
      </c>
    </row>
    <row r="23" ht="90" customHeight="1" s="1">
      <c r="A23" s="21" t="n">
        <v>19</v>
      </c>
      <c r="B23" s="14" t="inlineStr">
        <is>
          <t>Tacoma SR</t>
        </is>
      </c>
      <c r="C23" s="14" t="inlineStr">
        <is>
          <t>Es la puerta de entrada a la nueva generación Tacoma, con la robustez y confiabilidad de siempre.</t>
        </is>
      </c>
      <c r="D23" s="14" t="inlineStr">
        <is>
      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3" s="14" t="inlineStr">
        <is>
      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3" s="14" t="inlineStr">
        <is>
      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      </is>
      </c>
      <c r="G23" s="14" t="inlineStr">
        <is>
      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      </is>
      </c>
      <c r="H23" s="14" t="inlineStr">
        <is>
      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      </is>
      </c>
      <c r="I23" s="14" t="inlineStr">
        <is>
      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3" s="14" t="inlineStr">
        <is>
          <t>Hola, {NOMBRE}, ¡feliz cumpleaños! Le deseo un excelente día rodeado de quienes más quiere.
Ha sido un gusto acompañarle en su interés por la/el *Tacoma SR*, y quedo a sus órdenes para cualquier cosa que necesite. ¡Un fuerte abrazo!</t>
        </is>
      </c>
    </row>
    <row r="24" ht="90" customHeight="1" s="1">
      <c r="A24" s="21" t="n">
        <v>20</v>
      </c>
      <c r="B24" s="14" t="inlineStr">
        <is>
          <t>Tacoma TRD</t>
        </is>
      </c>
      <c r="C24" s="14" t="inlineStr">
        <is>
          <t>Trae el equipamiento deportivo TRD para quienes buscan carácter dentro y fuera de la ciudad.</t>
        </is>
      </c>
      <c r="D24" s="14" t="inlineStr">
        <is>
      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4" s="14" t="inlineStr">
        <is>
      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4" s="14" t="inlineStr">
        <is>
      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      </is>
      </c>
      <c r="G24" s="14" t="inlineStr">
        <is>
      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      </is>
      </c>
      <c r="H24" s="14" t="inlineStr">
        <is>
      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      </is>
      </c>
      <c r="I24" s="14" t="inlineStr">
        <is>
      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4" s="14" t="inlineStr">
        <is>
          <t>Hola, {NOMBRE}, ¡feliz cumpleaños! Le deseo un excelente día rodeado de quienes más quiere.
Ha sido un gusto acompañarle en su interés por la/el *Tacoma TRD*, y quedo a sus órdenes para cualquier cosa que necesite. ¡Un fuerte abrazo!</t>
        </is>
      </c>
    </row>
    <row r="25" ht="90" customHeight="1" s="1">
      <c r="A25" s="21" t="n">
        <v>21</v>
      </c>
      <c r="B25" s="14" t="inlineStr">
        <is>
          <t>Tacoma TRD Off Road</t>
        </is>
      </c>
      <c r="C25" s="14" t="inlineStr">
        <is>
          <t>Está preparada con suspensión y equipo especial para dominar terracería y caminos difíciles.</t>
        </is>
      </c>
      <c r="D25" s="14" t="inlineStr">
        <is>
      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5" s="14" t="inlineStr">
        <is>
      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5" s="14" t="inlineStr">
        <is>
      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      </is>
      </c>
      <c r="G25" s="14" t="inlineStr">
        <is>
      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      </is>
      </c>
      <c r="H25" s="14" t="inlineStr">
        <is>
      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      </is>
      </c>
      <c r="I25" s="14" t="inlineStr">
        <is>
      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5" s="14" t="inlineStr">
        <is>
          <t>Hola, {NOMBRE}, ¡feliz cumpleaños! Le deseo un excelente día rodeado de quienes más quiere.
Ha sido un gusto acompañarle en su interés por la/el *Tacoma TRD Off Road*, y quedo a sus órdenes para cualquier cosa que necesite. ¡Un fuerte abrazo!</t>
        </is>
      </c>
    </row>
    <row r="26" ht="90" customHeight="1" s="1">
      <c r="A26" s="21" t="n">
        <v>22</v>
      </c>
      <c r="B26" s="14" t="inlineStr">
        <is>
          <t>Tacoma HV</t>
        </is>
      </c>
      <c r="C26" s="14" t="inlineStr">
        <is>
          <t>Suma tecnología híbrida i-FORCE MAX a la capacidad y robustez que caracteriza a Tacoma.</t>
        </is>
      </c>
      <c r="D26" s="14" t="inlineStr">
        <is>
      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6" s="14" t="inlineStr">
        <is>
      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6" s="14" t="inlineStr">
        <is>
      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      </is>
      </c>
      <c r="G26" s="14" t="inlineStr">
        <is>
      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      </is>
      </c>
      <c r="H26" s="14" t="inlineStr">
        <is>
      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      </is>
      </c>
      <c r="I26" s="14" t="inlineStr">
        <is>
      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6" s="14" t="inlineStr">
        <is>
          <t>Hola, {NOMBRE}, ¡feliz cumpleaños! Le deseo un excelente día rodeado de quienes más quiere.
Ha sido un gusto acompañarle en su interés por la/el *Tacoma HV*, y quedo a sus órdenes para cualquier cosa que necesite. ¡Un fuerte abrazo!</t>
        </is>
      </c>
    </row>
    <row r="27" ht="90" customHeight="1" s="1">
      <c r="A27" s="21" t="n">
        <v>23</v>
      </c>
      <c r="B27" s="14" t="inlineStr">
        <is>
          <t>Tacoma TRD Pro</t>
        </is>
      </c>
      <c r="C27" s="14" t="inlineStr">
        <is>
          <t>Es la versión tope de gama todo terreno, con el mayor desempeño off-road de la línea Tacoma.</t>
        </is>
      </c>
      <c r="D27" s="14" t="inlineStr">
        <is>
      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7" s="14" t="inlineStr">
        <is>
      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7" s="14" t="inlineStr">
        <is>
      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      </is>
      </c>
      <c r="G27" s="14" t="inlineStr">
        <is>
      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      </is>
      </c>
      <c r="H27" s="14" t="inlineStr">
        <is>
      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      </is>
      </c>
      <c r="I27" s="14" t="inlineStr">
        <is>
      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7" s="14" t="inlineStr">
        <is>
          <t>Hola, {NOMBRE}, ¡feliz cumpleaños! Le deseo un excelente día rodeado de quienes más quiere.
Ha sido un gusto acompañarle en su interés por la/el *Tacoma TRD Pro*, y quedo a sus órdenes para cualquier cosa que necesite. ¡Un fuerte abrazo!</t>
        </is>
      </c>
    </row>
    <row r="28" ht="90" customHeight="1" s="1">
      <c r="A28" s="21" t="n">
        <v>24</v>
      </c>
      <c r="B28" s="14" t="inlineStr">
        <is>
          <t>4Runner</t>
        </is>
      </c>
      <c r="C28" s="14" t="inlineStr">
        <is>
          <t>Es la SUV todo terreno con la tradición y robustez que la han hecho un ícono en aventura y confiabilidad.</t>
        </is>
      </c>
      <c r="D28" s="14" t="inlineStr">
        <is>
      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8" s="14" t="inlineStr">
        <is>
      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8" s="14" t="inlineStr">
        <is>
      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      </is>
      </c>
      <c r="G28" s="14" t="inlineStr">
        <is>
      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      </is>
      </c>
      <c r="H28" s="14" t="inlineStr">
        <is>
      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      </is>
      </c>
      <c r="I28" s="14" t="inlineStr">
        <is>
      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8" s="14" t="inlineStr">
        <is>
          <t>Hola, {NOMBRE}, ¡feliz cumpleaños! Le deseo un excelente día rodeado de quienes más quiere.
Ha sido un gusto acompañarle en su interés por la/el *4Runner*, y quedo a sus órdenes para cualquier cosa que necesite. ¡Un fuerte abrazo!</t>
        </is>
      </c>
    </row>
    <row r="29" ht="90" customHeight="1" s="1">
      <c r="A29" s="21" t="n">
        <v>25</v>
      </c>
      <c r="B29" s="14" t="inlineStr">
        <is>
          <t>Tundra</t>
        </is>
      </c>
      <c r="C29" s="14" t="inlineStr">
        <is>
          <t>Es la pickup grande de Toyota, con la mayor capacidad de carga y remolque de la línea.</t>
        </is>
      </c>
      <c r="D29" s="14" t="inlineStr">
        <is>
      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9" s="14" t="inlineStr">
        <is>
      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9" s="14" t="inlineStr">
        <is>
      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      </is>
      </c>
      <c r="G29" s="14" t="inlineStr">
        <is>
      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      </is>
      </c>
      <c r="H29" s="14" t="inlineStr">
        <is>
      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      </is>
      </c>
      <c r="I29" s="14" t="inlineStr">
        <is>
      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9" s="14" t="inlineStr">
        <is>
          <t>Hola, {NOMBRE}, ¡feliz cumpleaños! Le deseo un excelente día rodeado de quienes más quiere.
Ha sido un gusto acompañarle en su interés por la/el *Tundra*, y quedo a sus órdenes para cualquier cosa que necesite. ¡Un fuerte abrazo!</t>
        </is>
      </c>
    </row>
  </sheetData>
  <autoFilter ref="A4:J29"/>
  <mergeCells count="4">
    <mergeCell ref="A1:J1"/>
    <mergeCell ref="A2:B2"/>
    <mergeCell ref="A3:J3"/>
    <mergeCell ref="C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topLeftCell="C2" zoomScaleNormal="100" workbookViewId="0">
      <selection activeCell="A1" sqref="A1"/>
    </sheetView>
  </sheetViews>
  <sheetFormatPr baseColWidth="8" defaultColWidth="8.7421875" defaultRowHeight="15"/>
  <cols>
    <col width="16.0078125" customWidth="1" style="1" min="1" max="1"/>
    <col width="29.99609375" customWidth="1" style="1" min="2" max="2"/>
    <col width="69.94921875" customWidth="1" style="1" min="3" max="3"/>
  </cols>
  <sheetData>
    <row r="1" ht="15.75" customHeight="1" s="1">
      <c r="A1" s="35" t="inlineStr">
        <is>
          <t>Requisitos por método de compra y tipo de persona</t>
        </is>
      </c>
    </row>
    <row r="3" ht="15" customHeight="1" s="1">
      <c r="A3" s="23" t="inlineStr">
        <is>
          <t>Método de Compra</t>
        </is>
      </c>
      <c r="B3" s="23" t="inlineStr">
        <is>
          <t>Tipo de Persona</t>
        </is>
      </c>
      <c r="C3" s="23" t="inlineStr">
        <is>
          <t>Requisito</t>
        </is>
      </c>
    </row>
    <row r="4" ht="15" customHeight="1" s="1">
      <c r="A4" s="10" t="inlineStr">
        <is>
          <t>Crédito</t>
        </is>
      </c>
      <c r="B4" s="10" t="inlineStr">
        <is>
          <t>Persona física</t>
        </is>
      </c>
      <c r="C4" s="10" t="inlineStr">
        <is>
          <t>INE</t>
        </is>
      </c>
    </row>
    <row r="5" ht="15" customHeight="1" s="1">
      <c r="A5" s="10" t="inlineStr">
        <is>
          <t>Crédito</t>
        </is>
      </c>
      <c r="B5" s="10" t="inlineStr">
        <is>
          <t>Persona física</t>
        </is>
      </c>
      <c r="C5" s="10" t="inlineStr">
        <is>
          <t>Comprobante de domicilio (luz), a nombre del titular</t>
        </is>
      </c>
    </row>
    <row r="6" ht="15" customHeight="1" s="1">
      <c r="A6" s="10" t="inlineStr">
        <is>
          <t>Crédito</t>
        </is>
      </c>
      <c r="B6" s="10" t="inlineStr">
        <is>
          <t>Persona física</t>
        </is>
      </c>
      <c r="C6" s="10" t="inlineStr">
        <is>
          <t>Estados de cuenta de los últimos 3 meses</t>
        </is>
      </c>
    </row>
    <row r="7" ht="15" customHeight="1" s="1">
      <c r="A7" s="10" t="inlineStr">
        <is>
          <t>Crédito</t>
        </is>
      </c>
      <c r="B7" s="10" t="inlineStr">
        <is>
          <t>Persona física</t>
        </is>
      </c>
      <c r="C7" s="10" t="inlineStr">
        <is>
          <t>Constancia de situación fiscal (no mayor a 3 meses)</t>
        </is>
      </c>
    </row>
    <row r="8" ht="23.25" customHeight="1" s="1">
      <c r="A8" s="10" t="inlineStr">
        <is>
          <t>Crédito</t>
        </is>
      </c>
      <c r="B8" s="10" t="inlineStr">
        <is>
          <t>Persona física con actividad empresarial</t>
        </is>
      </c>
      <c r="C8" s="10" t="inlineStr">
        <is>
          <t>INE</t>
        </is>
      </c>
    </row>
    <row r="9" ht="23.25" customHeight="1" s="1">
      <c r="A9" s="10" t="inlineStr">
        <is>
          <t>Crédito</t>
        </is>
      </c>
      <c r="B9" s="10" t="inlineStr">
        <is>
          <t>Persona física con actividad empresarial</t>
        </is>
      </c>
      <c r="C9" s="10" t="inlineStr">
        <is>
          <t>Comprobante de domicilio (luz), a nombre del titular</t>
        </is>
      </c>
    </row>
    <row r="10" ht="23.25" customHeight="1" s="1">
      <c r="A10" s="10" t="inlineStr">
        <is>
          <t>Crédito</t>
        </is>
      </c>
      <c r="B10" s="10" t="inlineStr">
        <is>
          <t>Persona física con actividad empresarial</t>
        </is>
      </c>
      <c r="C10" s="10" t="inlineStr">
        <is>
          <t>Estados de cuenta de los últimos 3 meses</t>
        </is>
      </c>
    </row>
    <row r="11" ht="23.25" customHeight="1" s="1">
      <c r="A11" s="10" t="inlineStr">
        <is>
          <t>Crédito</t>
        </is>
      </c>
      <c r="B11" s="10" t="inlineStr">
        <is>
          <t>Persona física con actividad empresarial</t>
        </is>
      </c>
      <c r="C11" s="10" t="inlineStr">
        <is>
          <t>Constancia de situación fiscal (no mayor a 3 meses)</t>
        </is>
      </c>
    </row>
    <row r="12" ht="23.25" customHeight="1" s="1">
      <c r="A12" s="10" t="inlineStr">
        <is>
          <t>Crédito</t>
        </is>
      </c>
      <c r="B12" s="10" t="inlineStr">
        <is>
          <t>Persona física con actividad empresarial</t>
        </is>
      </c>
      <c r="C12" s="10" t="inlineStr">
        <is>
          <t>Última declaración anual con acuse de recibo</t>
        </is>
      </c>
    </row>
    <row r="13" ht="15" customHeight="1" s="1">
      <c r="A13" s="10" t="inlineStr">
        <is>
          <t>Crédito</t>
        </is>
      </c>
      <c r="B13" s="10" t="inlineStr">
        <is>
          <t>Persona moral</t>
        </is>
      </c>
      <c r="C13" s="10" t="inlineStr">
        <is>
          <t>Identificación oficial vigente del representante legal (INE o pasaporte)</t>
        </is>
      </c>
    </row>
    <row r="14" ht="15" customHeight="1" s="1">
      <c r="A14" s="10" t="inlineStr">
        <is>
          <t>Crédito</t>
        </is>
      </c>
      <c r="B14" s="10" t="inlineStr">
        <is>
          <t>Persona moral</t>
        </is>
      </c>
      <c r="C14" s="10" t="inlineStr">
        <is>
          <t>Comprobante de domicilio fiscal de la empresa (CFE, no mayor a 3 meses)</t>
        </is>
      </c>
    </row>
    <row r="15" ht="15" customHeight="1" s="1">
      <c r="A15" s="10" t="inlineStr">
        <is>
          <t>Crédito</t>
        </is>
      </c>
      <c r="B15" s="10" t="inlineStr">
        <is>
          <t>Persona moral</t>
        </is>
      </c>
      <c r="C15" s="10" t="inlineStr">
        <is>
          <t>Comprobante de domicilio del representante legal (CFE, no mayor a 3 meses)</t>
        </is>
      </c>
    </row>
    <row r="16" ht="15" customHeight="1" s="1">
      <c r="A16" s="10" t="inlineStr">
        <is>
          <t>Crédito</t>
        </is>
      </c>
      <c r="B16" s="10" t="inlineStr">
        <is>
          <t>Persona moral</t>
        </is>
      </c>
      <c r="C16" s="10" t="inlineStr">
        <is>
          <t>Últimos 3 meses de estados de cuenta bancarios de la empresa</t>
        </is>
      </c>
    </row>
    <row r="17" ht="15" customHeight="1" s="1">
      <c r="A17" s="10" t="inlineStr">
        <is>
          <t>Crédito</t>
        </is>
      </c>
      <c r="B17" s="10" t="inlineStr">
        <is>
          <t>Persona moral</t>
        </is>
      </c>
      <c r="C17" s="10" t="inlineStr">
        <is>
          <t>Constancia de situación fiscal de la empresa (no mayor a 3 meses)</t>
        </is>
      </c>
    </row>
    <row r="18" ht="15" customHeight="1" s="1">
      <c r="A18" s="10" t="inlineStr">
        <is>
          <t>Crédito</t>
        </is>
      </c>
      <c r="B18" s="10" t="inlineStr">
        <is>
          <t>Persona moral</t>
        </is>
      </c>
      <c r="C18" s="10" t="inlineStr">
        <is>
          <t>Constancia de situación fiscal del representante legal (no mayor a 3 meses)</t>
        </is>
      </c>
    </row>
    <row r="19" ht="15" customHeight="1" s="1">
      <c r="A19" s="10" t="inlineStr">
        <is>
          <t>Crédito</t>
        </is>
      </c>
      <c r="B19" s="10" t="inlineStr">
        <is>
          <t>Persona moral</t>
        </is>
      </c>
      <c r="C19" s="10" t="inlineStr">
        <is>
          <t>Declaración anual del último ejercicio, en digital, con acuse de recibo</t>
        </is>
      </c>
    </row>
    <row r="20" ht="23.25" customHeight="1" s="1">
      <c r="A20" s="10" t="inlineStr">
        <is>
          <t>Crédito</t>
        </is>
      </c>
      <c r="B20" s="10" t="inlineStr">
        <is>
          <t>Persona moral</t>
        </is>
      </c>
      <c r="C20" s="10" t="inlineStr">
        <is>
          <t>Estados financieros de la empresa (Resultados y Balance General), no mayor a 3 meses</t>
        </is>
      </c>
    </row>
    <row r="21" ht="23.25" customHeight="1" s="1">
      <c r="A21" s="10" t="inlineStr">
        <is>
          <t>Crédito</t>
        </is>
      </c>
      <c r="B21" s="10" t="inlineStr">
        <is>
          <t>Persona moral</t>
        </is>
      </c>
      <c r="C21" s="10" t="inlineStr">
        <is>
          <t>Escritura constitutiva, poderes o reformas de estatutos (primer acta, poder del representante y última acta)</t>
        </is>
      </c>
    </row>
    <row r="22" ht="15" customHeight="1" s="1">
      <c r="A22" s="10" t="inlineStr">
        <is>
          <t>Contado</t>
        </is>
      </c>
      <c r="B22" s="10" t="inlineStr">
        <is>
          <t>Persona física</t>
        </is>
      </c>
      <c r="C22" s="10" t="inlineStr">
        <is>
          <t>INE</t>
        </is>
      </c>
    </row>
    <row r="23" ht="15" customHeight="1" s="1">
      <c r="A23" s="10" t="inlineStr">
        <is>
          <t>Contado</t>
        </is>
      </c>
      <c r="B23" s="10" t="inlineStr">
        <is>
          <t>Persona física</t>
        </is>
      </c>
      <c r="C23" s="10" t="inlineStr">
        <is>
          <t>Comprobante de domicilio</t>
        </is>
      </c>
    </row>
    <row r="24" ht="15" customHeight="1" s="1">
      <c r="A24" s="10" t="inlineStr">
        <is>
          <t>Contado</t>
        </is>
      </c>
      <c r="B24" s="10" t="inlineStr">
        <is>
          <t>Persona física</t>
        </is>
      </c>
      <c r="C24" s="10" t="inlineStr">
        <is>
          <t>Constancia de situación fiscal (no mayor a 3 meses)</t>
        </is>
      </c>
    </row>
    <row r="25" ht="23.25" customHeight="1" s="1">
      <c r="A25" s="10" t="inlineStr">
        <is>
          <t>Contado</t>
        </is>
      </c>
      <c r="B25" s="10" t="inlineStr">
        <is>
          <t>Persona física con actividad empresarial</t>
        </is>
      </c>
      <c r="C25" s="10" t="inlineStr">
        <is>
          <t>INE</t>
        </is>
      </c>
    </row>
    <row r="26" ht="23.25" customHeight="1" s="1">
      <c r="A26" s="10" t="inlineStr">
        <is>
          <t>Contado</t>
        </is>
      </c>
      <c r="B26" s="10" t="inlineStr">
        <is>
          <t>Persona física con actividad empresarial</t>
        </is>
      </c>
      <c r="C26" s="10" t="inlineStr">
        <is>
          <t>Comprobante de domicilio</t>
        </is>
      </c>
    </row>
    <row r="27" ht="23.25" customHeight="1" s="1">
      <c r="A27" s="10" t="inlineStr">
        <is>
          <t>Contado</t>
        </is>
      </c>
      <c r="B27" s="10" t="inlineStr">
        <is>
          <t>Persona física con actividad empresarial</t>
        </is>
      </c>
      <c r="C27" s="10" t="inlineStr">
        <is>
          <t>Constancia de situación fiscal (no mayor a 3 meses)</t>
        </is>
      </c>
    </row>
    <row r="28" ht="15" customHeight="1" s="1">
      <c r="A28" s="10" t="inlineStr">
        <is>
          <t>Contado</t>
        </is>
      </c>
      <c r="B28" s="10" t="inlineStr">
        <is>
          <t>Persona moral</t>
        </is>
      </c>
      <c r="C28" s="10" t="inlineStr">
        <is>
          <t>Identificación oficial vigente del representante legal y accionistas</t>
        </is>
      </c>
    </row>
    <row r="29" ht="15" customHeight="1" s="1">
      <c r="A29" s="10" t="inlineStr">
        <is>
          <t>Contado</t>
        </is>
      </c>
      <c r="B29" s="10" t="inlineStr">
        <is>
          <t>Persona moral</t>
        </is>
      </c>
      <c r="C29" s="10" t="inlineStr">
        <is>
          <t>Comprobante de domicilio fiscal de la empresa (no mayor a 3 meses)</t>
        </is>
      </c>
    </row>
    <row r="30" ht="15" customHeight="1" s="1">
      <c r="A30" s="10" t="inlineStr">
        <is>
          <t>Contado</t>
        </is>
      </c>
      <c r="B30" s="10" t="inlineStr">
        <is>
          <t>Persona moral</t>
        </is>
      </c>
      <c r="C30" s="10" t="inlineStr">
        <is>
          <t>Comprobante de domicilio del representante legal y accionistas (no mayor a 3 meses)</t>
        </is>
      </c>
    </row>
    <row r="31" ht="15" customHeight="1" s="1">
      <c r="A31" s="10" t="inlineStr">
        <is>
          <t>Contado</t>
        </is>
      </c>
      <c r="B31" s="10" t="inlineStr">
        <is>
          <t>Persona moral</t>
        </is>
      </c>
      <c r="C31" s="10" t="inlineStr">
        <is>
          <t>Constancia de situación fiscal de la empresa (no mayor a 3 meses)</t>
        </is>
      </c>
    </row>
    <row r="32" ht="23.25" customHeight="1" s="1">
      <c r="A32" s="10" t="inlineStr">
        <is>
          <t>Contado</t>
        </is>
      </c>
      <c r="B32" s="10" t="inlineStr">
        <is>
          <t>Persona moral</t>
        </is>
      </c>
      <c r="C32" s="10" t="inlineStr">
        <is>
          <t>Constancia de situación fiscal del representante legal y accionistas (no mayor a 3 meses)</t>
        </is>
      </c>
    </row>
    <row r="33" ht="23.25" customHeight="1" s="1">
      <c r="A33" s="10" t="inlineStr">
        <is>
          <t>Contado</t>
        </is>
      </c>
      <c r="B33" s="10" t="inlineStr">
        <is>
          <t>Persona moral</t>
        </is>
      </c>
      <c r="C33" s="10" t="inlineStr">
        <is>
          <t>Escritura constitutiva, poderes o reformas de estatutos (primer acta, poder del representante y última acta)</t>
        </is>
      </c>
    </row>
    <row r="36" ht="15" customHeight="1" s="1">
      <c r="A36" s="36" t="inlineStr">
        <is>
          <t>Beneficios del financiamiento Toyota</t>
        </is>
      </c>
    </row>
    <row r="37" ht="23.25" customHeight="1" s="1">
      <c r="A37" t="inlineStr">
        <is>
          <t>•</t>
        </is>
      </c>
      <c r="B37" s="34" t="inlineStr">
        <is>
          <t>Seguro integrado a la mensualidad, con costo fijo durante toda la vigencia del crédito y sin penalización por liquidación anticipada.</t>
        </is>
      </c>
    </row>
    <row r="38" ht="23.25" customHeight="1" s="1">
      <c r="A38" t="inlineStr">
        <is>
          <t>•</t>
        </is>
      </c>
      <c r="B38" s="34" t="inlineStr">
        <is>
          <t>Deducibles preferenciales y agilidad en la indemnización por robo (aprox. 15 a 20 días), con reparaciones siempre en agencia Toyota.</t>
        </is>
      </c>
    </row>
    <row r="39" ht="23.25" customHeight="1" s="1">
      <c r="A39" t="inlineStr">
        <is>
          <t>•</t>
        </is>
      </c>
      <c r="B39" s="34" t="inlineStr">
        <is>
          <t>Protección extendida y asistencia vial hasta por 7 años o 150,000 km, protección de por vida contra robo de autopartes y cobertura de valor factura hasta 4 años.</t>
        </is>
      </c>
    </row>
    <row r="40" ht="23.25" customHeight="1" s="1">
      <c r="A40" t="inlineStr">
        <is>
          <t>•</t>
        </is>
      </c>
      <c r="B40" s="34" t="inlineStr">
        <is>
          <t>Financiamiento flexible: se pueden hacer aportaciones adicionales sin penalización, para reducir la mensualidad o acortar el plazo.</t>
        </is>
      </c>
    </row>
  </sheetData>
  <autoFilter ref="A3:C33"/>
  <mergeCells count="6">
    <mergeCell ref="B39:C39"/>
    <mergeCell ref="B38:C38"/>
    <mergeCell ref="A36:C36"/>
    <mergeCell ref="A1:C1"/>
    <mergeCell ref="B37:C37"/>
    <mergeCell ref="B40:C4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topLeftCell="A4" zoomScaleNormal="100" workbookViewId="0">
      <selection activeCell="B14" sqref="B14"/>
    </sheetView>
  </sheetViews>
  <sheetFormatPr baseColWidth="8" defaultColWidth="8.7421875" defaultRowHeight="15"/>
  <cols>
    <col width="27.98046875" customWidth="1" style="1" min="1" max="1"/>
    <col width="39.953125" customWidth="1" style="1" min="2" max="2"/>
  </cols>
  <sheetData>
    <row r="1" ht="15" customHeight="1" s="1">
      <c r="A1" s="23" t="inlineStr">
        <is>
          <t>Vehículo</t>
        </is>
      </c>
      <c r="B1" s="23" t="inlineStr">
        <is>
          <t>Archivo PDF (carpeta 'fichas')</t>
        </is>
      </c>
    </row>
    <row r="2" ht="15" customHeight="1" s="1">
      <c r="A2" s="24" t="inlineStr">
        <is>
          <t>Yaris Sedan</t>
        </is>
      </c>
      <c r="B2" s="24" t="inlineStr">
        <is>
          <t>Ficha_Yaris_Sedan.pdf</t>
        </is>
      </c>
    </row>
    <row r="3" ht="15" customHeight="1" s="1">
      <c r="A3" s="24" t="inlineStr">
        <is>
          <t>Yaris Sedan HEV</t>
        </is>
      </c>
      <c r="B3" s="24" t="inlineStr">
        <is>
          <t>Ficha_Yaris_Sedan_HEV.pdf</t>
        </is>
      </c>
    </row>
    <row r="4" ht="15" customHeight="1" s="1">
      <c r="A4" s="24" t="inlineStr">
        <is>
          <t>Yaris HB</t>
        </is>
      </c>
      <c r="B4" s="24" t="inlineStr">
        <is>
          <t>Ficha_Yaris_HB.pdf</t>
        </is>
      </c>
    </row>
    <row r="5" ht="15" customHeight="1" s="1">
      <c r="A5" s="24" t="inlineStr">
        <is>
          <t>GR Yaris</t>
        </is>
      </c>
      <c r="B5" s="24" t="inlineStr">
        <is>
          <t>Ficha_GR_Yaris.pdf</t>
        </is>
      </c>
    </row>
    <row r="6" ht="15" customHeight="1" s="1">
      <c r="A6" s="24" t="inlineStr">
        <is>
          <t>Corolla</t>
        </is>
      </c>
      <c r="B6" s="24" t="inlineStr">
        <is>
          <t>Ficha_Corolla.pdf</t>
        </is>
      </c>
    </row>
    <row r="7" ht="15" customHeight="1" s="1">
      <c r="A7" s="24" t="inlineStr">
        <is>
          <t>Corolla HEV</t>
        </is>
      </c>
      <c r="B7" s="24" t="inlineStr">
        <is>
          <t>Ficha_Corolla_HEV.pdf</t>
        </is>
      </c>
    </row>
    <row r="8" ht="15" customHeight="1" s="1">
      <c r="A8" s="24" t="inlineStr">
        <is>
          <t>GR Corolla</t>
        </is>
      </c>
      <c r="B8" s="24" t="inlineStr">
        <is>
          <t>Ficha_GR_Corolla.pdf</t>
        </is>
      </c>
    </row>
    <row r="9" ht="15" customHeight="1" s="1">
      <c r="A9" s="24" t="inlineStr">
        <is>
          <t>Corolla Cross</t>
        </is>
      </c>
      <c r="B9" s="24" t="inlineStr">
        <is>
          <t>Ficha_Corolla_Cross.pdf</t>
        </is>
      </c>
    </row>
    <row r="10" ht="15" customHeight="1" s="1">
      <c r="A10" s="24" t="inlineStr">
        <is>
          <t>Corolla Cross HEV</t>
        </is>
      </c>
      <c r="B10" s="24" t="inlineStr">
        <is>
          <t>Ficha_Corolla_Cross_HEV.pdf</t>
        </is>
      </c>
    </row>
    <row r="11" ht="15" customHeight="1" s="1">
      <c r="A11" s="24" t="inlineStr">
        <is>
          <t>Camry HEV</t>
        </is>
      </c>
      <c r="B11" s="24" t="inlineStr">
        <is>
          <t>Ficha_Camry_HEV.pdf</t>
        </is>
      </c>
    </row>
    <row r="12" ht="15" customHeight="1" s="1">
      <c r="A12" s="24" t="inlineStr">
        <is>
          <t>Prius</t>
        </is>
      </c>
      <c r="B12" s="24" t="inlineStr">
        <is>
          <t>Ficha_Prius.pdf</t>
        </is>
      </c>
    </row>
    <row r="13" ht="15" customHeight="1" s="1">
      <c r="A13" s="24" t="inlineStr">
        <is>
          <t>Supra</t>
        </is>
      </c>
      <c r="B13" s="24" t="inlineStr">
        <is>
          <t>Ficha_Supra.pdf</t>
        </is>
      </c>
    </row>
    <row r="14" ht="15" customHeight="1" s="1">
      <c r="A14" s="24" t="inlineStr">
        <is>
          <t>Raize</t>
        </is>
      </c>
      <c r="B14" s="24" t="inlineStr">
        <is>
          <t>Ficha_Raize.pdf</t>
        </is>
      </c>
    </row>
    <row r="15" ht="15" customHeight="1" s="1">
      <c r="A15" s="24" t="inlineStr">
        <is>
          <t>Avanza</t>
        </is>
      </c>
      <c r="B15" s="24" t="inlineStr">
        <is>
          <t>Ficha_Avanza.pdf</t>
        </is>
      </c>
    </row>
    <row r="16" ht="15" customHeight="1" s="1">
      <c r="A16" s="24" t="inlineStr">
        <is>
          <t>Rav-4 HEV</t>
        </is>
      </c>
      <c r="B16" s="24" t="inlineStr">
        <is>
          <t>Ficha_RAV4_HEV.pdf</t>
        </is>
      </c>
    </row>
    <row r="17" ht="15" customHeight="1" s="1">
      <c r="A17" s="24" t="inlineStr">
        <is>
          <t>Rav-4 PHEV</t>
        </is>
      </c>
      <c r="B17" s="24" t="inlineStr">
        <is>
          <t>Ficha_RAV4_PHEV.pdf</t>
        </is>
      </c>
    </row>
    <row r="18" ht="15" customHeight="1" s="1">
      <c r="A18" s="24" t="inlineStr">
        <is>
          <t>Highlander HEV</t>
        </is>
      </c>
      <c r="B18" s="24" t="inlineStr">
        <is>
          <t>Ficha_Highlander_HEV.pdf</t>
        </is>
      </c>
    </row>
    <row r="19" ht="15" customHeight="1" s="1">
      <c r="A19" s="24" t="inlineStr">
        <is>
          <t>Sienna HEV</t>
        </is>
      </c>
      <c r="B19" s="24" t="inlineStr">
        <is>
          <t>Ficha_Sienna_HEV.pdf</t>
        </is>
      </c>
    </row>
    <row r="20" ht="15" customHeight="1" s="1">
      <c r="A20" s="24" t="inlineStr">
        <is>
          <t>Tacoma</t>
        </is>
      </c>
      <c r="B20" s="24" t="inlineStr">
        <is>
          <t>Ficha_Tacoma.pdf</t>
        </is>
      </c>
    </row>
    <row r="21" ht="15" customHeight="1" s="1">
      <c r="A21" s="24" t="inlineStr">
        <is>
          <t>Tacoma HEV 4x4</t>
        </is>
      </c>
      <c r="B21" s="24" t="inlineStr">
        <is>
          <t>Ficha_Tacoma_HEV_4x4.pdf</t>
        </is>
      </c>
    </row>
    <row r="22" ht="15" customHeight="1" s="1">
      <c r="A22" s="24" t="inlineStr">
        <is>
          <t>Tacoma TRD Pro HEV</t>
        </is>
      </c>
      <c r="B22" s="24" t="inlineStr">
        <is>
          <t>Ficha_Tacoma_TRD_Pro_HEV.pdf</t>
        </is>
      </c>
    </row>
    <row r="23" ht="15" customHeight="1" s="1">
      <c r="A23" s="24" t="inlineStr">
        <is>
          <t>4Runner TRD Pro HEV</t>
        </is>
      </c>
      <c r="B23" s="24" t="inlineStr">
        <is>
          <t>Ficha_4Runner_TRD_Pro_HEV.pdf</t>
        </is>
      </c>
    </row>
    <row r="24" ht="15" customHeight="1" s="1">
      <c r="A24" s="24" t="inlineStr">
        <is>
          <t>4Runner Limited HEV</t>
        </is>
      </c>
      <c r="B24" s="24" t="inlineStr">
        <is>
          <t>Ficha_4Runner_Limited_HEV.pdf</t>
        </is>
      </c>
    </row>
    <row r="25" ht="15" customHeight="1" s="1">
      <c r="A25" s="24" t="inlineStr">
        <is>
          <t>Hiace</t>
        </is>
      </c>
      <c r="B25" s="24" t="inlineStr">
        <is>
          <t>Ficha_Hiace.pdf</t>
        </is>
      </c>
    </row>
    <row r="26" ht="15" customHeight="1" s="1">
      <c r="A26" s="24" t="inlineStr">
        <is>
          <t>Beneficios de Financiamiento</t>
        </is>
      </c>
      <c r="B26" s="24" t="inlineStr">
        <is>
          <t>Beneficios_Financiamiento_Toyota.pdf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baseColWidth="8" defaultColWidth="8.7421875" defaultRowHeight="15"/>
  <cols>
    <col width="20.04296875" customWidth="1" style="1" min="1" max="1"/>
    <col width="16.0078125" customWidth="1" style="1" min="2" max="2"/>
    <col width="25.9609375" customWidth="1" style="1" min="3" max="3"/>
    <col width="16.0078125" customWidth="1" style="1" min="4" max="5"/>
    <col width="13.046875" customWidth="1" style="1" min="6" max="6"/>
    <col width="22.05859375" customWidth="1" style="1" min="7" max="7"/>
    <col width="18.0234375" customWidth="1" style="1" min="8" max="8"/>
    <col width="16.0078125" customWidth="1" style="1" min="9" max="9"/>
    <col width="13.046875" customWidth="1" style="1" min="10" max="10"/>
    <col width="22.05859375" customWidth="1" style="1" min="11" max="11"/>
    <col width="18.0234375" customWidth="1" style="1" min="12" max="12"/>
    <col width="13.98828125" customWidth="1" style="1" min="13" max="13"/>
    <col width="22.05859375" customWidth="1" style="1" min="14" max="14"/>
    <col width="18.0234375" customWidth="1" style="1" min="15" max="15"/>
    <col width="13.98828125" customWidth="1" style="1" min="16" max="16"/>
    <col width="41.96875" customWidth="1" style="1" min="17" max="17"/>
    <col width="18.0234375" customWidth="1" style="1" min="18" max="18"/>
  </cols>
  <sheetData>
    <row r="1" ht="23.25" customHeight="1" s="1">
      <c r="A1" s="25" t="inlineStr">
        <is>
          <t>Cliente</t>
        </is>
      </c>
      <c r="B1" s="25" t="inlineStr">
        <is>
          <t>RFC</t>
        </is>
      </c>
      <c r="C1" s="25" t="inlineStr">
        <is>
          <t>Domicilio Fiscal</t>
        </is>
      </c>
      <c r="D1" s="25" t="inlineStr">
        <is>
          <t>Uso de CFDI</t>
        </is>
      </c>
      <c r="E1" s="25" t="inlineStr">
        <is>
          <t>Régimen</t>
        </is>
      </c>
      <c r="F1" s="25" t="inlineStr">
        <is>
          <t>Tel</t>
        </is>
      </c>
      <c r="G1" s="25" t="inlineStr">
        <is>
          <t>Correo</t>
        </is>
      </c>
      <c r="H1" s="25" t="inlineStr">
        <is>
          <t>Contacto Emergencia</t>
        </is>
      </c>
      <c r="I1" s="25" t="inlineStr">
        <is>
          <t>Conductor</t>
        </is>
      </c>
      <c r="J1" s="25" t="inlineStr">
        <is>
          <t>Tel Conductor</t>
        </is>
      </c>
      <c r="K1" s="25" t="inlineStr">
        <is>
          <t>Correo Conductor</t>
        </is>
      </c>
      <c r="L1" s="25" t="inlineStr">
        <is>
          <t>Responsable Mto.</t>
        </is>
      </c>
      <c r="M1" s="25" t="inlineStr">
        <is>
          <t>Tel Responsable</t>
        </is>
      </c>
      <c r="N1" s="25" t="inlineStr">
        <is>
          <t>Correo Responsable</t>
        </is>
      </c>
      <c r="O1" s="25" t="inlineStr">
        <is>
          <t>Unidad a Facturar</t>
        </is>
      </c>
      <c r="P1" s="25" t="inlineStr">
        <is>
          <t>Valor Factura</t>
        </is>
      </c>
      <c r="Q1" s="25" t="inlineStr">
        <is>
          <t>Mensaje de Confirmación</t>
        </is>
      </c>
      <c r="R1" s="25" t="inlineStr">
        <is>
          <t>WhatsApp Confirmación</t>
        </is>
      </c>
    </row>
    <row r="2" ht="15" customHeight="1" s="1">
      <c r="A2" s="11" t="inlineStr">
        <is>
          <t>YESICA NAYELLI REYES MARTINEZ</t>
        </is>
      </c>
      <c r="B2" s="11" t="inlineStr">
        <is>
          <t>REMY780831FE6</t>
        </is>
      </c>
      <c r="C2" s="11" t="inlineStr">
        <is>
          <t>REFORMA #476, COL. JUAREZ, CUAUHTEMOC, CDMX</t>
        </is>
      </c>
      <c r="D2" s="11" t="inlineStr">
        <is>
          <t>SIN EFECTOS FISCALES</t>
        </is>
      </c>
      <c r="E2" s="11" t="inlineStr">
        <is>
          <t>SUELDOS Y SALARIOS</t>
        </is>
      </c>
      <c r="F2" s="11" t="inlineStr">
        <is>
          <t>5516524745</t>
        </is>
      </c>
      <c r="G2" s="11" t="inlineStr">
        <is>
          <t>NOVELISCA78@GMAIL.COM</t>
        </is>
      </c>
      <c r="H2" s="11" t="inlineStr">
        <is>
          <t>5513552100</t>
        </is>
      </c>
      <c r="I2" s="11" t="inlineStr">
        <is>
          <t>YESICA NAYELLI REYES MARTINEZ</t>
        </is>
      </c>
      <c r="J2" s="11" t="inlineStr">
        <is>
          <t>5516524745</t>
        </is>
      </c>
      <c r="K2" s="11" t="inlineStr">
        <is>
          <t>NOVELISCA78@GMAIL.COM</t>
        </is>
      </c>
      <c r="L2" s="11" t="inlineStr">
        <is>
          <t>YESICA NAYELLI REYES MARTINEZ</t>
        </is>
      </c>
      <c r="M2" s="11" t="inlineStr">
        <is>
          <t>5516524745</t>
        </is>
      </c>
      <c r="N2" s="11" t="inlineStr">
        <is>
          <t>NOVELISCA78@GMAIL.COM</t>
        </is>
      </c>
      <c r="O2" s="11" t="inlineStr">
        <is>
          <t>COROLLA CROSS, LE, COLOR NEGRO, AUTOMATICA</t>
        </is>
      </c>
      <c r="P2" s="11" t="inlineStr">
        <is>
          <t>547,000</t>
        </is>
      </c>
      <c r="Q2" s="10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>
        <f>IF(A2="","",HYPERLINK("https://wa.me/52"&amp;INDEX(Clientes!$C$2:$C$201,MATCH(A2,Clientes!$B$2:$B$201,0))&amp;"?text="&amp;_xlfn.ENCODEURL(Q2),"Enviar confirmación"))</f>
        <v/>
      </c>
    </row>
    <row r="3" ht="15" customHeight="1" s="1">
      <c r="A3" s="11" t="inlineStr">
        <is>
          <t>SAINTS ENTERPRISES SC</t>
        </is>
      </c>
      <c r="B3" s="11" t="inlineStr">
        <is>
          <t>SEN130712N64</t>
        </is>
      </c>
      <c r="C3" s="11" t="inlineStr">
        <is>
          <t>SANTUARIO DE SRA. DE FRANQUEIRA #93, COL. SANTUARIOS DEL CERRITO, CORREGIDORA, QRO.</t>
        </is>
      </c>
      <c r="D3" s="11" t="inlineStr">
        <is>
          <t>EQUIPO DE TRANSPORTE</t>
        </is>
      </c>
      <c r="E3" s="11" t="inlineStr">
        <is>
          <t>PERSONA MORAL</t>
        </is>
      </c>
      <c r="F3" s="11" t="inlineStr">
        <is>
          <t>4423628789</t>
        </is>
      </c>
      <c r="G3" s="11" t="inlineStr">
        <is>
          <t>SERVICONSULTOR@GMAIL.COM</t>
        </is>
      </c>
      <c r="H3" s="11" t="inlineStr">
        <is>
          <t>4423186494</t>
        </is>
      </c>
      <c r="I3" s="11" t="inlineStr">
        <is>
          <t>VICENTE SANTOS LOPEZ</t>
        </is>
      </c>
      <c r="J3" s="11" t="inlineStr">
        <is>
          <t>4423628789</t>
        </is>
      </c>
      <c r="K3" s="11" t="inlineStr">
        <is>
          <t>SERVICONSULTOR@GMAIL.COM</t>
        </is>
      </c>
      <c r="L3" s="11" t="inlineStr">
        <is>
          <t>VICENTE SANTOS LOPEZ</t>
        </is>
      </c>
      <c r="M3" s="11" t="inlineStr">
        <is>
          <t>4423628789</t>
        </is>
      </c>
      <c r="N3" s="11" t="inlineStr">
        <is>
          <t>SERVICONSULTOR@GMAIL.COM</t>
        </is>
      </c>
      <c r="O3" s="11" t="inlineStr">
        <is>
          <t>CAMRY LE, 2026, COLOR PLATA, AUTOMATICO</t>
        </is>
      </c>
      <c r="P3" s="11" t="inlineStr">
        <is>
          <t>625,600</t>
        </is>
      </c>
      <c r="Q3" s="10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>
        <f>IF(A3="","",HYPERLINK("https://wa.me/52"&amp;INDEX(Clientes!$C$2:$C$201,MATCH(A3,Clientes!$B$2:$B$201,0))&amp;"?text="&amp;_xlfn.ENCODEURL(Q3),"Enviar confirmación"))</f>
        <v/>
      </c>
    </row>
    <row r="4" ht="15" customHeight="1" s="1">
      <c r="A4" s="11" t="inlineStr">
        <is>
          <t>JAVIER AVICK GONZALEZ MUÑOZ</t>
        </is>
      </c>
      <c r="B4" s="11" t="inlineStr">
        <is>
          <t>GOMJ791011TE1</t>
        </is>
      </c>
      <c r="C4" s="11" t="inlineStr">
        <is>
          <t>BLV. ESMERALDA #3, COL. PUNTA ESMERALDA, EL PUEBLITO, CORREGIDORA, QRO</t>
        </is>
      </c>
      <c r="D4" s="11" t="inlineStr">
        <is>
          <t>EQUIPO DE TRANSPORTE</t>
        </is>
      </c>
      <c r="E4" s="11" t="inlineStr">
        <is>
          <t>PERSONA FÍSICA CON ACTIVIDAD EMPRESARIAL</t>
        </is>
      </c>
      <c r="F4" s="11" t="inlineStr">
        <is>
          <t>4424839331</t>
        </is>
      </c>
      <c r="G4" s="11" t="inlineStr">
        <is>
          <t>AVICK79@HOTMAIL.COM</t>
        </is>
      </c>
      <c r="H4" s="11" t="inlineStr">
        <is>
          <t>4422509120</t>
        </is>
      </c>
      <c r="I4" s="11" t="inlineStr">
        <is>
          <t>JAVIER AVICK GONZALEZ MUÑOZ</t>
        </is>
      </c>
      <c r="J4" s="11" t="inlineStr">
        <is>
          <t>4424839331</t>
        </is>
      </c>
      <c r="K4" s="11" t="inlineStr">
        <is>
          <t>AVICK79@HOTMAIL.COM</t>
        </is>
      </c>
      <c r="L4" s="11" t="inlineStr">
        <is>
          <t>JAVIER AVICK GONZALEZ MUÑOZ</t>
        </is>
      </c>
      <c r="M4" s="11" t="inlineStr">
        <is>
          <t>4424839331</t>
        </is>
      </c>
      <c r="N4" s="11" t="inlineStr">
        <is>
          <t>AVICK79@HOTMAIL.COM</t>
        </is>
      </c>
      <c r="O4" s="11" t="inlineStr">
        <is>
          <t>TACOMA TRD 4X2, 2026, COLOR ROJO, AUTOMATICA</t>
        </is>
      </c>
      <c r="P4" s="11" t="inlineStr">
        <is>
          <t>869,900</t>
        </is>
      </c>
      <c r="Q4" s="10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>
        <f>IF(A4="","",HYPERLINK("https://wa.me/52"&amp;INDEX(Clientes!$C$2:$C$201,MATCH(A4,Clientes!$B$2:$B$201,0))&amp;"?text="&amp;_xlfn.ENCODEURL(Q4),"Enviar confirmación"))</f>
        <v/>
      </c>
    </row>
    <row r="5" ht="15" customHeight="1" s="1">
      <c r="A5" s="11" t="inlineStr">
        <is>
          <t>ESTEFANA GARCIA SUAREZ</t>
        </is>
      </c>
      <c r="B5" s="11" t="inlineStr">
        <is>
          <t>GASE7011287C7</t>
        </is>
      </c>
      <c r="C5" s="11" t="inlineStr">
        <is>
          <t xml:space="preserve">MESA DEL MORO #71, COL. MISION SAN JOAQUIN, CORREGIDORA, QRO. </t>
        </is>
      </c>
      <c r="D5" s="11" t="inlineStr">
        <is>
          <t>GASTOS EN GENERAL</t>
        </is>
      </c>
      <c r="E5" s="11" t="inlineStr">
        <is>
          <t>SIMPLIFICADO DE CONFIANZA</t>
        </is>
      </c>
      <c r="F5" s="11" t="inlineStr">
        <is>
          <t>4421430912</t>
        </is>
      </c>
      <c r="G5" s="11" t="inlineStr">
        <is>
          <t>MIKA.CHEF@HOTMAIL.COM</t>
        </is>
      </c>
      <c r="H5" s="11" t="inlineStr">
        <is>
          <t>4421208271</t>
        </is>
      </c>
      <c r="I5" s="11" t="inlineStr">
        <is>
          <t>EUSEBIO MORALES ALVAREZ</t>
        </is>
      </c>
      <c r="J5" s="11" t="inlineStr">
        <is>
          <t>4421208271</t>
        </is>
      </c>
      <c r="K5" s="11" t="inlineStr">
        <is>
          <t>MIKA.CHEF@HOTMAIL.COM</t>
        </is>
      </c>
      <c r="L5" s="11" t="inlineStr">
        <is>
          <t>UESEBIO MORALES LAVAREZ</t>
        </is>
      </c>
      <c r="M5" s="11" t="inlineStr">
        <is>
          <t>4421208271</t>
        </is>
      </c>
      <c r="N5" s="11" t="inlineStr">
        <is>
          <t>MIKA.CHEF@HOTMAIL.COM</t>
        </is>
      </c>
      <c r="O5" s="11" t="inlineStr">
        <is>
          <t>HILUX DIESEL, 2027, COLOR BLANCO, AUTOMATICA</t>
        </is>
      </c>
      <c r="P5" s="11" t="inlineStr">
        <is>
          <t>889,900</t>
        </is>
      </c>
      <c r="Q5" s="10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>
        <f>IF(A5="","",HYPERLINK("https://wa.me/52"&amp;INDEX(Clientes!$C$2:$C$201,MATCH(A5,Clientes!$B$2:$B$201,0))&amp;"?text="&amp;_xlfn.ENCODEURL(Q5),"Enviar confirmación"))</f>
        <v/>
      </c>
    </row>
    <row r="6" ht="15" customHeight="1" s="1">
      <c r="A6" s="11" t="inlineStr">
        <is>
          <t>ESTEFANA GARCIA SUAREZ</t>
        </is>
      </c>
      <c r="B6" s="11" t="inlineStr">
        <is>
          <t>GASE7011287C7</t>
        </is>
      </c>
      <c r="C6" s="11" t="inlineStr">
        <is>
          <t xml:space="preserve">MESA DEL MORO #71, COL. MISION SAN JOAQUIN, CORREGIDORA, QRO. </t>
        </is>
      </c>
      <c r="D6" s="11" t="inlineStr">
        <is>
          <t>GASTOS EN GENERAL</t>
        </is>
      </c>
      <c r="E6" s="11" t="inlineStr">
        <is>
          <t>SIMPLIFICADO DE CONFIANZA</t>
        </is>
      </c>
      <c r="F6" s="11" t="inlineStr">
        <is>
          <t>4421430912</t>
        </is>
      </c>
      <c r="G6" s="11" t="inlineStr">
        <is>
          <t>MIKA.CHEF@HOTMAIL.COM</t>
        </is>
      </c>
      <c r="H6" s="11" t="inlineStr">
        <is>
          <t>4421208271</t>
        </is>
      </c>
      <c r="I6" s="11" t="inlineStr">
        <is>
          <t>EUSEBIO MORALES ALVAREZ</t>
        </is>
      </c>
      <c r="J6" s="11" t="inlineStr">
        <is>
          <t>4421208271</t>
        </is>
      </c>
      <c r="K6" s="11" t="inlineStr">
        <is>
          <t>MIKA.CHEF@HOTMAIL.COM</t>
        </is>
      </c>
      <c r="L6" s="11" t="inlineStr">
        <is>
          <t>UESEBIO MORALES LAVAREZ</t>
        </is>
      </c>
      <c r="M6" s="11" t="inlineStr">
        <is>
          <t>4421208271</t>
        </is>
      </c>
      <c r="N6" s="11" t="inlineStr">
        <is>
          <t>MIKA.CHEF@HOTMAIL.COM</t>
        </is>
      </c>
      <c r="O6" s="11" t="inlineStr">
        <is>
          <t>HILUX DIESEL, 2027, COLOR BLANCO, AUTOMATICA</t>
        </is>
      </c>
      <c r="P6" s="11" t="inlineStr">
        <is>
          <t>889,900</t>
        </is>
      </c>
      <c r="Q6" s="10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>
        <f>IF(A6="","",HYPERLINK("https://wa.me/52"&amp;INDEX(Clientes!$C$2:$C$201,MATCH(A6,Clientes!$B$2:$B$201,0))&amp;"?text="&amp;_xlfn.ENCODEURL(Q6),"Enviar confirmación"))</f>
        <v/>
      </c>
    </row>
    <row r="7" ht="15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0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>
        <f>IF(A7="","",HYPERLINK("https://wa.me/52"&amp;INDEX(Clientes!$C$2:$C$201,MATCH(A7,Clientes!$B$2:$B$201,0))&amp;"?text="&amp;_xlfn.ENCODEURL(Q7),"Enviar confirmación"))</f>
        <v/>
      </c>
    </row>
    <row r="8" ht="15" customHeight="1" s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0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>
        <f>IF(A8="","",HYPERLINK("https://wa.me/52"&amp;INDEX(Clientes!$C$2:$C$201,MATCH(A8,Clientes!$B$2:$B$201,0))&amp;"?text="&amp;_xlfn.ENCODEURL(Q8),"Enviar confirmación"))</f>
        <v/>
      </c>
    </row>
    <row r="9" ht="15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0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>
        <f>IF(A9="","",HYPERLINK("https://wa.me/52"&amp;INDEX(Clientes!$C$2:$C$201,MATCH(A9,Clientes!$B$2:$B$201,0))&amp;"?text="&amp;_xlfn.ENCODEURL(Q9),"Enviar confirmación"))</f>
        <v/>
      </c>
    </row>
    <row r="10" ht="15" customHeight="1" s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0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>
        <f>IF(A10="","",HYPERLINK("https://wa.me/52"&amp;INDEX(Clientes!$C$2:$C$201,MATCH(A10,Clientes!$B$2:$B$201,0))&amp;"?text="&amp;_xlfn.ENCODEURL(Q10),"Enviar confirmación"))</f>
        <v/>
      </c>
    </row>
    <row r="11" ht="15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0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>
        <f>IF(A11="","",HYPERLINK("https://wa.me/52"&amp;INDEX(Clientes!$C$2:$C$201,MATCH(A11,Clientes!$B$2:$B$201,0))&amp;"?text="&amp;_xlfn.ENCODEURL(Q11),"Enviar confirmación"))</f>
        <v/>
      </c>
    </row>
    <row r="12" ht="15" customHeight="1" s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>
        <f>IF(A12="","",HYPERLINK("https://wa.me/52"&amp;INDEX(Clientes!$C$2:$C$201,MATCH(A12,Clientes!$B$2:$B$201,0))&amp;"?text="&amp;_xlfn.ENCODEURL(Q12),"Enviar confirmación"))</f>
        <v/>
      </c>
    </row>
    <row r="13" ht="15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>
        <f>IF(A13="","",HYPERLINK("https://wa.me/52"&amp;INDEX(Clientes!$C$2:$C$201,MATCH(A13,Clientes!$B$2:$B$201,0))&amp;"?text="&amp;_xlfn.ENCODEURL(Q13),"Enviar confirmación"))</f>
        <v/>
      </c>
    </row>
    <row r="14" ht="15" customHeight="1" s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>
        <f>IF(A14="","",HYPERLINK("https://wa.me/52"&amp;INDEX(Clientes!$C$2:$C$201,MATCH(A14,Clientes!$B$2:$B$201,0))&amp;"?text="&amp;_xlfn.ENCODEURL(Q14),"Enviar confirmación"))</f>
        <v/>
      </c>
    </row>
    <row r="15" ht="15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>
        <f>IF(A15="","",HYPERLINK("https://wa.me/52"&amp;INDEX(Clientes!$C$2:$C$201,MATCH(A15,Clientes!$B$2:$B$201,0))&amp;"?text="&amp;_xlfn.ENCODEURL(Q15),"Enviar confirmación"))</f>
        <v/>
      </c>
    </row>
    <row r="16" ht="15" customHeight="1" s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>
        <f>IF(A16="","",HYPERLINK("https://wa.me/52"&amp;INDEX(Clientes!$C$2:$C$201,MATCH(A16,Clientes!$B$2:$B$201,0))&amp;"?text="&amp;_xlfn.ENCODEURL(Q16),"Enviar confirmación"))</f>
        <v/>
      </c>
    </row>
    <row r="17" ht="15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>
        <f>IF(A17="","",HYPERLINK("https://wa.me/52"&amp;INDEX(Clientes!$C$2:$C$201,MATCH(A17,Clientes!$B$2:$B$201,0))&amp;"?text="&amp;_xlfn.ENCODEURL(Q17),"Enviar confirmación"))</f>
        <v/>
      </c>
    </row>
    <row r="18" ht="15" customHeight="1" s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>
        <f>IF(A18="","",HYPERLINK("https://wa.me/52"&amp;INDEX(Clientes!$C$2:$C$201,MATCH(A18,Clientes!$B$2:$B$201,0))&amp;"?text="&amp;_xlfn.ENCODEURL(Q18),"Enviar confirmación"))</f>
        <v/>
      </c>
    </row>
    <row r="19" ht="15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>
        <f>IF(A19="","",HYPERLINK("https://wa.me/52"&amp;INDEX(Clientes!$C$2:$C$201,MATCH(A19,Clientes!$B$2:$B$201,0))&amp;"?text="&amp;_xlfn.ENCODEURL(Q19),"Enviar confirmación"))</f>
        <v/>
      </c>
    </row>
    <row r="20" ht="15" customHeight="1" s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>
        <f>IF(A20="","",HYPERLINK("https://wa.me/52"&amp;INDEX(Clientes!$C$2:$C$201,MATCH(A20,Clientes!$B$2:$B$201,0))&amp;"?text="&amp;_xlfn.ENCODEURL(Q20),"Enviar confirmación"))</f>
        <v/>
      </c>
    </row>
    <row r="21" ht="15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>
        <f>IF(A21="","",HYPERLINK("https://wa.me/52"&amp;INDEX(Clientes!$C$2:$C$201,MATCH(A21,Clientes!$B$2:$B$201,0))&amp;"?text="&amp;_xlfn.ENCODEURL(Q21),"Enviar confirmación"))</f>
        <v/>
      </c>
    </row>
    <row r="22" ht="15" customHeight="1" s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>
        <f>IF(A22="","",HYPERLINK("https://wa.me/52"&amp;INDEX(Clientes!$C$2:$C$201,MATCH(A22,Clientes!$B$2:$B$201,0))&amp;"?text="&amp;_xlfn.ENCODEURL(Q22),"Enviar confirmación"))</f>
        <v/>
      </c>
    </row>
    <row r="23" ht="15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>
        <f>IF(A23="","",HYPERLINK("https://wa.me/52"&amp;INDEX(Clientes!$C$2:$C$201,MATCH(A23,Clientes!$B$2:$B$201,0))&amp;"?text="&amp;_xlfn.ENCODEURL(Q23),"Enviar confirmación"))</f>
        <v/>
      </c>
    </row>
    <row r="24" ht="15" customHeight="1" s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>
        <f>IF(A24="","",HYPERLINK("https://wa.me/52"&amp;INDEX(Clientes!$C$2:$C$201,MATCH(A24,Clientes!$B$2:$B$201,0))&amp;"?text="&amp;_xlfn.ENCODEURL(Q24),"Enviar confirmación"))</f>
        <v/>
      </c>
    </row>
    <row r="25" ht="15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>
        <f>IF(A25="","",HYPERLINK("https://wa.me/52"&amp;INDEX(Clientes!$C$2:$C$201,MATCH(A25,Clientes!$B$2:$B$201,0))&amp;"?text="&amp;_xlfn.ENCODEURL(Q25),"Enviar confirmación"))</f>
        <v/>
      </c>
    </row>
    <row r="26" ht="15" customHeight="1" s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>
        <f>IF(A26="","",HYPERLINK("https://wa.me/52"&amp;INDEX(Clientes!$C$2:$C$201,MATCH(A26,Clientes!$B$2:$B$201,0))&amp;"?text="&amp;_xlfn.ENCODEURL(Q26),"Enviar confirmación"))</f>
        <v/>
      </c>
    </row>
    <row r="27" ht="15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>
        <f>IF(A27="","",HYPERLINK("https://wa.me/52"&amp;INDEX(Clientes!$C$2:$C$201,MATCH(A27,Clientes!$B$2:$B$201,0))&amp;"?text="&amp;_xlfn.ENCODEURL(Q27),"Enviar confirmación"))</f>
        <v/>
      </c>
    </row>
    <row r="28" ht="15" customHeight="1" s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>
        <f>IF(A28="","",HYPERLINK("https://wa.me/52"&amp;INDEX(Clientes!$C$2:$C$201,MATCH(A28,Clientes!$B$2:$B$201,0))&amp;"?text="&amp;_xlfn.ENCODEURL(Q28),"Enviar confirmación"))</f>
        <v/>
      </c>
    </row>
    <row r="29" ht="15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>
        <f>IF(A29="","",HYPERLINK("https://wa.me/52"&amp;INDEX(Clientes!$C$2:$C$201,MATCH(A29,Clientes!$B$2:$B$201,0))&amp;"?text="&amp;_xlfn.ENCODEURL(Q29),"Enviar confirmación"))</f>
        <v/>
      </c>
    </row>
    <row r="30" ht="15" customHeight="1" s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>
        <f>IF(A30="","",HYPERLINK("https://wa.me/52"&amp;INDEX(Clientes!$C$2:$C$201,MATCH(A30,Clientes!$B$2:$B$201,0))&amp;"?text="&amp;_xlfn.ENCODEURL(Q30),"Enviar confirmación"))</f>
        <v/>
      </c>
    </row>
    <row r="31" ht="15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>
        <f>IF(A31="","",HYPERLINK("https://wa.me/52"&amp;INDEX(Clientes!$C$2:$C$201,MATCH(A31,Clientes!$B$2:$B$201,0))&amp;"?text="&amp;_xlfn.ENCODEURL(Q31),"Enviar confirmación"))</f>
        <v/>
      </c>
    </row>
    <row r="32" ht="15" customHeight="1" s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>
        <f>IF(A32="","",HYPERLINK("https://wa.me/52"&amp;INDEX(Clientes!$C$2:$C$201,MATCH(A32,Clientes!$B$2:$B$201,0))&amp;"?text="&amp;_xlfn.ENCODEURL(Q32),"Enviar confirmación"))</f>
        <v/>
      </c>
    </row>
    <row r="33" ht="15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>
        <f>IF(A33="","",HYPERLINK("https://wa.me/52"&amp;INDEX(Clientes!$C$2:$C$201,MATCH(A33,Clientes!$B$2:$B$201,0))&amp;"?text="&amp;_xlfn.ENCODEURL(Q33),"Enviar confirmación"))</f>
        <v/>
      </c>
    </row>
    <row r="34" ht="15" customHeight="1" s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>
        <f>IF(A34="","",HYPERLINK("https://wa.me/52"&amp;INDEX(Clientes!$C$2:$C$201,MATCH(A34,Clientes!$B$2:$B$201,0))&amp;"?text="&amp;_xlfn.ENCODEURL(Q34),"Enviar confirmación"))</f>
        <v/>
      </c>
    </row>
    <row r="35" ht="15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>
        <f>IF(A35="","",HYPERLINK("https://wa.me/52"&amp;INDEX(Clientes!$C$2:$C$201,MATCH(A35,Clientes!$B$2:$B$201,0))&amp;"?text="&amp;_xlfn.ENCODEURL(Q35),"Enviar confirmación"))</f>
        <v/>
      </c>
    </row>
    <row r="36" ht="15" customHeight="1" s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>
        <f>IF(A36="","",HYPERLINK("https://wa.me/52"&amp;INDEX(Clientes!$C$2:$C$201,MATCH(A36,Clientes!$B$2:$B$201,0))&amp;"?text="&amp;_xlfn.ENCODEURL(Q36),"Enviar confirmación"))</f>
        <v/>
      </c>
    </row>
    <row r="37" ht="15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>
        <f>IF(A37="","",HYPERLINK("https://wa.me/52"&amp;INDEX(Clientes!$C$2:$C$201,MATCH(A37,Clientes!$B$2:$B$201,0))&amp;"?text="&amp;_xlfn.ENCODEURL(Q37),"Enviar confirmación"))</f>
        <v/>
      </c>
    </row>
    <row r="38" ht="15" customHeight="1" s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>
        <f>IF(A38="","",HYPERLINK("https://wa.me/52"&amp;INDEX(Clientes!$C$2:$C$201,MATCH(A38,Clientes!$B$2:$B$201,0))&amp;"?text="&amp;_xlfn.ENCODEURL(Q38),"Enviar confirmación"))</f>
        <v/>
      </c>
    </row>
    <row r="39" ht="15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>
        <f>IF(A39="","",HYPERLINK("https://wa.me/52"&amp;INDEX(Clientes!$C$2:$C$201,MATCH(A39,Clientes!$B$2:$B$201,0))&amp;"?text="&amp;_xlfn.ENCODEURL(Q39),"Enviar confirmación"))</f>
        <v/>
      </c>
    </row>
    <row r="40" ht="15" customHeight="1" s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>
        <f>IF(A40="","",HYPERLINK("https://wa.me/52"&amp;INDEX(Clientes!$C$2:$C$201,MATCH(A40,Clientes!$B$2:$B$201,0))&amp;"?text="&amp;_xlfn.ENCODEURL(Q40),"Enviar confirmación"))</f>
        <v/>
      </c>
    </row>
    <row r="41" ht="15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>
        <f>IF(A41="","",HYPERLINK("https://wa.me/52"&amp;INDEX(Clientes!$C$2:$C$201,MATCH(A41,Clientes!$B$2:$B$201,0))&amp;"?text="&amp;_xlfn.ENCODEURL(Q41),"Enviar confirmación"))</f>
        <v/>
      </c>
    </row>
    <row r="42" ht="15" customHeight="1" s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>
        <f>IF(A42="","",HYPERLINK("https://wa.me/52"&amp;INDEX(Clientes!$C$2:$C$201,MATCH(A42,Clientes!$B$2:$B$201,0))&amp;"?text="&amp;_xlfn.ENCODEURL(Q42),"Enviar confirmación"))</f>
        <v/>
      </c>
    </row>
    <row r="43" ht="15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>
        <f>IF(A43="","",HYPERLINK("https://wa.me/52"&amp;INDEX(Clientes!$C$2:$C$201,MATCH(A43,Clientes!$B$2:$B$201,0))&amp;"?text="&amp;_xlfn.ENCODEURL(Q43),"Enviar confirmación"))</f>
        <v/>
      </c>
    </row>
    <row r="44" ht="15" customHeight="1" s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>
        <f>IF(A44="","",HYPERLINK("https://wa.me/52"&amp;INDEX(Clientes!$C$2:$C$201,MATCH(A44,Clientes!$B$2:$B$201,0))&amp;"?text="&amp;_xlfn.ENCODEURL(Q44),"Enviar confirmación"))</f>
        <v/>
      </c>
    </row>
    <row r="45" ht="15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>
        <f>IF(A45="","",HYPERLINK("https://wa.me/52"&amp;INDEX(Clientes!$C$2:$C$201,MATCH(A45,Clientes!$B$2:$B$201,0))&amp;"?text="&amp;_xlfn.ENCODEURL(Q45),"Enviar confirmación"))</f>
        <v/>
      </c>
    </row>
    <row r="46" ht="15" customHeight="1" s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>
        <f>IF(A46="","",HYPERLINK("https://wa.me/52"&amp;INDEX(Clientes!$C$2:$C$201,MATCH(A46,Clientes!$B$2:$B$201,0))&amp;"?text="&amp;_xlfn.ENCODEURL(Q46),"Enviar confirmación"))</f>
        <v/>
      </c>
    </row>
    <row r="47" ht="15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>
        <f>IF(A47="","",HYPERLINK("https://wa.me/52"&amp;INDEX(Clientes!$C$2:$C$201,MATCH(A47,Clientes!$B$2:$B$201,0))&amp;"?text="&amp;_xlfn.ENCODEURL(Q47),"Enviar confirmación"))</f>
        <v/>
      </c>
    </row>
    <row r="48" ht="15" customHeight="1" s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>
        <f>IF(A48="","",HYPERLINK("https://wa.me/52"&amp;INDEX(Clientes!$C$2:$C$201,MATCH(A48,Clientes!$B$2:$B$201,0))&amp;"?text="&amp;_xlfn.ENCODEURL(Q48),"Enviar confirmación"))</f>
        <v/>
      </c>
    </row>
    <row r="49" ht="15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>
        <f>IF(A49="","",HYPERLINK("https://wa.me/52"&amp;INDEX(Clientes!$C$2:$C$201,MATCH(A49,Clientes!$B$2:$B$201,0))&amp;"?text="&amp;_xlfn.ENCODEURL(Q49),"Enviar confirmación"))</f>
        <v/>
      </c>
    </row>
    <row r="50" ht="15" customHeight="1" s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>
        <f>IF(A50="","",HYPERLINK("https://wa.me/52"&amp;INDEX(Clientes!$C$2:$C$201,MATCH(A50,Clientes!$B$2:$B$201,0))&amp;"?text="&amp;_xlfn.ENCODEURL(Q50),"Enviar confirmación"))</f>
        <v/>
      </c>
    </row>
    <row r="51" ht="15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>
        <f>IF(A51="","",HYPERLINK("https://wa.me/52"&amp;INDEX(Clientes!$C$2:$C$201,MATCH(A51,Clientes!$B$2:$B$201,0))&amp;"?text="&amp;_xlfn.ENCODEURL(Q51),"Enviar confirmación"))</f>
        <v/>
      </c>
    </row>
    <row r="52" ht="15" customHeight="1" s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>
        <f>IF(A52="","",HYPERLINK("https://wa.me/52"&amp;INDEX(Clientes!$C$2:$C$201,MATCH(A52,Clientes!$B$2:$B$201,0))&amp;"?text="&amp;_xlfn.ENCODEURL(Q52),"Enviar confirmación"))</f>
        <v/>
      </c>
    </row>
    <row r="53" ht="15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>
        <f>IF(A53="","",HYPERLINK("https://wa.me/52"&amp;INDEX(Clientes!$C$2:$C$201,MATCH(A53,Clientes!$B$2:$B$201,0))&amp;"?text="&amp;_xlfn.ENCODEURL(Q53),"Enviar confirmación"))</f>
        <v/>
      </c>
    </row>
    <row r="54" ht="15" customHeight="1" s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>
        <f>IF(A54="","",HYPERLINK("https://wa.me/52"&amp;INDEX(Clientes!$C$2:$C$201,MATCH(A54,Clientes!$B$2:$B$201,0))&amp;"?text="&amp;_xlfn.ENCODEURL(Q54),"Enviar confirmación"))</f>
        <v/>
      </c>
    </row>
    <row r="55" ht="15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>
        <f>IF(A55="","",HYPERLINK("https://wa.me/52"&amp;INDEX(Clientes!$C$2:$C$201,MATCH(A55,Clientes!$B$2:$B$201,0))&amp;"?text="&amp;_xlfn.ENCODEURL(Q55),"Enviar confirmación"))</f>
        <v/>
      </c>
    </row>
    <row r="56" ht="15" customHeight="1" s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>
        <f>IF(A56="","",HYPERLINK("https://wa.me/52"&amp;INDEX(Clientes!$C$2:$C$201,MATCH(A56,Clientes!$B$2:$B$201,0))&amp;"?text="&amp;_xlfn.ENCODEURL(Q56),"Enviar confirmación"))</f>
        <v/>
      </c>
    </row>
    <row r="57" ht="15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>
        <f>IF(A57="","",HYPERLINK("https://wa.me/52"&amp;INDEX(Clientes!$C$2:$C$201,MATCH(A57,Clientes!$B$2:$B$201,0))&amp;"?text="&amp;_xlfn.ENCODEURL(Q57),"Enviar confirmación"))</f>
        <v/>
      </c>
    </row>
    <row r="58" ht="15" customHeight="1" s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>
        <f>IF(A58="","",HYPERLINK("https://wa.me/52"&amp;INDEX(Clientes!$C$2:$C$201,MATCH(A58,Clientes!$B$2:$B$201,0))&amp;"?text="&amp;_xlfn.ENCODEURL(Q58),"Enviar confirmación"))</f>
        <v/>
      </c>
    </row>
    <row r="59" ht="15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>
        <f>IF(A59="","",HYPERLINK("https://wa.me/52"&amp;INDEX(Clientes!$C$2:$C$201,MATCH(A59,Clientes!$B$2:$B$201,0))&amp;"?text="&amp;_xlfn.ENCODEURL(Q59),"Enviar confirmación"))</f>
        <v/>
      </c>
    </row>
    <row r="60" ht="15" customHeight="1" s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>
        <f>IF(A60="","",HYPERLINK("https://wa.me/52"&amp;INDEX(Clientes!$C$2:$C$201,MATCH(A60,Clientes!$B$2:$B$201,0))&amp;"?text="&amp;_xlfn.ENCODEURL(Q60),"Enviar confirmación"))</f>
        <v/>
      </c>
    </row>
    <row r="61" ht="15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>
        <f>IF(A61="","",HYPERLINK("https://wa.me/52"&amp;INDEX(Clientes!$C$2:$C$201,MATCH(A61,Clientes!$B$2:$B$201,0))&amp;"?text="&amp;_xlfn.ENCODEURL(Q61),"Enviar confirmación"))</f>
        <v/>
      </c>
    </row>
    <row r="62" ht="15" customHeight="1" s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>
        <f>IF(A62="","",HYPERLINK("https://wa.me/52"&amp;INDEX(Clientes!$C$2:$C$201,MATCH(A62,Clientes!$B$2:$B$201,0))&amp;"?text="&amp;_xlfn.ENCODEURL(Q62),"Enviar confirmación"))</f>
        <v/>
      </c>
    </row>
    <row r="63" ht="15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>
        <f>IF(A63="","",HYPERLINK("https://wa.me/52"&amp;INDEX(Clientes!$C$2:$C$201,MATCH(A63,Clientes!$B$2:$B$201,0))&amp;"?text="&amp;_xlfn.ENCODEURL(Q63),"Enviar confirmación"))</f>
        <v/>
      </c>
    </row>
    <row r="64" ht="15" customHeight="1" s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>
        <f>IF(A64="","",HYPERLINK("https://wa.me/52"&amp;INDEX(Clientes!$C$2:$C$201,MATCH(A64,Clientes!$B$2:$B$201,0))&amp;"?text="&amp;_xlfn.ENCODEURL(Q64),"Enviar confirmación"))</f>
        <v/>
      </c>
    </row>
    <row r="65" ht="15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>
        <f>IF(A65="","",HYPERLINK("https://wa.me/52"&amp;INDEX(Clientes!$C$2:$C$201,MATCH(A65,Clientes!$B$2:$B$201,0))&amp;"?text="&amp;_xlfn.ENCODEURL(Q65),"Enviar confirmación"))</f>
        <v/>
      </c>
    </row>
    <row r="66" ht="15" customHeight="1" s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>
        <f>IF(A66="","",HYPERLINK("https://wa.me/52"&amp;INDEX(Clientes!$C$2:$C$201,MATCH(A66,Clientes!$B$2:$B$201,0))&amp;"?text="&amp;_xlfn.ENCODEURL(Q66),"Enviar confirmación"))</f>
        <v/>
      </c>
    </row>
    <row r="67" ht="15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>
        <f>IF(A67="","",HYPERLINK("https://wa.me/52"&amp;INDEX(Clientes!$C$2:$C$201,MATCH(A67,Clientes!$B$2:$B$201,0))&amp;"?text="&amp;_xlfn.ENCODEURL(Q67),"Enviar confirmación"))</f>
        <v/>
      </c>
    </row>
    <row r="68" ht="15" customHeight="1" s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>
        <f>IF(A68="","",HYPERLINK("https://wa.me/52"&amp;INDEX(Clientes!$C$2:$C$201,MATCH(A68,Clientes!$B$2:$B$201,0))&amp;"?text="&amp;_xlfn.ENCODEURL(Q68),"Enviar confirmación"))</f>
        <v/>
      </c>
    </row>
    <row r="69" ht="15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>
        <f>IF(A69="","",HYPERLINK("https://wa.me/52"&amp;INDEX(Clientes!$C$2:$C$201,MATCH(A69,Clientes!$B$2:$B$201,0))&amp;"?text="&amp;_xlfn.ENCODEURL(Q69),"Enviar confirmación"))</f>
        <v/>
      </c>
    </row>
    <row r="70" ht="15" customHeight="1" s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>
        <f>IF(A70="","",HYPERLINK("https://wa.me/52"&amp;INDEX(Clientes!$C$2:$C$201,MATCH(A70,Clientes!$B$2:$B$201,0))&amp;"?text="&amp;_xlfn.ENCODEURL(Q70),"Enviar confirmación"))</f>
        <v/>
      </c>
    </row>
    <row r="71" ht="15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>
        <f>IF(A71="","",HYPERLINK("https://wa.me/52"&amp;INDEX(Clientes!$C$2:$C$201,MATCH(A71,Clientes!$B$2:$B$201,0))&amp;"?text="&amp;_xlfn.ENCODEURL(Q71),"Enviar confirmación"))</f>
        <v/>
      </c>
    </row>
    <row r="72" ht="15" customHeight="1" s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>
        <f>IF(A72="","",HYPERLINK("https://wa.me/52"&amp;INDEX(Clientes!$C$2:$C$201,MATCH(A72,Clientes!$B$2:$B$201,0))&amp;"?text="&amp;_xlfn.ENCODEURL(Q72),"Enviar confirmación"))</f>
        <v/>
      </c>
    </row>
    <row r="73" ht="15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>
        <f>IF(A73="","",HYPERLINK("https://wa.me/52"&amp;INDEX(Clientes!$C$2:$C$201,MATCH(A73,Clientes!$B$2:$B$201,0))&amp;"?text="&amp;_xlfn.ENCODEURL(Q73),"Enviar confirmación"))</f>
        <v/>
      </c>
    </row>
    <row r="74" ht="15" customHeight="1" s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>
        <f>IF(A74="","",HYPERLINK("https://wa.me/52"&amp;INDEX(Clientes!$C$2:$C$201,MATCH(A74,Clientes!$B$2:$B$201,0))&amp;"?text="&amp;_xlfn.ENCODEURL(Q74),"Enviar confirmación"))</f>
        <v/>
      </c>
    </row>
    <row r="75" ht="15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>
        <f>IF(A75="","",HYPERLINK("https://wa.me/52"&amp;INDEX(Clientes!$C$2:$C$201,MATCH(A75,Clientes!$B$2:$B$201,0))&amp;"?text="&amp;_xlfn.ENCODEURL(Q75),"Enviar confirmación"))</f>
        <v/>
      </c>
    </row>
    <row r="76" ht="15" customHeight="1" s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>
        <f>IF(A76="","",HYPERLINK("https://wa.me/52"&amp;INDEX(Clientes!$C$2:$C$201,MATCH(A76,Clientes!$B$2:$B$201,0))&amp;"?text="&amp;_xlfn.ENCODEURL(Q76),"Enviar confirmación"))</f>
        <v/>
      </c>
    </row>
    <row r="77" ht="15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>
        <f>IF(A77="","",HYPERLINK("https://wa.me/52"&amp;INDEX(Clientes!$C$2:$C$201,MATCH(A77,Clientes!$B$2:$B$201,0))&amp;"?text="&amp;_xlfn.ENCODEURL(Q77),"Enviar confirmación"))</f>
        <v/>
      </c>
    </row>
    <row r="78" ht="15" customHeight="1" s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>
        <f>IF(A78="","",HYPERLINK("https://wa.me/52"&amp;INDEX(Clientes!$C$2:$C$201,MATCH(A78,Clientes!$B$2:$B$201,0))&amp;"?text="&amp;_xlfn.ENCODEURL(Q78),"Enviar confirmación"))</f>
        <v/>
      </c>
    </row>
    <row r="79" ht="15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>
        <f>IF(A79="","",HYPERLINK("https://wa.me/52"&amp;INDEX(Clientes!$C$2:$C$201,MATCH(A79,Clientes!$B$2:$B$201,0))&amp;"?text="&amp;_xlfn.ENCODEURL(Q79),"Enviar confirmación"))</f>
        <v/>
      </c>
    </row>
    <row r="80" ht="15" customHeight="1" s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>
        <f>IF(A80="","",HYPERLINK("https://wa.me/52"&amp;INDEX(Clientes!$C$2:$C$201,MATCH(A80,Clientes!$B$2:$B$201,0))&amp;"?text="&amp;_xlfn.ENCODEURL(Q80),"Enviar confirmación"))</f>
        <v/>
      </c>
    </row>
    <row r="81" ht="15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>
        <f>IF(A81="","",HYPERLINK("https://wa.me/52"&amp;INDEX(Clientes!$C$2:$C$201,MATCH(A81,Clientes!$B$2:$B$201,0))&amp;"?text="&amp;_xlfn.ENCODEURL(Q81),"Enviar confirmación"))</f>
        <v/>
      </c>
    </row>
    <row r="82" ht="15" customHeight="1" s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>
        <f>IF(A82="","",HYPERLINK("https://wa.me/52"&amp;INDEX(Clientes!$C$2:$C$201,MATCH(A82,Clientes!$B$2:$B$201,0))&amp;"?text="&amp;_xlfn.ENCODEURL(Q82),"Enviar confirmación"))</f>
        <v/>
      </c>
    </row>
    <row r="83" ht="15" customHeight="1" s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>
        <f>IF(A83="","",HYPERLINK("https://wa.me/52"&amp;INDEX(Clientes!$C$2:$C$201,MATCH(A83,Clientes!$B$2:$B$201,0))&amp;"?text="&amp;_xlfn.ENCODEURL(Q83),"Enviar confirmación"))</f>
        <v/>
      </c>
    </row>
    <row r="84" ht="15" customHeight="1" s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>
        <f>IF(A84="","",HYPERLINK("https://wa.me/52"&amp;INDEX(Clientes!$C$2:$C$201,MATCH(A84,Clientes!$B$2:$B$201,0))&amp;"?text="&amp;_xlfn.ENCODEURL(Q84),"Enviar confirmación"))</f>
        <v/>
      </c>
    </row>
    <row r="85" ht="15" customHeight="1" s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>
        <f>IF(A85="","",HYPERLINK("https://wa.me/52"&amp;INDEX(Clientes!$C$2:$C$201,MATCH(A85,Clientes!$B$2:$B$201,0))&amp;"?text="&amp;_xlfn.ENCODEURL(Q85),"Enviar confirmación"))</f>
        <v/>
      </c>
    </row>
    <row r="86" ht="15" customHeight="1" s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>
        <f>IF(A86="","",HYPERLINK("https://wa.me/52"&amp;INDEX(Clientes!$C$2:$C$201,MATCH(A86,Clientes!$B$2:$B$201,0))&amp;"?text="&amp;_xlfn.ENCODEURL(Q86),"Enviar confirmación"))</f>
        <v/>
      </c>
    </row>
    <row r="87" ht="15" customHeight="1" s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>
        <f>IF(A87="","",HYPERLINK("https://wa.me/52"&amp;INDEX(Clientes!$C$2:$C$201,MATCH(A87,Clientes!$B$2:$B$201,0))&amp;"?text="&amp;_xlfn.ENCODEURL(Q87),"Enviar confirmación"))</f>
        <v/>
      </c>
    </row>
    <row r="88" ht="15" customHeight="1" s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>
        <f>IF(A88="","",HYPERLINK("https://wa.me/52"&amp;INDEX(Clientes!$C$2:$C$201,MATCH(A88,Clientes!$B$2:$B$201,0))&amp;"?text="&amp;_xlfn.ENCODEURL(Q88),"Enviar confirmación"))</f>
        <v/>
      </c>
    </row>
    <row r="89" ht="15" customHeight="1" s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>
        <f>IF(A89="","",HYPERLINK("https://wa.me/52"&amp;INDEX(Clientes!$C$2:$C$201,MATCH(A89,Clientes!$B$2:$B$201,0))&amp;"?text="&amp;_xlfn.ENCODEURL(Q89),"Enviar confirmación"))</f>
        <v/>
      </c>
    </row>
    <row r="90" ht="15" customHeight="1" s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>
        <f>IF(A90="","",HYPERLINK("https://wa.me/52"&amp;INDEX(Clientes!$C$2:$C$201,MATCH(A90,Clientes!$B$2:$B$201,0))&amp;"?text="&amp;_xlfn.ENCODEURL(Q90),"Enviar confirmación"))</f>
        <v/>
      </c>
    </row>
    <row r="91" ht="15" customHeight="1" s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>
        <f>IF(A91="","",HYPERLINK("https://wa.me/52"&amp;INDEX(Clientes!$C$2:$C$201,MATCH(A91,Clientes!$B$2:$B$201,0))&amp;"?text="&amp;_xlfn.ENCODEURL(Q91),"Enviar confirmación"))</f>
        <v/>
      </c>
    </row>
    <row r="92" ht="15" customHeight="1" s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>
        <f>IF(A92="","",HYPERLINK("https://wa.me/52"&amp;INDEX(Clientes!$C$2:$C$201,MATCH(A92,Clientes!$B$2:$B$201,0))&amp;"?text="&amp;_xlfn.ENCODEURL(Q92),"Enviar confirmación"))</f>
        <v/>
      </c>
    </row>
    <row r="93" ht="15" customHeight="1" s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>
        <f>IF(A93="","",HYPERLINK("https://wa.me/52"&amp;INDEX(Clientes!$C$2:$C$201,MATCH(A93,Clientes!$B$2:$B$201,0))&amp;"?text="&amp;_xlfn.ENCODEURL(Q93),"Enviar confirmación"))</f>
        <v/>
      </c>
    </row>
    <row r="94" ht="15" customHeight="1" s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>
        <f>IF(A94="","",HYPERLINK("https://wa.me/52"&amp;INDEX(Clientes!$C$2:$C$201,MATCH(A94,Clientes!$B$2:$B$201,0))&amp;"?text="&amp;_xlfn.ENCODEURL(Q94),"Enviar confirmación"))</f>
        <v/>
      </c>
    </row>
    <row r="95" ht="15" customHeight="1" s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>
        <f>IF(A95="","",HYPERLINK("https://wa.me/52"&amp;INDEX(Clientes!$C$2:$C$201,MATCH(A95,Clientes!$B$2:$B$201,0))&amp;"?text="&amp;_xlfn.ENCODEURL(Q95),"Enviar confirmación"))</f>
        <v/>
      </c>
    </row>
    <row r="96" ht="15" customHeight="1" s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>
        <f>IF(A96="","",HYPERLINK("https://wa.me/52"&amp;INDEX(Clientes!$C$2:$C$201,MATCH(A96,Clientes!$B$2:$B$201,0))&amp;"?text="&amp;_xlfn.ENCODEURL(Q96),"Enviar confirmación"))</f>
        <v/>
      </c>
    </row>
    <row r="97" ht="15" customHeight="1" s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>
        <f>IF(A97="","",HYPERLINK("https://wa.me/52"&amp;INDEX(Clientes!$C$2:$C$201,MATCH(A97,Clientes!$B$2:$B$201,0))&amp;"?text="&amp;_xlfn.ENCODEURL(Q97),"Enviar confirmación"))</f>
        <v/>
      </c>
    </row>
    <row r="98" ht="15" customHeight="1" s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>
        <f>IF(A98="","",HYPERLINK("https://wa.me/52"&amp;INDEX(Clientes!$C$2:$C$201,MATCH(A98,Clientes!$B$2:$B$201,0))&amp;"?text="&amp;_xlfn.ENCODEURL(Q98),"Enviar confirmación"))</f>
        <v/>
      </c>
    </row>
    <row r="99" ht="15" customHeight="1" s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>
        <f>IF(A99="","",HYPERLINK("https://wa.me/52"&amp;INDEX(Clientes!$C$2:$C$201,MATCH(A99,Clientes!$B$2:$B$201,0))&amp;"?text="&amp;_xlfn.ENCODEURL(Q99),"Enviar confirmación"))</f>
        <v/>
      </c>
    </row>
    <row r="100" ht="15" customHeight="1" s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>
        <f>IF(A100="","",HYPERLINK("https://wa.me/52"&amp;INDEX(Clientes!$C$2:$C$201,MATCH(A100,Clientes!$B$2:$B$201,0))&amp;"?text="&amp;_xlfn.ENCODEURL(Q100),"Enviar confirmación"))</f>
        <v/>
      </c>
    </row>
    <row r="101" ht="15" customHeight="1" s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2026-08-04T23:01:52Z</dcterms:created>
  <dcterms:modified xsi:type="dcterms:W3CDTF">2026-10-09T20:37:53Z</dcterms:modified>
  <cp:revision>0</cp:revision>
</cp:coreProperties>
</file>